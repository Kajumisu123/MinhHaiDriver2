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Chấm công tổng hợp\"/>
    </mc:Choice>
  </mc:AlternateContent>
  <xr:revisionPtr revIDLastSave="0" documentId="13_ncr:1_{C4972285-8E68-4DC0-A5FE-D9AD3A24E3F8}" xr6:coauthVersionLast="47" xr6:coauthVersionMax="47" xr10:uidLastSave="{00000000-0000-0000-0000-000000000000}"/>
  <bookViews>
    <workbookView xWindow="-120" yWindow="-120" windowWidth="29040" windowHeight="15840" activeTab="3" xr2:uid="{7C654F61-D3F6-46B9-9944-3469B6AD53BB}"/>
  </bookViews>
  <sheets>
    <sheet name="Bắc đảo" sheetId="2" r:id="rId1"/>
    <sheet name="dương đông" sheetId="4" r:id="rId2"/>
    <sheet name="nam đảo" sheetId="1" r:id="rId3"/>
    <sheet name="Nam Đảo hiện tại" sheetId="3" r:id="rId4"/>
    <sheet name="Bắc Đảo hiện tại" sheetId="5" r:id="rId5"/>
    <sheet name="dương đông hiện tạ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6" l="1"/>
  <c r="H8" i="6"/>
  <c r="J8" i="6" s="1"/>
  <c r="B8" i="6"/>
  <c r="I7" i="6"/>
  <c r="I6" i="6"/>
  <c r="B12" i="3"/>
  <c r="B13" i="3"/>
  <c r="B14" i="3" s="1"/>
  <c r="B7" i="5"/>
  <c r="B8" i="5" s="1"/>
  <c r="I8" i="5"/>
  <c r="I7" i="5"/>
  <c r="I6" i="5"/>
  <c r="H6" i="5"/>
  <c r="J6" i="5" s="1"/>
  <c r="I14" i="3"/>
  <c r="I13" i="3"/>
  <c r="I12" i="3"/>
  <c r="I11" i="3"/>
  <c r="H11" i="3"/>
  <c r="J11" i="3" s="1"/>
  <c r="I10" i="3"/>
  <c r="H10" i="3"/>
  <c r="J10" i="3" s="1"/>
  <c r="I9" i="3"/>
  <c r="H9" i="3"/>
  <c r="J9" i="3" s="1"/>
  <c r="I8" i="3"/>
  <c r="H8" i="3"/>
  <c r="J8" i="3" s="1"/>
  <c r="I7" i="3"/>
  <c r="H7" i="3"/>
  <c r="J7" i="3" s="1"/>
  <c r="B7" i="3"/>
  <c r="B8" i="3" s="1"/>
  <c r="B9" i="3" s="1"/>
  <c r="B10" i="3" s="1"/>
  <c r="B11" i="3" s="1"/>
  <c r="I6" i="3"/>
  <c r="H6" i="3"/>
  <c r="J6" i="3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I8" i="4"/>
  <c r="H8" i="4"/>
  <c r="J8" i="4" s="1"/>
  <c r="B8" i="4"/>
  <c r="I7" i="4"/>
  <c r="I6" i="4"/>
  <c r="I12" i="1" l="1"/>
  <c r="I13" i="1"/>
  <c r="I11" i="2"/>
  <c r="I10" i="2"/>
  <c r="I9" i="2"/>
  <c r="I8" i="2"/>
  <c r="I7" i="2"/>
  <c r="I6" i="2"/>
  <c r="H6" i="2"/>
  <c r="J6" i="2" s="1"/>
  <c r="B7" i="2"/>
  <c r="B8" i="2" s="1"/>
  <c r="B9" i="2" s="1"/>
  <c r="B10" i="2" s="1"/>
  <c r="B11" i="2" s="1"/>
  <c r="I17" i="1"/>
  <c r="I18" i="1"/>
  <c r="I14" i="1"/>
  <c r="I15" i="1"/>
  <c r="I16" i="1"/>
  <c r="I8" i="1"/>
  <c r="I7" i="1"/>
  <c r="I9" i="1"/>
  <c r="I10" i="1"/>
  <c r="I11" i="1"/>
  <c r="I6" i="1"/>
  <c r="H7" i="1"/>
  <c r="J7" i="1" s="1"/>
  <c r="H8" i="1"/>
  <c r="J8" i="1" s="1"/>
  <c r="H9" i="1"/>
  <c r="J9" i="1" s="1"/>
  <c r="H10" i="1"/>
  <c r="J10" i="1" s="1"/>
  <c r="H11" i="1"/>
  <c r="J11" i="1" s="1"/>
  <c r="H6" i="1"/>
  <c r="J6" i="1" s="1"/>
</calcChain>
</file>

<file path=xl/sharedStrings.xml><?xml version="1.0" encoding="utf-8"?>
<sst xmlns="http://schemas.openxmlformats.org/spreadsheetml/2006/main" count="355" uniqueCount="94">
  <si>
    <t>CÔNG TY TNHH MTV VẬN TẢI VÀ DU LỊCH MINH HẢI</t>
  </si>
  <si>
    <t>STT</t>
  </si>
  <si>
    <t>TỔNG DOANH THU</t>
  </si>
  <si>
    <t>HỌ TÊN</t>
  </si>
  <si>
    <t>SỐ XE</t>
  </si>
  <si>
    <t>ĐẠT KPI</t>
  </si>
  <si>
    <t>VƯỢT KPI</t>
  </si>
  <si>
    <t>TỔNG ĐÃ ỨNG (40%)</t>
  </si>
  <si>
    <t>PHẦN CHÊNH LỆCH 
10%</t>
  </si>
  <si>
    <t>GHI CHÚ</t>
  </si>
  <si>
    <t>68HC 001.92</t>
  </si>
  <si>
    <t>68HC 001.81</t>
  </si>
  <si>
    <t>68HC 001.63</t>
  </si>
  <si>
    <t>68HC 001.71</t>
  </si>
  <si>
    <t>68HC 001.33</t>
  </si>
  <si>
    <t>68HC 001.36</t>
  </si>
  <si>
    <t>KPI</t>
  </si>
  <si>
    <t>KÝ NHẬN</t>
  </si>
  <si>
    <t>68HC 001.78</t>
  </si>
  <si>
    <t>68HC 001.03</t>
  </si>
  <si>
    <t>68HC 001.70</t>
  </si>
  <si>
    <t>TÙNG</t>
  </si>
  <si>
    <t>NHẤT</t>
  </si>
  <si>
    <t>THANH</t>
  </si>
  <si>
    <t>HÙNG</t>
  </si>
  <si>
    <t>LÊ VĂN</t>
  </si>
  <si>
    <t>ĐỖ VĂN</t>
  </si>
  <si>
    <t>LÊ THÀNH</t>
  </si>
  <si>
    <t>NGUYỄN QUỐC</t>
  </si>
  <si>
    <t>NGUYỄN DUY</t>
  </si>
  <si>
    <t>TRẦN VIẾT</t>
  </si>
  <si>
    <t>TIỀN CỌC</t>
  </si>
  <si>
    <t>CHUNG</t>
  </si>
  <si>
    <t>LẬP</t>
  </si>
  <si>
    <t>NAM</t>
  </si>
  <si>
    <t>TRẦN THANH</t>
  </si>
  <si>
    <t>TỶ LỆ</t>
  </si>
  <si>
    <t>6 : 4</t>
  </si>
  <si>
    <t>ĐÃ ĐÓNG CỌC</t>
  </si>
  <si>
    <t>-</t>
  </si>
  <si>
    <t>Ngày cọc 04/01</t>
  </si>
  <si>
    <t>Ngày cọc 15/01</t>
  </si>
  <si>
    <t>Ngày cọc 01/01</t>
  </si>
  <si>
    <t>Ngày cọc 03/01</t>
  </si>
  <si>
    <t>TRẦN HOÀI</t>
  </si>
  <si>
    <t>THIỆN</t>
  </si>
  <si>
    <t>ĐỖ THÀNH</t>
  </si>
  <si>
    <t>THỪA</t>
  </si>
  <si>
    <t>NGUYỄN VĂN</t>
  </si>
  <si>
    <t>THÁI</t>
  </si>
  <si>
    <t>BÙI VĂN</t>
  </si>
  <si>
    <t>HẬN</t>
  </si>
  <si>
    <t>PHAN HOÀNG</t>
  </si>
  <si>
    <t>EM</t>
  </si>
  <si>
    <t>HUỲNH HOÀNG</t>
  </si>
  <si>
    <t>VŨ</t>
  </si>
  <si>
    <t>VŨ ĐỨC</t>
  </si>
  <si>
    <t>HẠNH</t>
  </si>
  <si>
    <t>HOÀNG ANH</t>
  </si>
  <si>
    <t>TUẤN</t>
  </si>
  <si>
    <t>68HC 001.34</t>
  </si>
  <si>
    <t>đang làm biển</t>
  </si>
  <si>
    <t xml:space="preserve">68HC 001.89 </t>
  </si>
  <si>
    <t>ĐÃ NGHỈ</t>
  </si>
  <si>
    <t>vào làm ngày 07/01</t>
  </si>
  <si>
    <t>vào làm ngày 05/01</t>
  </si>
  <si>
    <t>vào làm ngày 13/01</t>
  </si>
  <si>
    <t>vào làm ngày 14/01</t>
  </si>
  <si>
    <t>68HC 001.91</t>
  </si>
  <si>
    <t>TRƯƠNG VŨ</t>
  </si>
  <si>
    <t>CA</t>
  </si>
  <si>
    <t>BÌNH</t>
  </si>
  <si>
    <t>NGUYỄN QUANG</t>
  </si>
  <si>
    <t>HÀ</t>
  </si>
  <si>
    <t xml:space="preserve">LÊ VĨNH </t>
  </si>
  <si>
    <t>NHÂM</t>
  </si>
  <si>
    <t>MAI BÁ</t>
  </si>
  <si>
    <t>ĐẠT</t>
  </si>
  <si>
    <t>THẠO</t>
  </si>
  <si>
    <t>NGUYỄN CHÍ</t>
  </si>
  <si>
    <t>68HC 001.84</t>
  </si>
  <si>
    <t>68HC 001.98</t>
  </si>
  <si>
    <t>68HC 001.86</t>
  </si>
  <si>
    <t>68HC 001.68</t>
  </si>
  <si>
    <t>vào làm ngày 08/01</t>
  </si>
  <si>
    <t>BẢNG TỔNG HỢP DOANH THU BẮC ĐẢO (01 - 15/01/2026)</t>
  </si>
  <si>
    <t>68HC 001.89</t>
  </si>
  <si>
    <t>NAM ĐẢO</t>
  </si>
  <si>
    <t>DƯƠNG ĐÔNG</t>
  </si>
  <si>
    <t>BẮC ĐẢO</t>
  </si>
  <si>
    <t>BẢNG TỔNG HỢP DOANH THU NAM ĐẢO (01 - 15/01/2026)</t>
  </si>
  <si>
    <t>BẢNG TỔNG HỢP DOANH THU DƯƠNG ĐÔNG (01 - 15/01/2026)</t>
  </si>
  <si>
    <t>ĐÃ THANH TOÁN</t>
  </si>
  <si>
    <t>Ngày cọc 17/01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</si>
</sst>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3"/>
      <color theme="1"/>
      <name val="Times New Roman"/>
      <family val="2"/>
    </font>
    <font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2"/>
    </font>
    <font>
      <b/>
      <sz val="13"/>
      <color rgb="FFFF0000"/>
      <name val="Times New Roman"/>
      <family val="1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7F91-2A8F-4750-9468-3F39265DB667}">
  <dimension ref="A1:M12"/>
  <sheetViews>
    <sheetView zoomScaleNormal="100" workbookViewId="0">
      <selection activeCell="J6" sqref="J6"/>
    </sheetView>
  </sheetViews>
  <sheetFormatPr defaultRowHeight="16.5" x14ac:dyDescent="0.25"/>
  <cols>
    <col min="1" max="1" width="13.33203125" customWidth="1"/>
    <col min="3" max="3" width="16.554687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85</v>
      </c>
      <c r="L2" s="42" t="s">
        <v>16</v>
      </c>
      <c r="M2" s="7">
        <v>1800000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49.5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20.100000000000001" customHeight="1" x14ac:dyDescent="0.3">
      <c r="A6" s="48" t="s">
        <v>89</v>
      </c>
      <c r="B6" s="13">
        <v>1</v>
      </c>
      <c r="C6" s="10" t="s">
        <v>69</v>
      </c>
      <c r="D6" s="8" t="s">
        <v>70</v>
      </c>
      <c r="E6" s="3" t="s">
        <v>80</v>
      </c>
      <c r="F6" s="31">
        <v>30900000</v>
      </c>
      <c r="G6" s="14">
        <v>27000000</v>
      </c>
      <c r="H6" s="14">
        <f>F6-G6</f>
        <v>3900000</v>
      </c>
      <c r="I6" s="14">
        <f t="shared" ref="I6:I11" si="0">F6*40%</f>
        <v>12360000</v>
      </c>
      <c r="J6" s="31">
        <f>H6*10%</f>
        <v>390000</v>
      </c>
      <c r="K6" s="34" t="s">
        <v>38</v>
      </c>
      <c r="L6" s="15"/>
      <c r="M6" s="19" t="s">
        <v>43</v>
      </c>
    </row>
    <row r="7" spans="1:13" ht="20.100000000000001" customHeight="1" x14ac:dyDescent="0.3">
      <c r="A7" s="49"/>
      <c r="B7" s="22">
        <f t="shared" ref="B7:B11" si="1">B6+1</f>
        <v>2</v>
      </c>
      <c r="C7" s="23" t="s">
        <v>72</v>
      </c>
      <c r="D7" s="24" t="s">
        <v>73</v>
      </c>
      <c r="E7" s="25" t="s">
        <v>81</v>
      </c>
      <c r="F7" s="32">
        <v>27880000</v>
      </c>
      <c r="G7" s="22" t="s">
        <v>39</v>
      </c>
      <c r="H7" s="22" t="s">
        <v>39</v>
      </c>
      <c r="I7" s="26">
        <f t="shared" si="0"/>
        <v>11152000</v>
      </c>
      <c r="J7" s="22" t="s">
        <v>39</v>
      </c>
      <c r="K7" s="22" t="s">
        <v>39</v>
      </c>
      <c r="L7" s="27"/>
      <c r="M7" s="30" t="s">
        <v>63</v>
      </c>
    </row>
    <row r="8" spans="1:13" ht="20.100000000000001" customHeight="1" x14ac:dyDescent="0.3">
      <c r="A8" s="49"/>
      <c r="B8" s="22">
        <f t="shared" si="1"/>
        <v>3</v>
      </c>
      <c r="C8" s="23" t="s">
        <v>74</v>
      </c>
      <c r="D8" s="24" t="s">
        <v>75</v>
      </c>
      <c r="E8" s="35" t="s">
        <v>82</v>
      </c>
      <c r="F8" s="32">
        <v>16200000</v>
      </c>
      <c r="G8" s="22" t="s">
        <v>39</v>
      </c>
      <c r="H8" s="22" t="s">
        <v>39</v>
      </c>
      <c r="I8" s="26">
        <f t="shared" si="0"/>
        <v>6480000</v>
      </c>
      <c r="J8" s="22" t="s">
        <v>39</v>
      </c>
      <c r="K8" s="22" t="s">
        <v>39</v>
      </c>
      <c r="L8" s="27"/>
      <c r="M8" s="30" t="s">
        <v>63</v>
      </c>
    </row>
    <row r="9" spans="1:13" ht="20.100000000000001" customHeight="1" x14ac:dyDescent="0.3">
      <c r="A9" s="49"/>
      <c r="B9" s="13">
        <f t="shared" si="1"/>
        <v>4</v>
      </c>
      <c r="C9" s="10" t="s">
        <v>76</v>
      </c>
      <c r="D9" s="8" t="s">
        <v>77</v>
      </c>
      <c r="E9" s="3" t="s">
        <v>83</v>
      </c>
      <c r="F9" s="31">
        <v>10640000</v>
      </c>
      <c r="G9" s="13" t="s">
        <v>39</v>
      </c>
      <c r="H9" s="13" t="s">
        <v>39</v>
      </c>
      <c r="I9" s="14">
        <f t="shared" si="0"/>
        <v>4256000</v>
      </c>
      <c r="J9" s="13" t="s">
        <v>39</v>
      </c>
      <c r="K9" s="13" t="s">
        <v>39</v>
      </c>
      <c r="L9" s="15"/>
      <c r="M9" s="33" t="s">
        <v>64</v>
      </c>
    </row>
    <row r="10" spans="1:13" ht="20.100000000000001" customHeight="1" x14ac:dyDescent="0.3">
      <c r="A10" s="49"/>
      <c r="B10" s="13">
        <f t="shared" si="1"/>
        <v>5</v>
      </c>
      <c r="C10" s="10" t="s">
        <v>48</v>
      </c>
      <c r="D10" s="8" t="s">
        <v>78</v>
      </c>
      <c r="E10" s="4" t="s">
        <v>68</v>
      </c>
      <c r="F10" s="31">
        <v>10250000</v>
      </c>
      <c r="G10" s="13" t="s">
        <v>39</v>
      </c>
      <c r="H10" s="13" t="s">
        <v>39</v>
      </c>
      <c r="I10" s="14">
        <f t="shared" si="0"/>
        <v>4100000</v>
      </c>
      <c r="J10" s="13" t="s">
        <v>39</v>
      </c>
      <c r="K10" s="13" t="s">
        <v>39</v>
      </c>
      <c r="L10" s="15"/>
      <c r="M10" s="33" t="s">
        <v>84</v>
      </c>
    </row>
    <row r="11" spans="1:13" ht="20.100000000000001" customHeight="1" x14ac:dyDescent="0.3">
      <c r="A11" s="49"/>
      <c r="B11" s="22">
        <f t="shared" si="1"/>
        <v>6</v>
      </c>
      <c r="C11" s="23" t="s">
        <v>79</v>
      </c>
      <c r="D11" s="24" t="s">
        <v>71</v>
      </c>
      <c r="E11" s="36" t="s">
        <v>62</v>
      </c>
      <c r="F11" s="32">
        <v>17850000</v>
      </c>
      <c r="G11" s="22" t="s">
        <v>39</v>
      </c>
      <c r="H11" s="22" t="s">
        <v>39</v>
      </c>
      <c r="I11" s="26">
        <f t="shared" si="0"/>
        <v>7140000</v>
      </c>
      <c r="J11" s="22" t="s">
        <v>39</v>
      </c>
      <c r="K11" s="22" t="s">
        <v>39</v>
      </c>
      <c r="L11" s="27"/>
      <c r="M11" s="30" t="s">
        <v>63</v>
      </c>
    </row>
    <row r="12" spans="1:13" ht="20.100000000000001" customHeight="1" x14ac:dyDescent="0.25"/>
  </sheetData>
  <mergeCells count="3">
    <mergeCell ref="E4:F4"/>
    <mergeCell ref="C5:D5"/>
    <mergeCell ref="A6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6FC0-56D4-4C1B-A946-F46B4FD1E1AE}">
  <dimension ref="A1:M24"/>
  <sheetViews>
    <sheetView zoomScaleNormal="100" workbookViewId="0">
      <selection activeCell="I19" sqref="I19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91</v>
      </c>
      <c r="L2" s="42" t="s">
        <v>16</v>
      </c>
      <c r="M2" s="7"/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49.5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54.75" customHeight="1" x14ac:dyDescent="0.25">
      <c r="A6" s="50" t="s">
        <v>88</v>
      </c>
      <c r="B6" s="37">
        <v>1</v>
      </c>
      <c r="C6" s="10" t="s">
        <v>56</v>
      </c>
      <c r="D6" s="8" t="s">
        <v>57</v>
      </c>
      <c r="E6" s="5" t="s">
        <v>13</v>
      </c>
      <c r="F6" s="21">
        <v>2958000</v>
      </c>
      <c r="G6" s="37" t="s">
        <v>39</v>
      </c>
      <c r="H6" s="37" t="s">
        <v>39</v>
      </c>
      <c r="I6" s="38">
        <f t="shared" ref="I6:I7" si="0">F6*40%</f>
        <v>1183200</v>
      </c>
      <c r="J6" s="37" t="s">
        <v>39</v>
      </c>
      <c r="K6" s="37" t="s">
        <v>39</v>
      </c>
      <c r="L6" s="37"/>
      <c r="M6" s="39" t="s">
        <v>67</v>
      </c>
    </row>
    <row r="7" spans="1:13" ht="60.75" customHeight="1" x14ac:dyDescent="0.25">
      <c r="A7" s="51"/>
      <c r="B7" s="37">
        <v>2</v>
      </c>
      <c r="C7" s="10" t="s">
        <v>58</v>
      </c>
      <c r="D7" s="8" t="s">
        <v>59</v>
      </c>
      <c r="E7" s="6" t="s">
        <v>86</v>
      </c>
      <c r="F7" s="21">
        <v>3265000</v>
      </c>
      <c r="G7" s="37" t="s">
        <v>39</v>
      </c>
      <c r="H7" s="37" t="s">
        <v>39</v>
      </c>
      <c r="I7" s="38">
        <f t="shared" si="0"/>
        <v>1306000</v>
      </c>
      <c r="J7" s="37" t="s">
        <v>39</v>
      </c>
      <c r="K7" s="37" t="s">
        <v>39</v>
      </c>
      <c r="L7" s="37"/>
      <c r="M7" s="39" t="s">
        <v>67</v>
      </c>
    </row>
    <row r="8" spans="1:13" ht="20.100000000000001" customHeight="1" x14ac:dyDescent="0.25">
      <c r="A8" s="51"/>
      <c r="B8" s="13">
        <f>B7+1</f>
        <v>3</v>
      </c>
      <c r="C8" s="10" t="s">
        <v>26</v>
      </c>
      <c r="D8" s="8" t="s">
        <v>32</v>
      </c>
      <c r="E8" s="3" t="s">
        <v>11</v>
      </c>
      <c r="F8" s="31">
        <v>26980000</v>
      </c>
      <c r="G8" s="14">
        <v>25500000</v>
      </c>
      <c r="H8" s="14">
        <f>F8-G8</f>
        <v>1480000</v>
      </c>
      <c r="I8" s="14">
        <f>F8*40%</f>
        <v>10792000</v>
      </c>
      <c r="J8" s="31">
        <f>H8*10%</f>
        <v>148000</v>
      </c>
      <c r="K8" s="34" t="s">
        <v>38</v>
      </c>
      <c r="L8" s="15"/>
      <c r="M8" s="18" t="s">
        <v>41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18.75" customHeight="1" x14ac:dyDescent="0.25"/>
    <row r="14" spans="1:13" ht="18.75" customHeight="1" x14ac:dyDescent="0.25"/>
    <row r="15" spans="1:13" ht="18.75" customHeight="1" x14ac:dyDescent="0.25"/>
    <row r="16" spans="1:13" ht="18.75" customHeight="1" x14ac:dyDescent="0.25"/>
    <row r="17" ht="18.75" customHeight="1" x14ac:dyDescent="0.25"/>
    <row r="20" ht="17.25" customHeight="1" x14ac:dyDescent="0.25"/>
    <row r="21" ht="42.75" customHeight="1" x14ac:dyDescent="0.25"/>
    <row r="22" ht="34.5" customHeight="1" x14ac:dyDescent="0.25"/>
    <row r="23" ht="16.5" customHeight="1" x14ac:dyDescent="0.25"/>
    <row r="24" ht="16.5" customHeight="1" x14ac:dyDescent="0.25"/>
  </sheetData>
  <mergeCells count="3">
    <mergeCell ref="E4:F4"/>
    <mergeCell ref="C5:D5"/>
    <mergeCell ref="A6:A8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C8E2-FB98-4FAD-95BF-7084CCDC47FB}">
  <dimension ref="A1:M24"/>
  <sheetViews>
    <sheetView zoomScale="85" zoomScaleNormal="85" workbookViewId="0">
      <selection activeCell="K11" sqref="K11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90</v>
      </c>
      <c r="L2" s="42" t="s">
        <v>16</v>
      </c>
      <c r="M2" s="7">
        <v>1700000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49.5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20.100000000000001" customHeight="1" x14ac:dyDescent="0.3">
      <c r="A6" s="52" t="s">
        <v>87</v>
      </c>
      <c r="B6" s="13">
        <v>1</v>
      </c>
      <c r="C6" s="10" t="s">
        <v>25</v>
      </c>
      <c r="D6" s="8" t="s">
        <v>21</v>
      </c>
      <c r="E6" s="3" t="s">
        <v>10</v>
      </c>
      <c r="F6" s="31">
        <v>32340000</v>
      </c>
      <c r="G6" s="14">
        <v>25500000</v>
      </c>
      <c r="H6" s="14">
        <f t="shared" ref="H6:H11" si="0">F6-G6</f>
        <v>6840000</v>
      </c>
      <c r="I6" s="14">
        <f t="shared" ref="I6:I11" si="1">F6*40%</f>
        <v>12936000</v>
      </c>
      <c r="J6" s="31">
        <f t="shared" ref="J6:J11" si="2">H6*10%</f>
        <v>684000</v>
      </c>
      <c r="K6" s="13" t="s">
        <v>39</v>
      </c>
      <c r="L6" s="15"/>
      <c r="M6" s="17"/>
    </row>
    <row r="7" spans="1:13" ht="20.100000000000001" customHeight="1" x14ac:dyDescent="0.25">
      <c r="A7" s="53"/>
      <c r="B7" s="13">
        <f>B6+1</f>
        <v>2</v>
      </c>
      <c r="C7" s="11" t="s">
        <v>27</v>
      </c>
      <c r="D7" s="9" t="s">
        <v>33</v>
      </c>
      <c r="E7" s="4" t="s">
        <v>19</v>
      </c>
      <c r="F7" s="31">
        <v>31105000</v>
      </c>
      <c r="G7" s="14">
        <v>25500000</v>
      </c>
      <c r="H7" s="14">
        <f t="shared" si="0"/>
        <v>5605000</v>
      </c>
      <c r="I7" s="14">
        <f t="shared" si="1"/>
        <v>12442000</v>
      </c>
      <c r="J7" s="31">
        <f t="shared" si="2"/>
        <v>560500</v>
      </c>
      <c r="K7" s="34" t="s">
        <v>38</v>
      </c>
      <c r="L7" s="15"/>
      <c r="M7" s="18" t="s">
        <v>40</v>
      </c>
    </row>
    <row r="8" spans="1:13" ht="20.100000000000001" customHeight="1" x14ac:dyDescent="0.3">
      <c r="A8" s="53"/>
      <c r="B8" s="13">
        <f>B7+1</f>
        <v>3</v>
      </c>
      <c r="C8" s="10" t="s">
        <v>28</v>
      </c>
      <c r="D8" s="8" t="s">
        <v>34</v>
      </c>
      <c r="E8" s="5" t="s">
        <v>12</v>
      </c>
      <c r="F8" s="31">
        <v>28020000</v>
      </c>
      <c r="G8" s="14">
        <v>25500000</v>
      </c>
      <c r="H8" s="14">
        <f t="shared" si="0"/>
        <v>2520000</v>
      </c>
      <c r="I8" s="14">
        <f t="shared" si="1"/>
        <v>11208000</v>
      </c>
      <c r="J8" s="31">
        <f t="shared" si="2"/>
        <v>252000</v>
      </c>
      <c r="K8" s="16" t="s">
        <v>39</v>
      </c>
      <c r="L8" s="15"/>
      <c r="M8" s="19"/>
    </row>
    <row r="9" spans="1:13" ht="20.100000000000001" customHeight="1" x14ac:dyDescent="0.25">
      <c r="A9" s="53"/>
      <c r="B9" s="13">
        <f>B8+1</f>
        <v>4</v>
      </c>
      <c r="C9" s="10" t="s">
        <v>29</v>
      </c>
      <c r="D9" s="8" t="s">
        <v>22</v>
      </c>
      <c r="E9" s="5" t="s">
        <v>18</v>
      </c>
      <c r="F9" s="31">
        <v>29024000</v>
      </c>
      <c r="G9" s="14">
        <v>25500000</v>
      </c>
      <c r="H9" s="14">
        <f t="shared" si="0"/>
        <v>3524000</v>
      </c>
      <c r="I9" s="14">
        <f t="shared" si="1"/>
        <v>11609600</v>
      </c>
      <c r="J9" s="31">
        <f t="shared" si="2"/>
        <v>352400</v>
      </c>
      <c r="K9" s="34" t="s">
        <v>38</v>
      </c>
      <c r="L9" s="15"/>
      <c r="M9" s="18" t="s">
        <v>42</v>
      </c>
    </row>
    <row r="10" spans="1:13" ht="20.100000000000001" customHeight="1" x14ac:dyDescent="0.3">
      <c r="A10" s="53"/>
      <c r="B10" s="13">
        <f>B9+1</f>
        <v>5</v>
      </c>
      <c r="C10" s="10" t="s">
        <v>35</v>
      </c>
      <c r="D10" s="8" t="s">
        <v>23</v>
      </c>
      <c r="E10" s="5" t="s">
        <v>14</v>
      </c>
      <c r="F10" s="31">
        <v>26124000</v>
      </c>
      <c r="G10" s="14">
        <v>25500000</v>
      </c>
      <c r="H10" s="14">
        <f t="shared" si="0"/>
        <v>624000</v>
      </c>
      <c r="I10" s="14">
        <f t="shared" si="1"/>
        <v>10449600</v>
      </c>
      <c r="J10" s="31">
        <f t="shared" si="2"/>
        <v>62400</v>
      </c>
      <c r="K10" s="34" t="s">
        <v>38</v>
      </c>
      <c r="L10" s="15"/>
      <c r="M10" s="19" t="s">
        <v>43</v>
      </c>
    </row>
    <row r="11" spans="1:13" ht="20.100000000000001" customHeight="1" x14ac:dyDescent="0.3">
      <c r="A11" s="53"/>
      <c r="B11" s="13">
        <f>B10+1</f>
        <v>6</v>
      </c>
      <c r="C11" s="10" t="s">
        <v>30</v>
      </c>
      <c r="D11" s="8" t="s">
        <v>24</v>
      </c>
      <c r="E11" s="6" t="s">
        <v>20</v>
      </c>
      <c r="F11" s="31">
        <v>32561000</v>
      </c>
      <c r="G11" s="14">
        <v>25500000</v>
      </c>
      <c r="H11" s="14">
        <f t="shared" si="0"/>
        <v>7061000</v>
      </c>
      <c r="I11" s="14">
        <f t="shared" si="1"/>
        <v>13024400</v>
      </c>
      <c r="J11" s="31">
        <f t="shared" si="2"/>
        <v>706100</v>
      </c>
      <c r="K11" s="13" t="s">
        <v>39</v>
      </c>
      <c r="L11" s="15"/>
      <c r="M11" s="17"/>
    </row>
    <row r="12" spans="1:13" ht="20.100000000000001" customHeight="1" x14ac:dyDescent="0.3">
      <c r="A12" s="53"/>
      <c r="B12" s="22">
        <f t="shared" ref="B12:B16" si="3">B11+1</f>
        <v>7</v>
      </c>
      <c r="C12" s="23" t="s">
        <v>26</v>
      </c>
      <c r="D12" s="24" t="s">
        <v>34</v>
      </c>
      <c r="E12" s="25" t="s">
        <v>60</v>
      </c>
      <c r="F12" s="32">
        <v>27700000</v>
      </c>
      <c r="G12" s="26" t="s">
        <v>39</v>
      </c>
      <c r="H12" s="26" t="s">
        <v>39</v>
      </c>
      <c r="I12" s="26">
        <f t="shared" ref="I12:I16" si="4">F12*40%</f>
        <v>11080000</v>
      </c>
      <c r="J12" s="26" t="s">
        <v>39</v>
      </c>
      <c r="K12" s="22" t="s">
        <v>39</v>
      </c>
      <c r="L12" s="27"/>
      <c r="M12" s="30" t="s">
        <v>63</v>
      </c>
    </row>
    <row r="13" spans="1:13" ht="18.75" customHeight="1" x14ac:dyDescent="0.3">
      <c r="A13" s="53"/>
      <c r="B13" s="22">
        <f t="shared" si="3"/>
        <v>8</v>
      </c>
      <c r="C13" s="23" t="s">
        <v>44</v>
      </c>
      <c r="D13" s="24" t="s">
        <v>45</v>
      </c>
      <c r="E13" s="25" t="s">
        <v>13</v>
      </c>
      <c r="F13" s="32">
        <v>24670000</v>
      </c>
      <c r="G13" s="26" t="s">
        <v>39</v>
      </c>
      <c r="H13" s="26" t="s">
        <v>39</v>
      </c>
      <c r="I13" s="26">
        <f t="shared" si="4"/>
        <v>9868000</v>
      </c>
      <c r="J13" s="26" t="s">
        <v>39</v>
      </c>
      <c r="K13" s="22" t="s">
        <v>39</v>
      </c>
      <c r="L13" s="27"/>
      <c r="M13" s="30" t="s">
        <v>63</v>
      </c>
    </row>
    <row r="14" spans="1:13" ht="18.75" customHeight="1" x14ac:dyDescent="0.3">
      <c r="A14" s="53"/>
      <c r="B14" s="13">
        <f t="shared" si="3"/>
        <v>9</v>
      </c>
      <c r="C14" s="10" t="s">
        <v>46</v>
      </c>
      <c r="D14" s="8" t="s">
        <v>47</v>
      </c>
      <c r="E14" s="5" t="s">
        <v>15</v>
      </c>
      <c r="F14" s="31">
        <v>15425000</v>
      </c>
      <c r="G14" s="13" t="s">
        <v>39</v>
      </c>
      <c r="H14" s="13" t="s">
        <v>39</v>
      </c>
      <c r="I14" s="14">
        <f t="shared" si="4"/>
        <v>6170000</v>
      </c>
      <c r="J14" s="13" t="s">
        <v>39</v>
      </c>
      <c r="K14" s="13" t="s">
        <v>39</v>
      </c>
      <c r="L14" s="15"/>
      <c r="M14" s="33" t="s">
        <v>64</v>
      </c>
    </row>
    <row r="15" spans="1:13" ht="18.75" customHeight="1" x14ac:dyDescent="0.3">
      <c r="A15" s="53"/>
      <c r="B15" s="13">
        <f t="shared" si="3"/>
        <v>10</v>
      </c>
      <c r="C15" s="10" t="s">
        <v>48</v>
      </c>
      <c r="D15" s="8" t="s">
        <v>49</v>
      </c>
      <c r="E15" s="6" t="s">
        <v>68</v>
      </c>
      <c r="F15" s="31">
        <v>25042000</v>
      </c>
      <c r="G15" s="13" t="s">
        <v>39</v>
      </c>
      <c r="H15" s="13" t="s">
        <v>39</v>
      </c>
      <c r="I15" s="14">
        <f t="shared" si="4"/>
        <v>10016800</v>
      </c>
      <c r="J15" s="13" t="s">
        <v>39</v>
      </c>
      <c r="K15" s="13" t="s">
        <v>39</v>
      </c>
      <c r="L15" s="15"/>
      <c r="M15" s="33" t="s">
        <v>65</v>
      </c>
    </row>
    <row r="16" spans="1:13" ht="18.75" customHeight="1" x14ac:dyDescent="0.3">
      <c r="A16" s="53"/>
      <c r="B16" s="22">
        <f t="shared" si="3"/>
        <v>11</v>
      </c>
      <c r="C16" s="23" t="s">
        <v>50</v>
      </c>
      <c r="D16" s="24" t="s">
        <v>51</v>
      </c>
      <c r="E16" s="28" t="s">
        <v>15</v>
      </c>
      <c r="F16" s="32">
        <v>11275000</v>
      </c>
      <c r="G16" s="26" t="s">
        <v>39</v>
      </c>
      <c r="H16" s="22" t="s">
        <v>39</v>
      </c>
      <c r="I16" s="26">
        <f t="shared" si="4"/>
        <v>4510000</v>
      </c>
      <c r="J16" s="22" t="s">
        <v>39</v>
      </c>
      <c r="K16" s="22" t="s">
        <v>39</v>
      </c>
      <c r="L16" s="27"/>
      <c r="M16" s="30" t="s">
        <v>63</v>
      </c>
    </row>
    <row r="17" spans="1:13" ht="18.75" customHeight="1" x14ac:dyDescent="0.3">
      <c r="A17" s="53"/>
      <c r="B17" s="13">
        <f t="shared" ref="B17:B18" si="5">B16+1</f>
        <v>12</v>
      </c>
      <c r="C17" s="10" t="s">
        <v>52</v>
      </c>
      <c r="D17" s="8" t="s">
        <v>53</v>
      </c>
      <c r="E17" s="20" t="s">
        <v>61</v>
      </c>
      <c r="F17" s="31">
        <v>5128000</v>
      </c>
      <c r="G17" s="13" t="s">
        <v>39</v>
      </c>
      <c r="H17" s="13" t="s">
        <v>39</v>
      </c>
      <c r="I17" s="14">
        <f>F17*40%</f>
        <v>2051200</v>
      </c>
      <c r="J17" s="13" t="s">
        <v>39</v>
      </c>
      <c r="K17" s="13" t="s">
        <v>39</v>
      </c>
      <c r="L17" s="15"/>
      <c r="M17" s="33" t="s">
        <v>66</v>
      </c>
    </row>
    <row r="18" spans="1:13" ht="18.75" customHeight="1" x14ac:dyDescent="0.3">
      <c r="A18" s="53"/>
      <c r="B18" s="22">
        <f t="shared" si="5"/>
        <v>13</v>
      </c>
      <c r="C18" s="23" t="s">
        <v>54</v>
      </c>
      <c r="D18" s="24" t="s">
        <v>55</v>
      </c>
      <c r="E18" s="29" t="s">
        <v>61</v>
      </c>
      <c r="F18" s="32">
        <v>2860000</v>
      </c>
      <c r="G18" s="26" t="s">
        <v>39</v>
      </c>
      <c r="H18" s="22" t="s">
        <v>39</v>
      </c>
      <c r="I18" s="26">
        <f>F18*40%</f>
        <v>1144000</v>
      </c>
      <c r="J18" s="22" t="s">
        <v>39</v>
      </c>
      <c r="K18" s="22" t="s">
        <v>39</v>
      </c>
      <c r="L18" s="27"/>
      <c r="M18" s="30" t="s">
        <v>63</v>
      </c>
    </row>
    <row r="19" spans="1:13" ht="16.5" customHeight="1" x14ac:dyDescent="0.25"/>
    <row r="20" spans="1:13" ht="17.25" customHeight="1" x14ac:dyDescent="0.25"/>
    <row r="21" spans="1:13" ht="42.75" customHeight="1" x14ac:dyDescent="0.25"/>
    <row r="22" spans="1:13" ht="34.5" customHeight="1" x14ac:dyDescent="0.25"/>
    <row r="23" spans="1:13" ht="16.5" customHeight="1" x14ac:dyDescent="0.25"/>
    <row r="24" spans="1:13" ht="16.5" customHeight="1" x14ac:dyDescent="0.25"/>
  </sheetData>
  <sortState xmlns:xlrd2="http://schemas.microsoft.com/office/spreadsheetml/2017/richdata2" ref="C6:L12">
    <sortCondition ref="C5:C12"/>
  </sortState>
  <mergeCells count="3">
    <mergeCell ref="A6:A18"/>
    <mergeCell ref="C5:D5"/>
    <mergeCell ref="E4:F4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72D7-D111-44D1-8D7B-C8C37D80B9DE}">
  <dimension ref="A1:M18"/>
  <sheetViews>
    <sheetView tabSelected="1" workbookViewId="0">
      <selection activeCell="I22" sqref="I22"/>
    </sheetView>
  </sheetViews>
  <sheetFormatPr defaultRowHeight="16.5" x14ac:dyDescent="0.25"/>
  <cols>
    <col min="1" max="1" width="18.33203125" customWidth="1"/>
    <col min="2" max="2" width="16" customWidth="1"/>
    <col min="3" max="3" width="14.6640625" customWidth="1"/>
    <col min="4" max="4" width="10.44140625" customWidth="1"/>
    <col min="5" max="5" width="15" customWidth="1"/>
    <col min="6" max="6" width="16.109375" customWidth="1"/>
    <col min="7" max="7" width="13" customWidth="1"/>
    <col min="8" max="8" width="14.33203125" customWidth="1"/>
    <col min="9" max="9" width="12.5546875" customWidth="1"/>
    <col min="10" max="10" width="19.5546875" customWidth="1"/>
    <col min="11" max="11" width="19.33203125" customWidth="1"/>
    <col min="12" max="12" width="19.109375" customWidth="1"/>
    <col min="13" max="13" width="18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90</v>
      </c>
      <c r="L2" s="42" t="s">
        <v>16</v>
      </c>
      <c r="M2" s="7">
        <v>1700000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33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18.75" customHeight="1" x14ac:dyDescent="0.3">
      <c r="A6" s="52" t="s">
        <v>87</v>
      </c>
      <c r="B6" s="13">
        <v>1</v>
      </c>
      <c r="C6" s="10" t="s">
        <v>25</v>
      </c>
      <c r="D6" s="8" t="s">
        <v>21</v>
      </c>
      <c r="E6" s="3" t="s">
        <v>10</v>
      </c>
      <c r="F6" s="31">
        <v>32340000</v>
      </c>
      <c r="G6" s="14">
        <v>25500000</v>
      </c>
      <c r="H6" s="14">
        <f t="shared" ref="H6:H11" si="0">F6-G6</f>
        <v>6840000</v>
      </c>
      <c r="I6" s="14">
        <f t="shared" ref="I6:I11" si="1">F6*40%</f>
        <v>12936000</v>
      </c>
      <c r="J6" s="31">
        <f t="shared" ref="J6:J11" si="2">H6*10%</f>
        <v>684000</v>
      </c>
      <c r="K6" s="44" t="s">
        <v>38</v>
      </c>
      <c r="L6" s="13" t="s">
        <v>39</v>
      </c>
      <c r="M6" s="19" t="s">
        <v>93</v>
      </c>
    </row>
    <row r="7" spans="1:13" ht="18.75" customHeight="1" x14ac:dyDescent="0.25">
      <c r="A7" s="53"/>
      <c r="B7" s="13">
        <f>B6+1</f>
        <v>2</v>
      </c>
      <c r="C7" s="11" t="s">
        <v>27</v>
      </c>
      <c r="D7" s="9" t="s">
        <v>33</v>
      </c>
      <c r="E7" s="4" t="s">
        <v>19</v>
      </c>
      <c r="F7" s="31">
        <v>31105000</v>
      </c>
      <c r="G7" s="14">
        <v>25500000</v>
      </c>
      <c r="H7" s="14">
        <f t="shared" si="0"/>
        <v>5605000</v>
      </c>
      <c r="I7" s="14">
        <f t="shared" si="1"/>
        <v>12442000</v>
      </c>
      <c r="J7" s="31">
        <f t="shared" si="2"/>
        <v>560500</v>
      </c>
      <c r="K7" s="44" t="s">
        <v>38</v>
      </c>
      <c r="L7" s="43" t="s">
        <v>92</v>
      </c>
      <c r="M7" s="18" t="s">
        <v>40</v>
      </c>
    </row>
    <row r="8" spans="1:13" ht="18.75" customHeight="1" x14ac:dyDescent="0.3">
      <c r="A8" s="53"/>
      <c r="B8" s="13">
        <f>B7+1</f>
        <v>3</v>
      </c>
      <c r="C8" s="10" t="s">
        <v>28</v>
      </c>
      <c r="D8" s="8" t="s">
        <v>34</v>
      </c>
      <c r="E8" s="5" t="s">
        <v>12</v>
      </c>
      <c r="F8" s="31">
        <v>28020000</v>
      </c>
      <c r="G8" s="14">
        <v>25500000</v>
      </c>
      <c r="H8" s="14">
        <f t="shared" si="0"/>
        <v>2520000</v>
      </c>
      <c r="I8" s="14">
        <f t="shared" si="1"/>
        <v>11208000</v>
      </c>
      <c r="J8" s="31">
        <f t="shared" si="2"/>
        <v>252000</v>
      </c>
      <c r="K8" s="16" t="s">
        <v>39</v>
      </c>
      <c r="L8" s="13" t="s">
        <v>39</v>
      </c>
      <c r="M8" s="19"/>
    </row>
    <row r="9" spans="1:13" ht="18.75" customHeight="1" x14ac:dyDescent="0.25">
      <c r="A9" s="53"/>
      <c r="B9" s="13">
        <f>B8+1</f>
        <v>4</v>
      </c>
      <c r="C9" s="10" t="s">
        <v>29</v>
      </c>
      <c r="D9" s="8" t="s">
        <v>22</v>
      </c>
      <c r="E9" s="5" t="s">
        <v>18</v>
      </c>
      <c r="F9" s="31">
        <v>29024000</v>
      </c>
      <c r="G9" s="14">
        <v>25500000</v>
      </c>
      <c r="H9" s="14">
        <f t="shared" si="0"/>
        <v>3524000</v>
      </c>
      <c r="I9" s="14">
        <f t="shared" si="1"/>
        <v>11609600</v>
      </c>
      <c r="J9" s="31">
        <f t="shared" si="2"/>
        <v>352400</v>
      </c>
      <c r="K9" s="44" t="s">
        <v>38</v>
      </c>
      <c r="L9" s="43" t="s">
        <v>92</v>
      </c>
      <c r="M9" s="18" t="s">
        <v>42</v>
      </c>
    </row>
    <row r="10" spans="1:13" ht="18.75" customHeight="1" x14ac:dyDescent="0.3">
      <c r="A10" s="53"/>
      <c r="B10" s="13">
        <f>B9+1</f>
        <v>5</v>
      </c>
      <c r="C10" s="10" t="s">
        <v>35</v>
      </c>
      <c r="D10" s="8" t="s">
        <v>23</v>
      </c>
      <c r="E10" s="5" t="s">
        <v>14</v>
      </c>
      <c r="F10" s="31">
        <v>26124000</v>
      </c>
      <c r="G10" s="14">
        <v>25500000</v>
      </c>
      <c r="H10" s="14">
        <f t="shared" si="0"/>
        <v>624000</v>
      </c>
      <c r="I10" s="14">
        <f t="shared" si="1"/>
        <v>10449600</v>
      </c>
      <c r="J10" s="31">
        <f t="shared" si="2"/>
        <v>62400</v>
      </c>
      <c r="K10" s="44" t="s">
        <v>38</v>
      </c>
      <c r="L10" s="43" t="s">
        <v>92</v>
      </c>
      <c r="M10" s="19" t="s">
        <v>43</v>
      </c>
    </row>
    <row r="11" spans="1:13" ht="18.75" customHeight="1" x14ac:dyDescent="0.3">
      <c r="A11" s="53"/>
      <c r="B11" s="13">
        <f>B10+1</f>
        <v>6</v>
      </c>
      <c r="C11" s="10" t="s">
        <v>30</v>
      </c>
      <c r="D11" s="8" t="s">
        <v>24</v>
      </c>
      <c r="E11" s="6" t="s">
        <v>20</v>
      </c>
      <c r="F11" s="31">
        <v>32561000</v>
      </c>
      <c r="G11" s="14">
        <v>25500000</v>
      </c>
      <c r="H11" s="14">
        <f t="shared" si="0"/>
        <v>7061000</v>
      </c>
      <c r="I11" s="14">
        <f t="shared" si="1"/>
        <v>13024400</v>
      </c>
      <c r="J11" s="31">
        <f t="shared" si="2"/>
        <v>706100</v>
      </c>
      <c r="K11" s="44" t="s">
        <v>38</v>
      </c>
      <c r="L11" s="43" t="s">
        <v>92</v>
      </c>
      <c r="M11" s="19" t="s">
        <v>93</v>
      </c>
    </row>
    <row r="12" spans="1:13" ht="18.75" customHeight="1" x14ac:dyDescent="0.3">
      <c r="A12" s="53"/>
      <c r="B12" s="13">
        <f t="shared" ref="B12:B14" si="3">B11+1</f>
        <v>7</v>
      </c>
      <c r="C12" s="10" t="s">
        <v>46</v>
      </c>
      <c r="D12" s="8" t="s">
        <v>47</v>
      </c>
      <c r="E12" s="5" t="s">
        <v>15</v>
      </c>
      <c r="F12" s="31">
        <v>15425000</v>
      </c>
      <c r="G12" s="13" t="s">
        <v>39</v>
      </c>
      <c r="H12" s="13" t="s">
        <v>39</v>
      </c>
      <c r="I12" s="14">
        <f t="shared" ref="I12:I13" si="4">F12*40%</f>
        <v>6170000</v>
      </c>
      <c r="J12" s="13" t="s">
        <v>39</v>
      </c>
      <c r="K12" s="13" t="s">
        <v>39</v>
      </c>
      <c r="L12" s="13" t="s">
        <v>39</v>
      </c>
      <c r="M12" s="33" t="s">
        <v>64</v>
      </c>
    </row>
    <row r="13" spans="1:13" ht="18.75" customHeight="1" x14ac:dyDescent="0.3">
      <c r="A13" s="53"/>
      <c r="B13" s="13">
        <f t="shared" si="3"/>
        <v>8</v>
      </c>
      <c r="C13" s="10" t="s">
        <v>48</v>
      </c>
      <c r="D13" s="8" t="s">
        <v>49</v>
      </c>
      <c r="E13" s="6" t="s">
        <v>68</v>
      </c>
      <c r="F13" s="31">
        <v>25042000</v>
      </c>
      <c r="G13" s="13" t="s">
        <v>39</v>
      </c>
      <c r="H13" s="13" t="s">
        <v>39</v>
      </c>
      <c r="I13" s="14">
        <f t="shared" si="4"/>
        <v>10016800</v>
      </c>
      <c r="J13" s="13" t="s">
        <v>39</v>
      </c>
      <c r="K13" s="44" t="s">
        <v>38</v>
      </c>
      <c r="L13" s="13" t="s">
        <v>39</v>
      </c>
      <c r="M13" s="33" t="s">
        <v>65</v>
      </c>
    </row>
    <row r="14" spans="1:13" ht="18.75" customHeight="1" x14ac:dyDescent="0.3">
      <c r="A14" s="53"/>
      <c r="B14" s="13">
        <f t="shared" si="3"/>
        <v>9</v>
      </c>
      <c r="C14" s="10" t="s">
        <v>52</v>
      </c>
      <c r="D14" s="8" t="s">
        <v>53</v>
      </c>
      <c r="E14" s="20" t="s">
        <v>61</v>
      </c>
      <c r="F14" s="31">
        <v>5128000</v>
      </c>
      <c r="G14" s="13" t="s">
        <v>39</v>
      </c>
      <c r="H14" s="13" t="s">
        <v>39</v>
      </c>
      <c r="I14" s="14">
        <f>F14*40%</f>
        <v>2051200</v>
      </c>
      <c r="J14" s="13" t="s">
        <v>39</v>
      </c>
      <c r="K14" s="13" t="s">
        <v>39</v>
      </c>
      <c r="L14" s="13" t="s">
        <v>39</v>
      </c>
      <c r="M14" s="33" t="s">
        <v>66</v>
      </c>
    </row>
    <row r="15" spans="1:13" ht="16.5" customHeight="1" x14ac:dyDescent="0.25"/>
    <row r="16" spans="1:13" ht="16.5" customHeight="1" x14ac:dyDescent="0.25"/>
    <row r="17" ht="16.5" customHeight="1" x14ac:dyDescent="0.25"/>
    <row r="18" ht="16.5" customHeight="1" x14ac:dyDescent="0.25"/>
  </sheetData>
  <mergeCells count="3">
    <mergeCell ref="E4:F4"/>
    <mergeCell ref="C5:D5"/>
    <mergeCell ref="A6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37A3-41B7-4DC7-9EDA-24A43CCA2DD7}">
  <dimension ref="A1:M11"/>
  <sheetViews>
    <sheetView workbookViewId="0">
      <selection activeCell="L6" sqref="L6"/>
    </sheetView>
  </sheetViews>
  <sheetFormatPr defaultRowHeight="16.5" x14ac:dyDescent="0.25"/>
  <cols>
    <col min="1" max="1" width="19.5546875" customWidth="1"/>
    <col min="3" max="3" width="18.21875" customWidth="1"/>
    <col min="4" max="4" width="7" customWidth="1"/>
    <col min="5" max="5" width="15.21875" customWidth="1"/>
    <col min="6" max="6" width="18" customWidth="1"/>
    <col min="7" max="7" width="15.33203125" customWidth="1"/>
    <col min="8" max="8" width="10.33203125" customWidth="1"/>
    <col min="9" max="9" width="20.33203125" customWidth="1"/>
    <col min="10" max="10" width="14.33203125" customWidth="1"/>
    <col min="11" max="11" width="14.5546875" customWidth="1"/>
    <col min="12" max="12" width="14.33203125" customWidth="1"/>
    <col min="13" max="13" width="19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85</v>
      </c>
      <c r="L2" s="42" t="s">
        <v>16</v>
      </c>
      <c r="M2" s="7">
        <v>1800000</v>
      </c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49.5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18.75" customHeight="1" x14ac:dyDescent="0.3">
      <c r="A6" s="48" t="s">
        <v>89</v>
      </c>
      <c r="B6" s="13">
        <v>1</v>
      </c>
      <c r="C6" s="10" t="s">
        <v>69</v>
      </c>
      <c r="D6" s="8" t="s">
        <v>70</v>
      </c>
      <c r="E6" s="3" t="s">
        <v>80</v>
      </c>
      <c r="F6" s="31">
        <v>30900000</v>
      </c>
      <c r="G6" s="14">
        <v>27000000</v>
      </c>
      <c r="H6" s="14">
        <f>F6-G6</f>
        <v>3900000</v>
      </c>
      <c r="I6" s="14">
        <f t="shared" ref="I6:I8" si="0">F6*40%</f>
        <v>12360000</v>
      </c>
      <c r="J6" s="31">
        <f>H6*10%</f>
        <v>390000</v>
      </c>
      <c r="K6" s="34" t="s">
        <v>38</v>
      </c>
      <c r="L6" s="15"/>
      <c r="M6" s="19" t="s">
        <v>43</v>
      </c>
    </row>
    <row r="7" spans="1:13" ht="18.75" customHeight="1" x14ac:dyDescent="0.3">
      <c r="A7" s="49"/>
      <c r="B7" s="13">
        <f>B6+1</f>
        <v>2</v>
      </c>
      <c r="C7" s="10" t="s">
        <v>76</v>
      </c>
      <c r="D7" s="8" t="s">
        <v>77</v>
      </c>
      <c r="E7" s="3" t="s">
        <v>83</v>
      </c>
      <c r="F7" s="31">
        <v>10640000</v>
      </c>
      <c r="G7" s="13" t="s">
        <v>39</v>
      </c>
      <c r="H7" s="13" t="s">
        <v>39</v>
      </c>
      <c r="I7" s="14">
        <f t="shared" si="0"/>
        <v>4256000</v>
      </c>
      <c r="J7" s="13" t="s">
        <v>39</v>
      </c>
      <c r="K7" s="13" t="s">
        <v>39</v>
      </c>
      <c r="L7" s="15"/>
      <c r="M7" s="33" t="s">
        <v>64</v>
      </c>
    </row>
    <row r="8" spans="1:13" ht="18.75" customHeight="1" x14ac:dyDescent="0.3">
      <c r="A8" s="49"/>
      <c r="B8" s="13">
        <f t="shared" ref="B8" si="1">B7+1</f>
        <v>3</v>
      </c>
      <c r="C8" s="10" t="s">
        <v>48</v>
      </c>
      <c r="D8" s="8" t="s">
        <v>78</v>
      </c>
      <c r="E8" s="4" t="s">
        <v>68</v>
      </c>
      <c r="F8" s="31">
        <v>10250000</v>
      </c>
      <c r="G8" s="13" t="s">
        <v>39</v>
      </c>
      <c r="H8" s="13" t="s">
        <v>39</v>
      </c>
      <c r="I8" s="14">
        <f t="shared" si="0"/>
        <v>4100000</v>
      </c>
      <c r="J8" s="13" t="s">
        <v>39</v>
      </c>
      <c r="K8" s="13" t="s">
        <v>39</v>
      </c>
      <c r="L8" s="15"/>
      <c r="M8" s="33" t="s">
        <v>84</v>
      </c>
    </row>
    <row r="9" spans="1:13" ht="16.5" customHeight="1" x14ac:dyDescent="0.25"/>
    <row r="10" spans="1:13" ht="16.5" customHeight="1" x14ac:dyDescent="0.25"/>
    <row r="11" spans="1:13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A6F2-2519-423A-9D49-05AFEE0BCE69}">
  <dimension ref="A1:M24"/>
  <sheetViews>
    <sheetView zoomScaleNormal="100" workbookViewId="0">
      <selection activeCell="I19" sqref="I19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91</v>
      </c>
      <c r="L2" s="42" t="s">
        <v>16</v>
      </c>
      <c r="M2" s="7"/>
    </row>
    <row r="3" spans="1:13" x14ac:dyDescent="0.25">
      <c r="L3" s="42" t="s">
        <v>36</v>
      </c>
      <c r="M3" s="12" t="s">
        <v>37</v>
      </c>
    </row>
    <row r="4" spans="1:13" x14ac:dyDescent="0.25">
      <c r="E4" s="45"/>
      <c r="F4" s="45"/>
    </row>
    <row r="5" spans="1:13" ht="49.5" x14ac:dyDescent="0.25">
      <c r="B5" s="40" t="s">
        <v>1</v>
      </c>
      <c r="C5" s="46" t="s">
        <v>3</v>
      </c>
      <c r="D5" s="47"/>
      <c r="E5" s="40" t="s">
        <v>4</v>
      </c>
      <c r="F5" s="41" t="s">
        <v>2</v>
      </c>
      <c r="G5" s="40" t="s">
        <v>5</v>
      </c>
      <c r="H5" s="41" t="s">
        <v>6</v>
      </c>
      <c r="I5" s="41" t="s">
        <v>7</v>
      </c>
      <c r="J5" s="41" t="s">
        <v>8</v>
      </c>
      <c r="K5" s="40" t="s">
        <v>31</v>
      </c>
      <c r="L5" s="40" t="s">
        <v>17</v>
      </c>
      <c r="M5" s="40" t="s">
        <v>9</v>
      </c>
    </row>
    <row r="6" spans="1:13" ht="54.75" customHeight="1" x14ac:dyDescent="0.25">
      <c r="A6" s="50" t="s">
        <v>88</v>
      </c>
      <c r="B6" s="37">
        <v>1</v>
      </c>
      <c r="C6" s="10" t="s">
        <v>56</v>
      </c>
      <c r="D6" s="8" t="s">
        <v>57</v>
      </c>
      <c r="E6" s="5" t="s">
        <v>13</v>
      </c>
      <c r="F6" s="21">
        <v>2958000</v>
      </c>
      <c r="G6" s="37" t="s">
        <v>39</v>
      </c>
      <c r="H6" s="37" t="s">
        <v>39</v>
      </c>
      <c r="I6" s="38">
        <f t="shared" ref="I6:I7" si="0">F6*40%</f>
        <v>1183200</v>
      </c>
      <c r="J6" s="37" t="s">
        <v>39</v>
      </c>
      <c r="K6" s="37" t="s">
        <v>39</v>
      </c>
      <c r="L6" s="37"/>
      <c r="M6" s="39" t="s">
        <v>67</v>
      </c>
    </row>
    <row r="7" spans="1:13" ht="60.75" customHeight="1" x14ac:dyDescent="0.25">
      <c r="A7" s="51"/>
      <c r="B7" s="37">
        <v>2</v>
      </c>
      <c r="C7" s="10" t="s">
        <v>58</v>
      </c>
      <c r="D7" s="8" t="s">
        <v>59</v>
      </c>
      <c r="E7" s="6" t="s">
        <v>86</v>
      </c>
      <c r="F7" s="21">
        <v>3265000</v>
      </c>
      <c r="G7" s="37" t="s">
        <v>39</v>
      </c>
      <c r="H7" s="37" t="s">
        <v>39</v>
      </c>
      <c r="I7" s="38">
        <f t="shared" si="0"/>
        <v>1306000</v>
      </c>
      <c r="J7" s="37" t="s">
        <v>39</v>
      </c>
      <c r="K7" s="37" t="s">
        <v>39</v>
      </c>
      <c r="L7" s="37"/>
      <c r="M7" s="39" t="s">
        <v>67</v>
      </c>
    </row>
    <row r="8" spans="1:13" ht="20.100000000000001" customHeight="1" x14ac:dyDescent="0.25">
      <c r="A8" s="51"/>
      <c r="B8" s="13">
        <f>B7+1</f>
        <v>3</v>
      </c>
      <c r="C8" s="10" t="s">
        <v>26</v>
      </c>
      <c r="D8" s="8" t="s">
        <v>32</v>
      </c>
      <c r="E8" s="3" t="s">
        <v>11</v>
      </c>
      <c r="F8" s="31">
        <v>26980000</v>
      </c>
      <c r="G8" s="14">
        <v>25500000</v>
      </c>
      <c r="H8" s="14">
        <f>F8-G8</f>
        <v>1480000</v>
      </c>
      <c r="I8" s="14">
        <f>F8*40%</f>
        <v>10792000</v>
      </c>
      <c r="J8" s="31">
        <f>H8*10%</f>
        <v>148000</v>
      </c>
      <c r="K8" s="34" t="s">
        <v>38</v>
      </c>
      <c r="L8" s="15"/>
      <c r="M8" s="18" t="s">
        <v>41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18.75" customHeight="1" x14ac:dyDescent="0.25"/>
    <row r="14" spans="1:13" ht="18.75" customHeight="1" x14ac:dyDescent="0.25"/>
    <row r="15" spans="1:13" ht="18.75" customHeight="1" x14ac:dyDescent="0.25"/>
    <row r="16" spans="1:13" ht="18.75" customHeight="1" x14ac:dyDescent="0.25"/>
    <row r="17" ht="18.75" customHeight="1" x14ac:dyDescent="0.25"/>
    <row r="20" ht="17.25" customHeight="1" x14ac:dyDescent="0.25"/>
    <row r="21" ht="42.75" customHeight="1" x14ac:dyDescent="0.25"/>
    <row r="22" ht="34.5" customHeight="1" x14ac:dyDescent="0.25"/>
    <row r="23" ht="16.5" customHeight="1" x14ac:dyDescent="0.25"/>
    <row r="24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Bắc đảo</vt:lpstr>
      <vt:lpstr>dương đông</vt:lpstr>
      <vt:lpstr>nam đảo</vt:lpstr>
      <vt:lpstr>Nam Đảo hiện tại</vt:lpstr>
      <vt:lpstr>Bắc Đảo hiện tại</vt:lpstr>
      <vt:lpstr>dương đông hiện tại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2026-01-16T02:37:06Z</dcterms:created>
  <dcterms:modified xsi:type="dcterms:W3CDTF">2026-01-23T09:12:10Z</dcterms:modified>
</cp:coreProperties>
</file>