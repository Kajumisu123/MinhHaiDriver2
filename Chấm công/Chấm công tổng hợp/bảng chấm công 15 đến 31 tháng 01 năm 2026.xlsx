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Chấm công\Chấm công tổng hợp\"/>
    </mc:Choice>
  </mc:AlternateContent>
  <xr:revisionPtr revIDLastSave="0" documentId="13_ncr:1_{2DA90AA9-C6F3-41B8-A8E7-766F73687A4B}" xr6:coauthVersionLast="47" xr6:coauthVersionMax="47" xr10:uidLastSave="{00000000-0000-0000-0000-000000000000}"/>
  <bookViews>
    <workbookView xWindow="-120" yWindow="-120" windowWidth="29040" windowHeight="15840" xr2:uid="{7C654F61-D3F6-46B9-9944-3469B6AD53BB}"/>
  </bookViews>
  <sheets>
    <sheet name="Nam Đảo hiện tại" sheetId="3" r:id="rId1"/>
    <sheet name="Bắc Đảo hiện tại" sheetId="5" r:id="rId2"/>
    <sheet name="dương đông hiện tại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3" l="1"/>
  <c r="K12" i="3"/>
  <c r="K13" i="3"/>
  <c r="K14" i="3"/>
  <c r="K15" i="3"/>
  <c r="I7" i="3"/>
  <c r="I8" i="3"/>
  <c r="I9" i="3"/>
  <c r="I10" i="3"/>
  <c r="I11" i="3"/>
  <c r="I12" i="3"/>
  <c r="I13" i="3"/>
  <c r="I14" i="3"/>
  <c r="I15" i="3"/>
  <c r="I6" i="3"/>
  <c r="B14" i="3"/>
  <c r="B15" i="3" s="1"/>
  <c r="B16" i="3" s="1"/>
  <c r="B17" i="3" s="1"/>
  <c r="B18" i="3" s="1"/>
  <c r="B9" i="3"/>
  <c r="B10" i="3" s="1"/>
  <c r="B11" i="3" s="1"/>
  <c r="B12" i="3" s="1"/>
  <c r="B13" i="3" s="1"/>
  <c r="I8" i="6" l="1"/>
  <c r="H8" i="6"/>
  <c r="J8" i="6" s="1"/>
  <c r="B8" i="6"/>
  <c r="I7" i="6"/>
  <c r="I6" i="6"/>
  <c r="B7" i="5"/>
  <c r="B8" i="5" s="1"/>
  <c r="I8" i="5"/>
  <c r="I7" i="5"/>
  <c r="I6" i="5"/>
  <c r="H6" i="5"/>
  <c r="J6" i="5" s="1"/>
  <c r="K10" i="3"/>
  <c r="K9" i="3"/>
  <c r="K8" i="3"/>
  <c r="K7" i="3"/>
  <c r="B7" i="3"/>
  <c r="B8" i="3" s="1"/>
  <c r="K6" i="3"/>
</calcChain>
</file>

<file path=xl/sharedStrings.xml><?xml version="1.0" encoding="utf-8"?>
<sst xmlns="http://schemas.openxmlformats.org/spreadsheetml/2006/main" count="165" uniqueCount="79">
  <si>
    <t>CÔNG TY TNHH MTV VẬN TẢI VÀ DU LỊCH MINH HẢI</t>
  </si>
  <si>
    <t>STT</t>
  </si>
  <si>
    <t>TỔNG DOANH THU</t>
  </si>
  <si>
    <t>HỌ TÊN</t>
  </si>
  <si>
    <t>SỐ XE</t>
  </si>
  <si>
    <t>ĐẠT KPI</t>
  </si>
  <si>
    <t>VƯỢT KPI</t>
  </si>
  <si>
    <t>TỔNG ĐÃ ỨNG (40%)</t>
  </si>
  <si>
    <t>PHẦN CHÊNH LỆCH 
10%</t>
  </si>
  <si>
    <t>GHI CHÚ</t>
  </si>
  <si>
    <t>68HC 001.92</t>
  </si>
  <si>
    <t>68HC 001.81</t>
  </si>
  <si>
    <t>68HC 001.63</t>
  </si>
  <si>
    <t>68HC 001.71</t>
  </si>
  <si>
    <t>68HC 001.33</t>
  </si>
  <si>
    <t>KPI</t>
  </si>
  <si>
    <t>KÝ NHẬN</t>
  </si>
  <si>
    <t>68HC 001.03</t>
  </si>
  <si>
    <t>68HC 001.70</t>
  </si>
  <si>
    <t>TÙNG</t>
  </si>
  <si>
    <t>THANH</t>
  </si>
  <si>
    <t>HÙNG</t>
  </si>
  <si>
    <t>LÊ VĂN</t>
  </si>
  <si>
    <t>ĐỖ VĂN</t>
  </si>
  <si>
    <t>LÊ THÀNH</t>
  </si>
  <si>
    <t>NGUYỄN QUỐC</t>
  </si>
  <si>
    <t>TRẦN VIẾT</t>
  </si>
  <si>
    <t>TIỀN CỌC</t>
  </si>
  <si>
    <t>CHUNG</t>
  </si>
  <si>
    <t>LẬP</t>
  </si>
  <si>
    <t>NAM</t>
  </si>
  <si>
    <t>TRẦN THANH</t>
  </si>
  <si>
    <t>TỶ LỆ</t>
  </si>
  <si>
    <t>6 : 4</t>
  </si>
  <si>
    <t>ĐÃ ĐÓNG CỌC</t>
  </si>
  <si>
    <t>-</t>
  </si>
  <si>
    <t>Ngày cọc 04/01</t>
  </si>
  <si>
    <t>Ngày cọc 15/01</t>
  </si>
  <si>
    <t>Ngày cọc 03/01</t>
  </si>
  <si>
    <t>NGUYỄN VĂN</t>
  </si>
  <si>
    <t>THÁI</t>
  </si>
  <si>
    <t>PHAN HOÀNG</t>
  </si>
  <si>
    <t>EM</t>
  </si>
  <si>
    <t>VŨ ĐỨC</t>
  </si>
  <si>
    <t>HẠNH</t>
  </si>
  <si>
    <t>HOÀNG ANH</t>
  </si>
  <si>
    <t>TUẤN</t>
  </si>
  <si>
    <t>68HC 001.34</t>
  </si>
  <si>
    <t>đang làm biển</t>
  </si>
  <si>
    <t>vào làm ngày 07/01</t>
  </si>
  <si>
    <t>vào làm ngày 14/01</t>
  </si>
  <si>
    <t>68HC 001.91</t>
  </si>
  <si>
    <t>TRƯƠNG VŨ</t>
  </si>
  <si>
    <t>CA</t>
  </si>
  <si>
    <t>MAI BÁ</t>
  </si>
  <si>
    <t>ĐẠT</t>
  </si>
  <si>
    <t>THẠO</t>
  </si>
  <si>
    <t>68HC 001.84</t>
  </si>
  <si>
    <t>68HC 001.68</t>
  </si>
  <si>
    <t>vào làm ngày 08/01</t>
  </si>
  <si>
    <t>BẢNG TỔNG HỢP DOANH THU BẮC ĐẢO (01 - 15/01/2026)</t>
  </si>
  <si>
    <t>68HC 001.89</t>
  </si>
  <si>
    <t>NAM ĐẢO</t>
  </si>
  <si>
    <t>DƯƠNG ĐÔNG</t>
  </si>
  <si>
    <t>BẮC ĐẢO</t>
  </si>
  <si>
    <t>BẢNG TỔNG HỢP DOANH THU DƯƠNG ĐÔNG (01 - 15/01/2026)</t>
  </si>
  <si>
    <t>Ngày cọc 17/01</t>
  </si>
  <si>
    <t>Chưa đóng cọc</t>
  </si>
  <si>
    <t>Tổng toàn bộ tiền đã nhận</t>
  </si>
  <si>
    <t>ĐẠT KPI
từ ngày 16 tới ngày 23/01
(ngày tính tỉ lệ 60/40)</t>
  </si>
  <si>
    <t>TỔNG  DOANH THU
16 đến 31/01/2026</t>
  </si>
  <si>
    <t>DOANH THU
16 đến 23/01/2026
(ngày tính tỉ lệ 60/40)</t>
  </si>
  <si>
    <t>VƯỢT KPI
từ ngày 16 tới ngày 23/01
(ngày tính tỉ lệ 60/40)</t>
  </si>
  <si>
    <t>BẢNG TỔNG HỢP DOANH THU NAM ĐẢO (16 - 31/01/2026)</t>
  </si>
  <si>
    <t>NGUYỄN ĐĂNG</t>
  </si>
  <si>
    <t>KHÁNH</t>
  </si>
  <si>
    <t>TRẠNG THÁI</t>
  </si>
  <si>
    <t>NGHỈ LUÔN</t>
  </si>
  <si>
    <t>CÒN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</si>
</sst>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3"/>
      <color theme="1"/>
      <name val="Times New Roman"/>
      <family val="2"/>
    </font>
    <font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2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FF00"/>
      <name val="Times New Roman"/>
      <family val="1"/>
    </font>
    <font>
      <b/>
      <sz val="14"/>
      <color rgb="FFFFFF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4" fillId="2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9" fillId="6" borderId="0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3" xfId="0" applyBorder="1" applyAlignment="1">
      <alignment horizontal="right"/>
    </xf>
    <xf numFmtId="3" fontId="11" fillId="0" borderId="1" xfId="0" applyNumberFormat="1" applyFont="1" applyBorder="1" applyAlignment="1">
      <alignment horizontal="center"/>
    </xf>
    <xf numFmtId="0" fontId="12" fillId="8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49" fontId="13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72D7-D111-44D1-8D7B-C8C37D80B9DE}">
  <dimension ref="A1:O18"/>
  <sheetViews>
    <sheetView tabSelected="1" topLeftCell="C1" zoomScale="85" zoomScaleNormal="85" workbookViewId="0">
      <selection activeCell="N26" sqref="N26"/>
    </sheetView>
  </sheetViews>
  <sheetFormatPr defaultRowHeight="16.5" x14ac:dyDescent="0.25"/>
  <cols>
    <col min="1" max="1" width="18.33203125" customWidth="1"/>
    <col min="2" max="2" width="16" customWidth="1"/>
    <col min="3" max="3" width="16.21875" customWidth="1"/>
    <col min="4" max="4" width="10.44140625" customWidth="1"/>
    <col min="5" max="5" width="15" customWidth="1"/>
    <col min="6" max="6" width="20.77734375" customWidth="1"/>
    <col min="7" max="7" width="20.6640625" customWidth="1"/>
    <col min="8" max="8" width="14.33203125" customWidth="1"/>
    <col min="9" max="9" width="17.6640625" customWidth="1"/>
    <col min="10" max="10" width="19.5546875" customWidth="1"/>
    <col min="11" max="11" width="19.33203125" customWidth="1"/>
    <col min="12" max="12" width="19.109375" customWidth="1"/>
    <col min="13" max="13" width="18" customWidth="1"/>
    <col min="14" max="14" width="20.44140625" customWidth="1"/>
    <col min="15" max="15" width="15.33203125" customWidth="1"/>
  </cols>
  <sheetData>
    <row r="1" spans="1:15" ht="27.75" x14ac:dyDescent="0.25">
      <c r="E1" s="1" t="s">
        <v>0</v>
      </c>
      <c r="F1" s="1"/>
      <c r="G1" s="1"/>
      <c r="H1" s="1"/>
      <c r="I1" s="1"/>
      <c r="J1" s="1"/>
    </row>
    <row r="2" spans="1:15" ht="20.25" x14ac:dyDescent="0.25">
      <c r="G2" s="2" t="s">
        <v>73</v>
      </c>
      <c r="L2" s="28" t="s">
        <v>15</v>
      </c>
      <c r="M2" s="7">
        <v>1700000</v>
      </c>
    </row>
    <row r="3" spans="1:15" ht="20.25" customHeight="1" x14ac:dyDescent="0.25">
      <c r="L3" s="28" t="s">
        <v>32</v>
      </c>
      <c r="M3" s="12" t="s">
        <v>33</v>
      </c>
    </row>
    <row r="4" spans="1:15" x14ac:dyDescent="0.25">
      <c r="E4" s="30"/>
      <c r="F4" s="30"/>
    </row>
    <row r="5" spans="1:15" ht="82.5" x14ac:dyDescent="0.25">
      <c r="B5" s="26" t="s">
        <v>1</v>
      </c>
      <c r="C5" s="31" t="s">
        <v>3</v>
      </c>
      <c r="D5" s="32"/>
      <c r="E5" s="26" t="s">
        <v>4</v>
      </c>
      <c r="F5" s="27" t="s">
        <v>70</v>
      </c>
      <c r="G5" s="27" t="s">
        <v>71</v>
      </c>
      <c r="H5" s="27" t="s">
        <v>69</v>
      </c>
      <c r="I5" s="27" t="s">
        <v>72</v>
      </c>
      <c r="J5" s="27" t="s">
        <v>68</v>
      </c>
      <c r="K5" s="27" t="s">
        <v>8</v>
      </c>
      <c r="L5" s="26" t="s">
        <v>27</v>
      </c>
      <c r="M5" s="26" t="s">
        <v>16</v>
      </c>
      <c r="N5" s="26" t="s">
        <v>9</v>
      </c>
      <c r="O5" s="26" t="s">
        <v>76</v>
      </c>
    </row>
    <row r="6" spans="1:15" ht="18.75" customHeight="1" x14ac:dyDescent="0.3">
      <c r="A6" s="37" t="s">
        <v>62</v>
      </c>
      <c r="B6" s="13">
        <v>1</v>
      </c>
      <c r="C6" s="10" t="s">
        <v>22</v>
      </c>
      <c r="D6" s="8" t="s">
        <v>19</v>
      </c>
      <c r="E6" s="3" t="s">
        <v>10</v>
      </c>
      <c r="F6" s="20">
        <v>29549000</v>
      </c>
      <c r="G6" s="44">
        <v>13189000</v>
      </c>
      <c r="H6" s="14">
        <v>13600000</v>
      </c>
      <c r="I6" s="14">
        <f>G6-H6</f>
        <v>-411000</v>
      </c>
      <c r="J6" s="14">
        <v>13338000</v>
      </c>
      <c r="K6" s="20">
        <f t="shared" ref="K6:K15" si="0">I6*10%</f>
        <v>-41100</v>
      </c>
      <c r="L6" s="29" t="s">
        <v>34</v>
      </c>
      <c r="M6" s="13" t="s">
        <v>35</v>
      </c>
      <c r="N6" s="17" t="s">
        <v>66</v>
      </c>
      <c r="O6" s="46" t="s">
        <v>78</v>
      </c>
    </row>
    <row r="7" spans="1:15" ht="18.75" customHeight="1" x14ac:dyDescent="0.3">
      <c r="A7" s="38"/>
      <c r="B7" s="13">
        <f>B6+1</f>
        <v>2</v>
      </c>
      <c r="C7" s="11" t="s">
        <v>24</v>
      </c>
      <c r="D7" s="9" t="s">
        <v>29</v>
      </c>
      <c r="E7" s="4" t="s">
        <v>17</v>
      </c>
      <c r="F7" s="20">
        <v>24901000</v>
      </c>
      <c r="G7" s="44">
        <v>15725000</v>
      </c>
      <c r="H7" s="14">
        <v>13600000</v>
      </c>
      <c r="I7" s="14">
        <f t="shared" ref="I7:I15" si="1">G7-H7</f>
        <v>2125000</v>
      </c>
      <c r="J7" s="14">
        <v>10292000</v>
      </c>
      <c r="K7" s="20">
        <f t="shared" si="0"/>
        <v>212500</v>
      </c>
      <c r="L7" s="29" t="s">
        <v>34</v>
      </c>
      <c r="M7" s="13" t="s">
        <v>35</v>
      </c>
      <c r="N7" s="16" t="s">
        <v>36</v>
      </c>
      <c r="O7" s="46" t="s">
        <v>78</v>
      </c>
    </row>
    <row r="8" spans="1:15" ht="18.75" customHeight="1" x14ac:dyDescent="0.3">
      <c r="A8" s="38"/>
      <c r="B8" s="13">
        <f>B7+1</f>
        <v>3</v>
      </c>
      <c r="C8" s="10" t="s">
        <v>25</v>
      </c>
      <c r="D8" s="8" t="s">
        <v>30</v>
      </c>
      <c r="E8" s="5" t="s">
        <v>12</v>
      </c>
      <c r="F8" s="20">
        <v>25400000</v>
      </c>
      <c r="G8" s="44">
        <v>14220000</v>
      </c>
      <c r="H8" s="14">
        <v>13600000</v>
      </c>
      <c r="I8" s="14">
        <f t="shared" si="1"/>
        <v>620000</v>
      </c>
      <c r="J8" s="14">
        <v>10891000</v>
      </c>
      <c r="K8" s="20">
        <f t="shared" si="0"/>
        <v>62000</v>
      </c>
      <c r="L8" s="45" t="s">
        <v>67</v>
      </c>
      <c r="M8" s="13" t="s">
        <v>35</v>
      </c>
      <c r="N8" s="13" t="s">
        <v>35</v>
      </c>
      <c r="O8" s="46" t="s">
        <v>78</v>
      </c>
    </row>
    <row r="9" spans="1:15" ht="18.75" customHeight="1" x14ac:dyDescent="0.3">
      <c r="A9" s="38"/>
      <c r="B9" s="13">
        <f t="shared" ref="B9:B18" si="2">B8+1</f>
        <v>4</v>
      </c>
      <c r="C9" s="10" t="s">
        <v>31</v>
      </c>
      <c r="D9" s="8" t="s">
        <v>20</v>
      </c>
      <c r="E9" s="5" t="s">
        <v>14</v>
      </c>
      <c r="F9" s="20">
        <v>27158000</v>
      </c>
      <c r="G9" s="44">
        <v>11810000</v>
      </c>
      <c r="H9" s="14">
        <v>13600000</v>
      </c>
      <c r="I9" s="14">
        <f t="shared" si="1"/>
        <v>-1790000</v>
      </c>
      <c r="J9" s="14">
        <v>12197000</v>
      </c>
      <c r="K9" s="20">
        <f t="shared" si="0"/>
        <v>-179000</v>
      </c>
      <c r="L9" s="29" t="s">
        <v>34</v>
      </c>
      <c r="M9" s="13" t="s">
        <v>35</v>
      </c>
      <c r="N9" s="17" t="s">
        <v>38</v>
      </c>
      <c r="O9" s="46" t="s">
        <v>78</v>
      </c>
    </row>
    <row r="10" spans="1:15" ht="18.75" customHeight="1" x14ac:dyDescent="0.3">
      <c r="A10" s="38"/>
      <c r="B10" s="13">
        <f t="shared" si="2"/>
        <v>5</v>
      </c>
      <c r="C10" s="10" t="s">
        <v>26</v>
      </c>
      <c r="D10" s="8" t="s">
        <v>21</v>
      </c>
      <c r="E10" s="6" t="s">
        <v>18</v>
      </c>
      <c r="F10" s="20">
        <v>29190000</v>
      </c>
      <c r="G10" s="44">
        <v>14870000</v>
      </c>
      <c r="H10" s="14">
        <v>13600000</v>
      </c>
      <c r="I10" s="14">
        <f t="shared" si="1"/>
        <v>1270000</v>
      </c>
      <c r="J10" s="14">
        <v>12842000</v>
      </c>
      <c r="K10" s="20">
        <f t="shared" si="0"/>
        <v>127000</v>
      </c>
      <c r="L10" s="29" t="s">
        <v>34</v>
      </c>
      <c r="M10" s="13" t="s">
        <v>35</v>
      </c>
      <c r="N10" s="17" t="s">
        <v>66</v>
      </c>
      <c r="O10" s="47" t="s">
        <v>77</v>
      </c>
    </row>
    <row r="11" spans="1:15" ht="18.75" customHeight="1" x14ac:dyDescent="0.3">
      <c r="A11" s="38"/>
      <c r="B11" s="13">
        <f t="shared" si="2"/>
        <v>6</v>
      </c>
      <c r="C11" s="10" t="s">
        <v>39</v>
      </c>
      <c r="D11" s="8" t="s">
        <v>40</v>
      </c>
      <c r="E11" s="6" t="s">
        <v>51</v>
      </c>
      <c r="F11" s="20">
        <v>49145000</v>
      </c>
      <c r="G11" s="44">
        <v>29240000</v>
      </c>
      <c r="H11" s="14">
        <v>13600000</v>
      </c>
      <c r="I11" s="14">
        <f t="shared" si="1"/>
        <v>15640000</v>
      </c>
      <c r="J11" s="14">
        <v>21515000</v>
      </c>
      <c r="K11" s="20">
        <f t="shared" si="0"/>
        <v>1564000</v>
      </c>
      <c r="L11" s="45" t="s">
        <v>67</v>
      </c>
      <c r="M11" s="13" t="s">
        <v>35</v>
      </c>
      <c r="N11" s="13" t="s">
        <v>35</v>
      </c>
      <c r="O11" s="46" t="s">
        <v>78</v>
      </c>
    </row>
    <row r="12" spans="1:15" ht="18.75" customHeight="1" x14ac:dyDescent="0.3">
      <c r="A12" s="38"/>
      <c r="B12" s="13">
        <f t="shared" si="2"/>
        <v>7</v>
      </c>
      <c r="C12" s="10" t="s">
        <v>41</v>
      </c>
      <c r="D12" s="8" t="s">
        <v>42</v>
      </c>
      <c r="E12" s="18" t="s">
        <v>48</v>
      </c>
      <c r="F12" s="20">
        <v>25477000</v>
      </c>
      <c r="G12" s="44">
        <v>14607000</v>
      </c>
      <c r="H12" s="14">
        <v>13600000</v>
      </c>
      <c r="I12" s="14">
        <f t="shared" si="1"/>
        <v>1007000</v>
      </c>
      <c r="J12" s="14">
        <v>11163000</v>
      </c>
      <c r="K12" s="20">
        <f t="shared" si="0"/>
        <v>100700</v>
      </c>
      <c r="L12" s="29" t="s">
        <v>34</v>
      </c>
      <c r="M12" s="13" t="s">
        <v>35</v>
      </c>
      <c r="N12" s="17" t="s">
        <v>66</v>
      </c>
      <c r="O12" s="47" t="s">
        <v>77</v>
      </c>
    </row>
    <row r="13" spans="1:15" ht="18.75" customHeight="1" x14ac:dyDescent="0.3">
      <c r="A13" s="38"/>
      <c r="B13" s="13">
        <f t="shared" si="2"/>
        <v>8</v>
      </c>
      <c r="C13" s="42" t="s">
        <v>23</v>
      </c>
      <c r="D13" s="43" t="s">
        <v>28</v>
      </c>
      <c r="E13" s="6" t="s">
        <v>61</v>
      </c>
      <c r="F13" s="20">
        <v>30275000</v>
      </c>
      <c r="G13" s="44">
        <v>15725000</v>
      </c>
      <c r="H13" s="14">
        <v>13600000</v>
      </c>
      <c r="I13" s="14">
        <f t="shared" si="1"/>
        <v>2125000</v>
      </c>
      <c r="J13" s="7">
        <v>13446000</v>
      </c>
      <c r="K13" s="20">
        <f t="shared" si="0"/>
        <v>212500</v>
      </c>
      <c r="L13" s="29" t="s">
        <v>34</v>
      </c>
      <c r="M13" s="13" t="s">
        <v>35</v>
      </c>
      <c r="N13" s="17" t="s">
        <v>37</v>
      </c>
      <c r="O13" s="47" t="s">
        <v>77</v>
      </c>
    </row>
    <row r="14" spans="1:15" ht="18.75" customHeight="1" x14ac:dyDescent="0.3">
      <c r="A14" s="40"/>
      <c r="B14" s="13">
        <f t="shared" si="2"/>
        <v>9</v>
      </c>
      <c r="C14" s="42" t="s">
        <v>43</v>
      </c>
      <c r="D14" s="43" t="s">
        <v>44</v>
      </c>
      <c r="E14" s="6" t="s">
        <v>13</v>
      </c>
      <c r="F14" s="20">
        <v>16108000</v>
      </c>
      <c r="G14" s="44">
        <v>9810000</v>
      </c>
      <c r="H14" s="14">
        <v>13600000</v>
      </c>
      <c r="I14" s="14">
        <f t="shared" si="1"/>
        <v>-3790000</v>
      </c>
      <c r="J14" s="7">
        <v>7078000</v>
      </c>
      <c r="K14" s="20">
        <f t="shared" si="0"/>
        <v>-379000</v>
      </c>
      <c r="L14" s="45" t="s">
        <v>67</v>
      </c>
      <c r="M14" s="13" t="s">
        <v>35</v>
      </c>
      <c r="N14" s="13" t="s">
        <v>35</v>
      </c>
      <c r="O14" s="46" t="s">
        <v>78</v>
      </c>
    </row>
    <row r="15" spans="1:15" ht="16.5" customHeight="1" x14ac:dyDescent="0.3">
      <c r="B15" s="13">
        <f t="shared" si="2"/>
        <v>10</v>
      </c>
      <c r="C15" s="42" t="s">
        <v>74</v>
      </c>
      <c r="D15" s="43" t="s">
        <v>75</v>
      </c>
      <c r="E15" s="6" t="s">
        <v>47</v>
      </c>
      <c r="F15" s="20">
        <v>34465000</v>
      </c>
      <c r="G15" s="44">
        <v>13970000</v>
      </c>
      <c r="H15" s="14">
        <v>13600000</v>
      </c>
      <c r="I15" s="14">
        <f t="shared" si="1"/>
        <v>370000</v>
      </c>
      <c r="J15" s="7">
        <v>15824000</v>
      </c>
      <c r="K15" s="20">
        <f t="shared" si="0"/>
        <v>37000</v>
      </c>
      <c r="L15" s="45" t="s">
        <v>67</v>
      </c>
      <c r="M15" s="13" t="s">
        <v>35</v>
      </c>
      <c r="N15" s="13" t="s">
        <v>35</v>
      </c>
      <c r="O15" s="46" t="s">
        <v>78</v>
      </c>
    </row>
    <row r="16" spans="1:15" ht="16.5" customHeight="1" x14ac:dyDescent="0.25">
      <c r="B16" s="13">
        <f t="shared" si="2"/>
        <v>11</v>
      </c>
      <c r="C16" s="42"/>
      <c r="D16" s="41"/>
      <c r="E16" s="39"/>
      <c r="F16" s="20"/>
      <c r="G16" s="39"/>
      <c r="H16" s="39"/>
      <c r="I16" s="39"/>
      <c r="J16" s="39"/>
      <c r="K16" s="39"/>
      <c r="L16" s="39"/>
      <c r="M16" s="39"/>
      <c r="N16" s="39"/>
      <c r="O16" s="39"/>
    </row>
    <row r="17" spans="2:15" ht="16.5" customHeight="1" x14ac:dyDescent="0.25">
      <c r="B17" s="13">
        <f t="shared" si="2"/>
        <v>12</v>
      </c>
      <c r="C17" s="42"/>
      <c r="D17" s="41"/>
      <c r="E17" s="39"/>
      <c r="F17" s="20"/>
      <c r="G17" s="39"/>
      <c r="H17" s="39"/>
      <c r="I17" s="39"/>
      <c r="J17" s="39"/>
      <c r="K17" s="39"/>
      <c r="L17" s="39"/>
      <c r="M17" s="39"/>
      <c r="N17" s="39"/>
      <c r="O17" s="39"/>
    </row>
    <row r="18" spans="2:15" ht="16.5" customHeight="1" x14ac:dyDescent="0.25">
      <c r="B18" s="13">
        <f t="shared" si="2"/>
        <v>13</v>
      </c>
      <c r="C18" s="42"/>
      <c r="D18" s="41"/>
      <c r="E18" s="39"/>
      <c r="F18" s="20"/>
      <c r="G18" s="39"/>
      <c r="H18" s="39"/>
      <c r="I18" s="39"/>
      <c r="J18" s="39"/>
      <c r="K18" s="39"/>
      <c r="L18" s="39"/>
      <c r="M18" s="39"/>
      <c r="N18" s="39"/>
      <c r="O18" s="39"/>
    </row>
  </sheetData>
  <mergeCells count="3">
    <mergeCell ref="E4:F4"/>
    <mergeCell ref="C5:D5"/>
    <mergeCell ref="A6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37A3-41B7-4DC7-9EDA-24A43CCA2DD7}">
  <dimension ref="A1:M11"/>
  <sheetViews>
    <sheetView workbookViewId="0">
      <selection activeCell="L6" sqref="L6"/>
    </sheetView>
  </sheetViews>
  <sheetFormatPr defaultRowHeight="16.5" x14ac:dyDescent="0.25"/>
  <cols>
    <col min="1" max="1" width="19.5546875" customWidth="1"/>
    <col min="3" max="3" width="18.21875" customWidth="1"/>
    <col min="4" max="4" width="7" customWidth="1"/>
    <col min="5" max="5" width="15.21875" customWidth="1"/>
    <col min="6" max="6" width="18" customWidth="1"/>
    <col min="7" max="7" width="15.33203125" customWidth="1"/>
    <col min="8" max="8" width="10.33203125" customWidth="1"/>
    <col min="9" max="9" width="20.33203125" customWidth="1"/>
    <col min="10" max="10" width="14.33203125" customWidth="1"/>
    <col min="11" max="11" width="14.5546875" customWidth="1"/>
    <col min="12" max="12" width="14.33203125" customWidth="1"/>
    <col min="13" max="13" width="19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60</v>
      </c>
      <c r="L2" s="28" t="s">
        <v>15</v>
      </c>
      <c r="M2" s="7">
        <v>1800000</v>
      </c>
    </row>
    <row r="3" spans="1:13" x14ac:dyDescent="0.25">
      <c r="L3" s="28" t="s">
        <v>32</v>
      </c>
      <c r="M3" s="12" t="s">
        <v>33</v>
      </c>
    </row>
    <row r="4" spans="1:13" x14ac:dyDescent="0.25">
      <c r="E4" s="30"/>
      <c r="F4" s="30"/>
    </row>
    <row r="5" spans="1:13" ht="49.5" x14ac:dyDescent="0.25">
      <c r="B5" s="26" t="s">
        <v>1</v>
      </c>
      <c r="C5" s="31" t="s">
        <v>3</v>
      </c>
      <c r="D5" s="32"/>
      <c r="E5" s="26" t="s">
        <v>4</v>
      </c>
      <c r="F5" s="27" t="s">
        <v>2</v>
      </c>
      <c r="G5" s="26" t="s">
        <v>5</v>
      </c>
      <c r="H5" s="27" t="s">
        <v>6</v>
      </c>
      <c r="I5" s="27" t="s">
        <v>7</v>
      </c>
      <c r="J5" s="27" t="s">
        <v>8</v>
      </c>
      <c r="K5" s="26" t="s">
        <v>27</v>
      </c>
      <c r="L5" s="26" t="s">
        <v>16</v>
      </c>
      <c r="M5" s="26" t="s">
        <v>9</v>
      </c>
    </row>
    <row r="6" spans="1:13" ht="18.75" customHeight="1" x14ac:dyDescent="0.3">
      <c r="A6" s="33" t="s">
        <v>64</v>
      </c>
      <c r="B6" s="13">
        <v>1</v>
      </c>
      <c r="C6" s="10" t="s">
        <v>52</v>
      </c>
      <c r="D6" s="8" t="s">
        <v>53</v>
      </c>
      <c r="E6" s="3" t="s">
        <v>57</v>
      </c>
      <c r="F6" s="20">
        <v>30900000</v>
      </c>
      <c r="G6" s="14">
        <v>27000000</v>
      </c>
      <c r="H6" s="14">
        <f>F6-G6</f>
        <v>3900000</v>
      </c>
      <c r="I6" s="14">
        <f t="shared" ref="I6:I8" si="0">F6*40%</f>
        <v>12360000</v>
      </c>
      <c r="J6" s="20">
        <f>H6*10%</f>
        <v>390000</v>
      </c>
      <c r="K6" s="22" t="s">
        <v>34</v>
      </c>
      <c r="L6" s="15"/>
      <c r="M6" s="17" t="s">
        <v>38</v>
      </c>
    </row>
    <row r="7" spans="1:13" ht="18.75" customHeight="1" x14ac:dyDescent="0.3">
      <c r="A7" s="34"/>
      <c r="B7" s="13">
        <f>B6+1</f>
        <v>2</v>
      </c>
      <c r="C7" s="10" t="s">
        <v>54</v>
      </c>
      <c r="D7" s="8" t="s">
        <v>55</v>
      </c>
      <c r="E7" s="3" t="s">
        <v>58</v>
      </c>
      <c r="F7" s="20">
        <v>10640000</v>
      </c>
      <c r="G7" s="13" t="s">
        <v>35</v>
      </c>
      <c r="H7" s="13" t="s">
        <v>35</v>
      </c>
      <c r="I7" s="14">
        <f t="shared" si="0"/>
        <v>4256000</v>
      </c>
      <c r="J7" s="13" t="s">
        <v>35</v>
      </c>
      <c r="K7" s="13" t="s">
        <v>35</v>
      </c>
      <c r="L7" s="15"/>
      <c r="M7" s="21" t="s">
        <v>49</v>
      </c>
    </row>
    <row r="8" spans="1:13" ht="18.75" customHeight="1" x14ac:dyDescent="0.3">
      <c r="A8" s="34"/>
      <c r="B8" s="13">
        <f t="shared" ref="B8" si="1">B7+1</f>
        <v>3</v>
      </c>
      <c r="C8" s="10" t="s">
        <v>39</v>
      </c>
      <c r="D8" s="8" t="s">
        <v>56</v>
      </c>
      <c r="E8" s="4" t="s">
        <v>51</v>
      </c>
      <c r="F8" s="20">
        <v>10250000</v>
      </c>
      <c r="G8" s="13" t="s">
        <v>35</v>
      </c>
      <c r="H8" s="13" t="s">
        <v>35</v>
      </c>
      <c r="I8" s="14">
        <f t="shared" si="0"/>
        <v>4100000</v>
      </c>
      <c r="J8" s="13" t="s">
        <v>35</v>
      </c>
      <c r="K8" s="13" t="s">
        <v>35</v>
      </c>
      <c r="L8" s="15"/>
      <c r="M8" s="21" t="s">
        <v>59</v>
      </c>
    </row>
    <row r="9" spans="1:13" ht="16.5" customHeight="1" x14ac:dyDescent="0.25"/>
    <row r="10" spans="1:13" ht="16.5" customHeight="1" x14ac:dyDescent="0.25"/>
    <row r="11" spans="1:13" ht="16.5" customHeight="1" x14ac:dyDescent="0.25"/>
  </sheetData>
  <mergeCells count="3">
    <mergeCell ref="E4:F4"/>
    <mergeCell ref="C5:D5"/>
    <mergeCell ref="A6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A6F2-2519-423A-9D49-05AFEE0BCE69}">
  <dimension ref="A1:M24"/>
  <sheetViews>
    <sheetView zoomScaleNormal="100" workbookViewId="0">
      <selection activeCell="I19" sqref="I19"/>
    </sheetView>
  </sheetViews>
  <sheetFormatPr defaultRowHeight="16.5" x14ac:dyDescent="0.25"/>
  <cols>
    <col min="1" max="1" width="20.33203125" customWidth="1"/>
    <col min="3" max="3" width="14.44140625" customWidth="1"/>
    <col min="4" max="4" width="10.109375" customWidth="1"/>
    <col min="5" max="5" width="15.44140625" customWidth="1"/>
    <col min="6" max="6" width="17" customWidth="1"/>
    <col min="7" max="7" width="14.33203125" customWidth="1"/>
    <col min="8" max="8" width="13.5546875" customWidth="1"/>
    <col min="9" max="9" width="16.77734375" customWidth="1"/>
    <col min="10" max="10" width="18.88671875" customWidth="1"/>
    <col min="11" max="11" width="16.21875" customWidth="1"/>
    <col min="12" max="12" width="17.44140625" customWidth="1"/>
    <col min="13" max="13" width="20.88671875" customWidth="1"/>
  </cols>
  <sheetData>
    <row r="1" spans="1:13" ht="27.75" x14ac:dyDescent="0.25">
      <c r="E1" s="1" t="s">
        <v>0</v>
      </c>
      <c r="F1" s="1"/>
      <c r="G1" s="1"/>
      <c r="H1" s="1"/>
      <c r="I1" s="1"/>
      <c r="J1" s="1"/>
    </row>
    <row r="2" spans="1:13" ht="20.25" x14ac:dyDescent="0.25">
      <c r="G2" s="2" t="s">
        <v>65</v>
      </c>
      <c r="L2" s="28" t="s">
        <v>15</v>
      </c>
      <c r="M2" s="7"/>
    </row>
    <row r="3" spans="1:13" x14ac:dyDescent="0.25">
      <c r="L3" s="28" t="s">
        <v>32</v>
      </c>
      <c r="M3" s="12" t="s">
        <v>33</v>
      </c>
    </row>
    <row r="4" spans="1:13" x14ac:dyDescent="0.25">
      <c r="E4" s="30"/>
      <c r="F4" s="30"/>
    </row>
    <row r="5" spans="1:13" ht="49.5" x14ac:dyDescent="0.25">
      <c r="B5" s="26" t="s">
        <v>1</v>
      </c>
      <c r="C5" s="31" t="s">
        <v>3</v>
      </c>
      <c r="D5" s="32"/>
      <c r="E5" s="26" t="s">
        <v>4</v>
      </c>
      <c r="F5" s="27" t="s">
        <v>2</v>
      </c>
      <c r="G5" s="26" t="s">
        <v>5</v>
      </c>
      <c r="H5" s="27" t="s">
        <v>6</v>
      </c>
      <c r="I5" s="27" t="s">
        <v>7</v>
      </c>
      <c r="J5" s="27" t="s">
        <v>8</v>
      </c>
      <c r="K5" s="26" t="s">
        <v>27</v>
      </c>
      <c r="L5" s="26" t="s">
        <v>16</v>
      </c>
      <c r="M5" s="26" t="s">
        <v>9</v>
      </c>
    </row>
    <row r="6" spans="1:13" ht="54.75" customHeight="1" x14ac:dyDescent="0.25">
      <c r="A6" s="35" t="s">
        <v>63</v>
      </c>
      <c r="B6" s="23">
        <v>1</v>
      </c>
      <c r="C6" s="10" t="s">
        <v>43</v>
      </c>
      <c r="D6" s="8" t="s">
        <v>44</v>
      </c>
      <c r="E6" s="5" t="s">
        <v>13</v>
      </c>
      <c r="F6" s="19">
        <v>2958000</v>
      </c>
      <c r="G6" s="23" t="s">
        <v>35</v>
      </c>
      <c r="H6" s="23" t="s">
        <v>35</v>
      </c>
      <c r="I6" s="24">
        <f t="shared" ref="I6:I7" si="0">F6*40%</f>
        <v>1183200</v>
      </c>
      <c r="J6" s="23" t="s">
        <v>35</v>
      </c>
      <c r="K6" s="23" t="s">
        <v>35</v>
      </c>
      <c r="L6" s="23"/>
      <c r="M6" s="25" t="s">
        <v>50</v>
      </c>
    </row>
    <row r="7" spans="1:13" ht="60.75" customHeight="1" x14ac:dyDescent="0.25">
      <c r="A7" s="36"/>
      <c r="B7" s="23">
        <v>2</v>
      </c>
      <c r="C7" s="10" t="s">
        <v>45</v>
      </c>
      <c r="D7" s="8" t="s">
        <v>46</v>
      </c>
      <c r="E7" s="6" t="s">
        <v>61</v>
      </c>
      <c r="F7" s="19">
        <v>3265000</v>
      </c>
      <c r="G7" s="23" t="s">
        <v>35</v>
      </c>
      <c r="H7" s="23" t="s">
        <v>35</v>
      </c>
      <c r="I7" s="24">
        <f t="shared" si="0"/>
        <v>1306000</v>
      </c>
      <c r="J7" s="23" t="s">
        <v>35</v>
      </c>
      <c r="K7" s="23" t="s">
        <v>35</v>
      </c>
      <c r="L7" s="23"/>
      <c r="M7" s="25" t="s">
        <v>50</v>
      </c>
    </row>
    <row r="8" spans="1:13" ht="20.100000000000001" customHeight="1" x14ac:dyDescent="0.25">
      <c r="A8" s="36"/>
      <c r="B8" s="13">
        <f>B7+1</f>
        <v>3</v>
      </c>
      <c r="C8" s="10" t="s">
        <v>23</v>
      </c>
      <c r="D8" s="8" t="s">
        <v>28</v>
      </c>
      <c r="E8" s="3" t="s">
        <v>11</v>
      </c>
      <c r="F8" s="20">
        <v>26980000</v>
      </c>
      <c r="G8" s="14">
        <v>25500000</v>
      </c>
      <c r="H8" s="14">
        <f>F8-G8</f>
        <v>1480000</v>
      </c>
      <c r="I8" s="14">
        <f>F8*40%</f>
        <v>10792000</v>
      </c>
      <c r="J8" s="20">
        <f>H8*10%</f>
        <v>148000</v>
      </c>
      <c r="K8" s="22" t="s">
        <v>34</v>
      </c>
      <c r="L8" s="15"/>
      <c r="M8" s="16" t="s">
        <v>37</v>
      </c>
    </row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x14ac:dyDescent="0.25"/>
    <row r="13" spans="1:13" ht="18.75" customHeight="1" x14ac:dyDescent="0.25"/>
    <row r="14" spans="1:13" ht="18.75" customHeight="1" x14ac:dyDescent="0.25"/>
    <row r="15" spans="1:13" ht="18.75" customHeight="1" x14ac:dyDescent="0.25"/>
    <row r="16" spans="1:13" ht="18.75" customHeight="1" x14ac:dyDescent="0.25"/>
    <row r="17" ht="18.75" customHeight="1" x14ac:dyDescent="0.25"/>
    <row r="20" ht="17.25" customHeight="1" x14ac:dyDescent="0.25"/>
    <row r="21" ht="42.75" customHeight="1" x14ac:dyDescent="0.25"/>
    <row r="22" ht="34.5" customHeight="1" x14ac:dyDescent="0.25"/>
    <row r="23" ht="16.5" customHeight="1" x14ac:dyDescent="0.25"/>
    <row r="24" ht="16.5" customHeight="1" x14ac:dyDescent="0.25"/>
  </sheetData>
  <mergeCells count="3">
    <mergeCell ref="E4:F4"/>
    <mergeCell ref="C5:D5"/>
    <mergeCell ref="A6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 Đảo hiện tại</vt:lpstr>
      <vt:lpstr>Bắc Đảo hiện tại</vt:lpstr>
      <vt:lpstr>dương đông hiện tại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2026-01-16T02:37:06Z</dcterms:created>
  <dcterms:modified xsi:type="dcterms:W3CDTF">2026-02-01T18:07:26Z</dcterms:modified>
</cp:coreProperties>
</file>