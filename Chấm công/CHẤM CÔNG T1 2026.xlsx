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c Anh\Chấm công\"/>
    </mc:Choice>
  </mc:AlternateContent>
  <xr:revisionPtr revIDLastSave="0" documentId="13_ncr:1_{B1B4000D-47E8-44EB-9B00-7C1FA27F88FA}" xr6:coauthVersionLast="47" xr6:coauthVersionMax="47" xr10:uidLastSave="{00000000-0000-0000-0000-000000000000}"/>
  <bookViews>
    <workbookView xWindow="-120" yWindow="-120" windowWidth="29040" windowHeight="15840" tabRatio="487" activeTab="1" xr2:uid="{5BB9A907-C889-48BA-A08B-CDCC7DB0058E}"/>
  </bookViews>
  <sheets>
    <sheet name="DƯƠNG ĐÔNG" sheetId="13" r:id="rId1"/>
    <sheet name="SUN" sheetId="1" r:id="rId2"/>
    <sheet name="VIN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8" i="1" l="1"/>
  <c r="I38" i="13" l="1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G38" i="13"/>
  <c r="E38" i="13"/>
  <c r="G37" i="13"/>
  <c r="E37" i="13"/>
  <c r="G36" i="13"/>
  <c r="E36" i="13"/>
  <c r="G35" i="13"/>
  <c r="E35" i="13"/>
  <c r="G34" i="13"/>
  <c r="E34" i="13"/>
  <c r="G33" i="13"/>
  <c r="E33" i="13"/>
  <c r="G32" i="13"/>
  <c r="E32" i="13"/>
  <c r="G31" i="13"/>
  <c r="E31" i="13"/>
  <c r="G30" i="13"/>
  <c r="E30" i="13"/>
  <c r="G29" i="13"/>
  <c r="E29" i="13"/>
  <c r="G28" i="13"/>
  <c r="E28" i="13"/>
  <c r="G27" i="13"/>
  <c r="E27" i="13"/>
  <c r="G26" i="13"/>
  <c r="E26" i="13"/>
  <c r="G25" i="13"/>
  <c r="E25" i="13"/>
  <c r="G24" i="13"/>
  <c r="E24" i="13"/>
  <c r="B9" i="13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G8" i="1"/>
  <c r="I8" i="1"/>
  <c r="K8" i="1"/>
  <c r="O8" i="1"/>
  <c r="B9" i="1"/>
  <c r="I9" i="1"/>
  <c r="K9" i="1"/>
  <c r="M9" i="1"/>
  <c r="O9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I10" i="1"/>
  <c r="K10" i="1"/>
  <c r="M10" i="1"/>
  <c r="E11" i="1"/>
  <c r="K11" i="1"/>
  <c r="M11" i="1"/>
  <c r="O11" i="1"/>
  <c r="I12" i="1"/>
  <c r="K12" i="1"/>
  <c r="O12" i="1"/>
  <c r="I13" i="1"/>
  <c r="K13" i="1"/>
  <c r="M13" i="1"/>
  <c r="O13" i="1"/>
  <c r="E14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8" i="1"/>
  <c r="I18" i="1"/>
  <c r="K18" i="1"/>
  <c r="O18" i="1"/>
  <c r="G19" i="1"/>
  <c r="I19" i="1"/>
  <c r="K19" i="1"/>
  <c r="O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Y19" i="1" l="1"/>
  <c r="Y18" i="1"/>
  <c r="Y17" i="1"/>
  <c r="S18" i="1" l="1"/>
  <c r="Q19" i="1"/>
  <c r="S19" i="1"/>
  <c r="W19" i="1"/>
  <c r="G17" i="2" l="1"/>
  <c r="O16" i="2"/>
  <c r="I16" i="2"/>
  <c r="G16" i="2"/>
  <c r="E16" i="2"/>
  <c r="O15" i="2"/>
  <c r="M15" i="2"/>
  <c r="I15" i="2"/>
  <c r="G15" i="2"/>
  <c r="E15" i="2"/>
  <c r="I14" i="2"/>
  <c r="G14" i="2"/>
  <c r="E14" i="2"/>
  <c r="I13" i="2"/>
  <c r="G13" i="2"/>
  <c r="E13" i="2"/>
  <c r="G12" i="2"/>
  <c r="E12" i="2"/>
  <c r="I11" i="2"/>
  <c r="G11" i="2"/>
  <c r="G10" i="2"/>
  <c r="G9" i="2"/>
  <c r="E9" i="2"/>
  <c r="I8" i="2"/>
  <c r="G8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Y16" i="1"/>
  <c r="Q16" i="1"/>
  <c r="Y15" i="1"/>
  <c r="Q15" i="1"/>
  <c r="Y14" i="1"/>
  <c r="U14" i="1"/>
  <c r="Q14" i="1"/>
  <c r="Y13" i="1"/>
  <c r="Q13" i="1"/>
  <c r="Y12" i="1"/>
  <c r="AA12" i="1"/>
  <c r="Q12" i="1"/>
  <c r="W11" i="1"/>
  <c r="AA11" i="1"/>
  <c r="S11" i="1"/>
  <c r="Q11" i="1"/>
  <c r="AA10" i="1"/>
  <c r="AA8" i="1"/>
  <c r="S10" i="1"/>
  <c r="Q10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S9" i="1"/>
  <c r="Q9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AA14" i="1" l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W8" i="1"/>
  <c r="S8" i="1"/>
  <c r="Q8" i="1"/>
</calcChain>
</file>

<file path=xl/sharedStrings.xml><?xml version="1.0" encoding="utf-8"?>
<sst xmlns="http://schemas.openxmlformats.org/spreadsheetml/2006/main" count="219" uniqueCount="53">
  <si>
    <t>DOANH THU</t>
  </si>
  <si>
    <t>THỰC LÃNH</t>
  </si>
  <si>
    <t>THÁNG 01
NĂM 2026</t>
  </si>
  <si>
    <t>NGÀY</t>
  </si>
  <si>
    <t>THỨ</t>
  </si>
  <si>
    <t>LÊ VĂN TÙNG</t>
  </si>
  <si>
    <t>ĐỖ VĂN CHUNG</t>
  </si>
  <si>
    <t xml:space="preserve">LÊ THÀNH LẬP (Hiếu) </t>
  </si>
  <si>
    <t>ĐỖ VĂN NAM</t>
  </si>
  <si>
    <t>NGUYỄN QUỐC NAM</t>
  </si>
  <si>
    <t>NGUYỄN DUY NHẤT</t>
  </si>
  <si>
    <t>TRẦN HOÀI THIỆN</t>
  </si>
  <si>
    <t>TRẦN THANH THANH</t>
  </si>
  <si>
    <t>ĐỖ THÀNH THỪA</t>
  </si>
  <si>
    <t>TRẦN VIẾT HÙNG</t>
  </si>
  <si>
    <t>NGUYỄN VĂN THÁI</t>
  </si>
  <si>
    <t>T5</t>
  </si>
  <si>
    <t>T6</t>
  </si>
  <si>
    <t>T7</t>
  </si>
  <si>
    <t>CN</t>
  </si>
  <si>
    <t>T2</t>
  </si>
  <si>
    <t>T3</t>
  </si>
  <si>
    <t>T4</t>
  </si>
  <si>
    <t>TỶ LỆ</t>
  </si>
  <si>
    <t>BÙI VĂN HẬN</t>
  </si>
  <si>
    <t>HUỲNH HOÀNG VŨ</t>
  </si>
  <si>
    <t>Xin nghỉ thay đèn xe</t>
  </si>
  <si>
    <t>TRƯƠNG VŨ CA</t>
  </si>
  <si>
    <t>NGUYỄN CHÍ BÌNH</t>
  </si>
  <si>
    <t>QUANG HÀ</t>
  </si>
  <si>
    <t>LÊ VĨNH NHÂM</t>
  </si>
  <si>
    <t>MAI BÁ ĐẠT</t>
  </si>
  <si>
    <t>NGUYỄN VĂN THẠO</t>
  </si>
  <si>
    <t>z</t>
  </si>
  <si>
    <t>không chạy</t>
  </si>
  <si>
    <t>NGHỈ LUÔN</t>
  </si>
  <si>
    <t>PHAN HOÀNG EM</t>
  </si>
  <si>
    <t>CÔNG TY TNHH MTV VẬN TẢI VÀ DU LỊCH MINH HẢI</t>
  </si>
  <si>
    <t>nghỉ tang</t>
  </si>
  <si>
    <t>VŨ ĐỨC HẠNH</t>
  </si>
  <si>
    <t>BẢNG DOANH THU THÁNG 1</t>
  </si>
  <si>
    <t>HOÀNG ANH TUẤN</t>
  </si>
  <si>
    <t>NGUYỄN ĐĂNG KHÁNH</t>
  </si>
  <si>
    <t>nghỉ bệnh</t>
  </si>
  <si>
    <t>nghỉ luôn</t>
  </si>
  <si>
    <t>HUỲNH VIỆT CHƯƠNG</t>
  </si>
  <si>
    <t>XIN NGHỈ 1 HÔM</t>
  </si>
  <si>
    <t>TẠM NGHỈ</t>
  </si>
  <si>
    <t>NGHỈ DO NHÀ XA</t>
  </si>
  <si>
    <t>NGHỈ CHĂM CON</t>
  </si>
  <si>
    <t>LƯ HỚN VINH</t>
  </si>
  <si>
    <t>VÕ ĐẸP</t>
  </si>
  <si>
    <t>NGHỈ BỆNH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</si>
</sst>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theme="1"/>
      <name val="Times New Roman"/>
      <family val="1"/>
    </font>
    <font>
      <b/>
      <sz val="12"/>
      <color rgb="FFEB3A2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FFFF00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3"/>
      <name val="Times New Roman"/>
      <family val="1"/>
    </font>
    <font>
      <sz val="13"/>
      <color rgb="FFFFFF00"/>
      <name val="Times New Roman"/>
      <family val="1"/>
    </font>
    <font>
      <b/>
      <sz val="14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3" borderId="1" xfId="2" applyFont="1" applyBorder="1" applyAlignment="1">
      <alignment horizontal="center"/>
    </xf>
    <xf numFmtId="3" fontId="2" fillId="0" borderId="1" xfId="0" applyNumberFormat="1" applyFont="1" applyBorder="1"/>
    <xf numFmtId="3" fontId="4" fillId="0" borderId="1" xfId="0" applyNumberFormat="1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/>
    </xf>
    <xf numFmtId="3" fontId="6" fillId="5" borderId="2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/>
    <xf numFmtId="0" fontId="4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" fontId="4" fillId="10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/>
    <xf numFmtId="3" fontId="10" fillId="0" borderId="1" xfId="0" applyNumberFormat="1" applyFont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3" fontId="2" fillId="8" borderId="1" xfId="0" applyNumberFormat="1" applyFont="1" applyFill="1" applyBorder="1"/>
    <xf numFmtId="3" fontId="10" fillId="7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3" fontId="10" fillId="7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/>
    </xf>
    <xf numFmtId="3" fontId="4" fillId="12" borderId="1" xfId="0" applyNumberFormat="1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center" vertical="center"/>
    </xf>
    <xf numFmtId="3" fontId="10" fillId="13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7" borderId="0" xfId="0" applyFill="1"/>
    <xf numFmtId="3" fontId="4" fillId="14" borderId="10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/>
    </xf>
    <xf numFmtId="3" fontId="11" fillId="5" borderId="3" xfId="0" applyNumberFormat="1" applyFont="1" applyFill="1" applyBorder="1" applyAlignment="1">
      <alignment horizontal="center"/>
    </xf>
    <xf numFmtId="3" fontId="6" fillId="5" borderId="2" xfId="0" applyNumberFormat="1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3" fontId="6" fillId="5" borderId="4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3" fontId="6" fillId="5" borderId="6" xfId="0" applyNumberFormat="1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center" vertical="center"/>
    </xf>
    <xf numFmtId="3" fontId="6" fillId="5" borderId="8" xfId="0" applyNumberFormat="1" applyFont="1" applyFill="1" applyBorder="1" applyAlignment="1">
      <alignment horizontal="center" vertical="center"/>
    </xf>
    <xf numFmtId="3" fontId="6" fillId="5" borderId="9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 wrapText="1"/>
    </xf>
    <xf numFmtId="3" fontId="6" fillId="5" borderId="3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center"/>
    </xf>
    <xf numFmtId="3" fontId="6" fillId="5" borderId="3" xfId="0" applyNumberFormat="1" applyFont="1" applyFill="1" applyBorder="1" applyAlignment="1">
      <alignment horizontal="center"/>
    </xf>
    <xf numFmtId="3" fontId="6" fillId="9" borderId="4" xfId="0" applyNumberFormat="1" applyFont="1" applyFill="1" applyBorder="1" applyAlignment="1">
      <alignment horizontal="center" vertical="center"/>
    </xf>
    <xf numFmtId="3" fontId="6" fillId="9" borderId="5" xfId="0" applyNumberFormat="1" applyFont="1" applyFill="1" applyBorder="1" applyAlignment="1">
      <alignment horizontal="center" vertical="center"/>
    </xf>
    <xf numFmtId="3" fontId="6" fillId="9" borderId="6" xfId="0" applyNumberFormat="1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3" fontId="6" fillId="9" borderId="8" xfId="0" applyNumberFormat="1" applyFont="1" applyFill="1" applyBorder="1" applyAlignment="1">
      <alignment horizontal="center" vertical="center"/>
    </xf>
    <xf numFmtId="3" fontId="6" fillId="9" borderId="9" xfId="0" applyNumberFormat="1" applyFont="1" applyFill="1" applyBorder="1" applyAlignment="1">
      <alignment horizontal="center" vertical="center"/>
    </xf>
    <xf numFmtId="0" fontId="5" fillId="2" borderId="2" xfId="1" applyFont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/>
    </xf>
  </cellXfs>
  <cellStyles count="3">
    <cellStyle name="20% - Accent3" xfId="1" builtinId="38"/>
    <cellStyle name="40% - Accent3" xfId="2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uc%20Anh\Theo%20d&#245;i\T1%202026%2002-01.xlsx" TargetMode="External"/><Relationship Id="rId1" Type="http://schemas.openxmlformats.org/officeDocument/2006/relationships/externalLinkPath" Target="/Duc%20Anh/Theo%20d&#245;i/T1%202026%2002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ển số xe"/>
      <sheetName val="01-01"/>
      <sheetName val="02-01"/>
      <sheetName val="03-01"/>
      <sheetName val="04-01"/>
      <sheetName val="05-01"/>
      <sheetName val="06-01"/>
      <sheetName val="07-01"/>
      <sheetName val="08-01"/>
      <sheetName val="09-01"/>
      <sheetName val="10-01"/>
      <sheetName val="10-01 (1)"/>
      <sheetName val="11-01 "/>
      <sheetName val="12-01"/>
      <sheetName val="13-01"/>
      <sheetName val="14-01"/>
      <sheetName val="15-01"/>
      <sheetName val="16-01"/>
      <sheetName val="17-01"/>
      <sheetName val="18-01"/>
      <sheetName val="19-01"/>
      <sheetName val="20-01"/>
      <sheetName val="21-01"/>
      <sheetName val="22-01"/>
      <sheetName val="23-01"/>
      <sheetName val="24-01"/>
      <sheetName val="25-01"/>
      <sheetName val="26-01"/>
      <sheetName val="27-01"/>
      <sheetName val="28-01"/>
      <sheetName val="29-01"/>
      <sheetName val="30-01"/>
      <sheetName val="31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3ABA-3D79-4E3C-8E5B-050215091250}">
  <dimension ref="B2:V45"/>
  <sheetViews>
    <sheetView zoomScale="85" zoomScaleNormal="85" workbookViewId="0">
      <pane xSplit="3" ySplit="7" topLeftCell="D24" activePane="bottomRight" state="frozen"/>
      <selection pane="topRight" activeCell="D1" sqref="D1"/>
      <selection pane="bottomLeft" activeCell="A8" sqref="A8"/>
      <selection pane="bottomRight" activeCell="D6" sqref="D6:I38"/>
    </sheetView>
  </sheetViews>
  <sheetFormatPr defaultRowHeight="16.5" x14ac:dyDescent="0.25"/>
  <cols>
    <col min="4" max="4" width="13.33203125" customWidth="1"/>
    <col min="5" max="5" width="12.6640625" customWidth="1"/>
    <col min="6" max="6" width="13.109375" customWidth="1"/>
    <col min="7" max="7" width="13.33203125" customWidth="1"/>
    <col min="8" max="8" width="12.88671875" customWidth="1"/>
    <col min="9" max="9" width="11.44140625" customWidth="1"/>
    <col min="10" max="10" width="12.33203125" customWidth="1"/>
    <col min="11" max="11" width="12.21875" customWidth="1"/>
    <col min="12" max="12" width="12.5546875" customWidth="1"/>
    <col min="13" max="13" width="12.77734375" customWidth="1"/>
    <col min="14" max="14" width="12.88671875" customWidth="1"/>
    <col min="15" max="15" width="12.5546875" customWidth="1"/>
    <col min="16" max="16" width="13.6640625" customWidth="1"/>
    <col min="17" max="17" width="12.33203125" customWidth="1"/>
    <col min="18" max="18" width="14.109375" customWidth="1"/>
    <col min="19" max="19" width="13.6640625" customWidth="1"/>
    <col min="20" max="21" width="12.44140625" customWidth="1"/>
    <col min="22" max="22" width="13" customWidth="1"/>
    <col min="23" max="23" width="12" customWidth="1"/>
    <col min="24" max="24" width="14.77734375" customWidth="1"/>
    <col min="25" max="25" width="12.33203125" customWidth="1"/>
    <col min="26" max="26" width="12" customWidth="1"/>
    <col min="27" max="27" width="12.21875" customWidth="1"/>
    <col min="28" max="28" width="12.77734375" customWidth="1"/>
    <col min="29" max="29" width="13.77734375" customWidth="1"/>
    <col min="30" max="30" width="13.6640625" customWidth="1"/>
    <col min="31" max="31" width="12.5546875" customWidth="1"/>
  </cols>
  <sheetData>
    <row r="2" spans="2:22" ht="27.75" x14ac:dyDescent="0.25">
      <c r="D2" s="19" t="s">
        <v>37</v>
      </c>
      <c r="E2" s="19"/>
      <c r="F2" s="19"/>
      <c r="G2" s="19"/>
      <c r="H2" s="19"/>
      <c r="I2" s="19"/>
      <c r="J2" s="19"/>
      <c r="K2" s="19"/>
      <c r="L2" s="19"/>
      <c r="M2" s="19"/>
    </row>
    <row r="3" spans="2:22" ht="30.75" x14ac:dyDescent="0.25">
      <c r="E3" s="17"/>
      <c r="F3" s="17"/>
      <c r="G3" s="18" t="s">
        <v>40</v>
      </c>
      <c r="H3" s="17"/>
      <c r="K3" s="17"/>
      <c r="L3" s="17"/>
      <c r="M3" s="17"/>
    </row>
    <row r="5" spans="2:22" hidden="1" x14ac:dyDescent="0.25"/>
    <row r="6" spans="2:22" ht="41.25" customHeight="1" x14ac:dyDescent="0.25">
      <c r="B6" s="41" t="s">
        <v>2</v>
      </c>
      <c r="C6" s="42"/>
      <c r="D6" s="39" t="s">
        <v>39</v>
      </c>
      <c r="E6" s="40"/>
      <c r="F6" s="39" t="s">
        <v>41</v>
      </c>
      <c r="G6" s="40"/>
      <c r="H6" s="39" t="s">
        <v>42</v>
      </c>
      <c r="I6" s="40"/>
      <c r="V6" t="s">
        <v>33</v>
      </c>
    </row>
    <row r="7" spans="2:22" x14ac:dyDescent="0.25">
      <c r="B7" s="9" t="s">
        <v>3</v>
      </c>
      <c r="C7" s="9" t="s">
        <v>4</v>
      </c>
      <c r="D7" s="2" t="s">
        <v>0</v>
      </c>
      <c r="E7" s="2" t="s">
        <v>1</v>
      </c>
      <c r="F7" s="2" t="s">
        <v>0</v>
      </c>
      <c r="G7" s="2" t="s">
        <v>1</v>
      </c>
      <c r="H7" s="2" t="s">
        <v>0</v>
      </c>
      <c r="I7" s="2" t="s">
        <v>1</v>
      </c>
    </row>
    <row r="8" spans="2:22" x14ac:dyDescent="0.25">
      <c r="B8" s="2">
        <v>1</v>
      </c>
      <c r="C8" s="11" t="s">
        <v>16</v>
      </c>
      <c r="D8" s="8"/>
      <c r="E8" s="8"/>
      <c r="F8" s="8"/>
      <c r="G8" s="8"/>
      <c r="H8" s="8"/>
      <c r="I8" s="8"/>
    </row>
    <row r="9" spans="2:22" x14ac:dyDescent="0.25">
      <c r="B9" s="2">
        <f>B8+1</f>
        <v>2</v>
      </c>
      <c r="C9" s="11" t="s">
        <v>17</v>
      </c>
      <c r="D9" s="24"/>
      <c r="E9" s="25"/>
      <c r="F9" s="8"/>
      <c r="G9" s="8"/>
      <c r="H9" s="8"/>
      <c r="I9" s="8"/>
    </row>
    <row r="10" spans="2:22" x14ac:dyDescent="0.25">
      <c r="B10" s="2">
        <f t="shared" ref="B10:B38" si="0">B9+1</f>
        <v>3</v>
      </c>
      <c r="C10" s="11" t="s">
        <v>18</v>
      </c>
      <c r="D10" s="8"/>
      <c r="E10" s="8"/>
      <c r="F10" s="8"/>
      <c r="G10" s="8"/>
      <c r="H10" s="8"/>
      <c r="I10" s="8"/>
    </row>
    <row r="11" spans="2:22" x14ac:dyDescent="0.25">
      <c r="B11" s="2">
        <f t="shared" si="0"/>
        <v>4</v>
      </c>
      <c r="C11" s="11" t="s">
        <v>19</v>
      </c>
      <c r="D11" s="8"/>
      <c r="E11" s="8"/>
      <c r="F11" s="8"/>
      <c r="G11" s="8"/>
      <c r="H11" s="8"/>
      <c r="I11" s="8"/>
    </row>
    <row r="12" spans="2:22" x14ac:dyDescent="0.25">
      <c r="B12" s="2">
        <f t="shared" si="0"/>
        <v>5</v>
      </c>
      <c r="C12" s="11" t="s">
        <v>20</v>
      </c>
      <c r="D12" s="8"/>
      <c r="E12" s="8"/>
      <c r="F12" s="8"/>
      <c r="G12" s="8"/>
      <c r="H12" s="8"/>
      <c r="I12" s="8"/>
    </row>
    <row r="13" spans="2:22" x14ac:dyDescent="0.25">
      <c r="B13" s="2">
        <f t="shared" si="0"/>
        <v>6</v>
      </c>
      <c r="C13" s="11" t="s">
        <v>21</v>
      </c>
      <c r="D13" s="8"/>
      <c r="E13" s="8"/>
      <c r="F13" s="8"/>
      <c r="G13" s="8"/>
      <c r="H13" s="8"/>
      <c r="I13" s="8"/>
    </row>
    <row r="14" spans="2:22" x14ac:dyDescent="0.25">
      <c r="B14" s="2">
        <f t="shared" si="0"/>
        <v>7</v>
      </c>
      <c r="C14" s="11" t="s">
        <v>22</v>
      </c>
      <c r="D14" s="8"/>
      <c r="E14" s="8"/>
      <c r="F14" s="8"/>
      <c r="G14" s="8"/>
      <c r="H14" s="8"/>
      <c r="I14" s="8"/>
    </row>
    <row r="15" spans="2:22" x14ac:dyDescent="0.25">
      <c r="B15" s="2">
        <f t="shared" si="0"/>
        <v>8</v>
      </c>
      <c r="C15" s="11" t="s">
        <v>16</v>
      </c>
      <c r="D15" s="8"/>
      <c r="E15" s="8"/>
      <c r="F15" s="8"/>
      <c r="G15" s="8"/>
      <c r="H15" s="8"/>
      <c r="I15" s="8"/>
    </row>
    <row r="16" spans="2:22" ht="21" customHeight="1" x14ac:dyDescent="0.25">
      <c r="B16" s="2">
        <f t="shared" si="0"/>
        <v>9</v>
      </c>
      <c r="C16" s="11" t="s">
        <v>17</v>
      </c>
      <c r="D16" s="8"/>
      <c r="E16" s="8"/>
      <c r="F16" s="8"/>
      <c r="G16" s="8"/>
      <c r="H16" s="8"/>
      <c r="I16" s="8"/>
    </row>
    <row r="17" spans="2:9" x14ac:dyDescent="0.25">
      <c r="B17" s="2">
        <f t="shared" si="0"/>
        <v>10</v>
      </c>
      <c r="C17" s="11" t="s">
        <v>18</v>
      </c>
      <c r="D17" s="8"/>
      <c r="E17" s="8"/>
      <c r="F17" s="8"/>
      <c r="G17" s="8"/>
      <c r="H17" s="8"/>
      <c r="I17" s="8"/>
    </row>
    <row r="18" spans="2:9" x14ac:dyDescent="0.25">
      <c r="B18" s="2">
        <f t="shared" si="0"/>
        <v>11</v>
      </c>
      <c r="C18" s="11" t="s">
        <v>19</v>
      </c>
      <c r="D18" s="8"/>
      <c r="E18" s="8"/>
      <c r="F18" s="8"/>
      <c r="G18" s="8"/>
      <c r="H18" s="8"/>
      <c r="I18" s="8"/>
    </row>
    <row r="19" spans="2:9" x14ac:dyDescent="0.25">
      <c r="B19" s="2">
        <f t="shared" si="0"/>
        <v>12</v>
      </c>
      <c r="C19" s="11" t="s">
        <v>20</v>
      </c>
      <c r="D19" s="8"/>
      <c r="E19" s="8"/>
      <c r="F19" s="8"/>
      <c r="G19" s="8"/>
      <c r="H19" s="8"/>
      <c r="I19" s="8"/>
    </row>
    <row r="20" spans="2:9" x14ac:dyDescent="0.25">
      <c r="B20" s="2">
        <f t="shared" si="0"/>
        <v>13</v>
      </c>
      <c r="C20" s="11" t="s">
        <v>21</v>
      </c>
      <c r="D20" s="26"/>
      <c r="E20" s="8"/>
      <c r="F20" s="26"/>
      <c r="G20" s="8"/>
      <c r="H20" s="26"/>
      <c r="I20" s="26"/>
    </row>
    <row r="21" spans="2:9" x14ac:dyDescent="0.25">
      <c r="B21" s="2">
        <f t="shared" si="0"/>
        <v>14</v>
      </c>
      <c r="C21" s="11" t="s">
        <v>22</v>
      </c>
      <c r="D21" s="22">
        <v>1828000</v>
      </c>
      <c r="E21" s="23">
        <v>497000</v>
      </c>
      <c r="F21" s="22">
        <v>1540000</v>
      </c>
      <c r="G21" s="27">
        <v>924000</v>
      </c>
      <c r="H21" s="26"/>
      <c r="I21" s="26"/>
    </row>
    <row r="22" spans="2:9" x14ac:dyDescent="0.25">
      <c r="B22" s="2">
        <f t="shared" si="0"/>
        <v>15</v>
      </c>
      <c r="C22" s="11" t="s">
        <v>16</v>
      </c>
      <c r="D22" s="22">
        <v>1130000</v>
      </c>
      <c r="E22" s="23">
        <v>678000</v>
      </c>
      <c r="F22" s="22">
        <v>1725000</v>
      </c>
      <c r="G22" s="27">
        <v>1035000</v>
      </c>
      <c r="H22" s="26"/>
      <c r="I22" s="26"/>
    </row>
    <row r="23" spans="2:9" x14ac:dyDescent="0.25">
      <c r="B23" s="2">
        <f t="shared" si="0"/>
        <v>16</v>
      </c>
      <c r="C23" s="11" t="s">
        <v>17</v>
      </c>
      <c r="D23" s="22">
        <v>1830000</v>
      </c>
      <c r="E23" s="23">
        <v>1089000</v>
      </c>
      <c r="F23" s="22">
        <v>1960000</v>
      </c>
      <c r="G23" s="27">
        <v>1176000</v>
      </c>
      <c r="H23" s="6">
        <v>1520000</v>
      </c>
      <c r="I23" s="6">
        <v>912000</v>
      </c>
    </row>
    <row r="24" spans="2:9" x14ac:dyDescent="0.25">
      <c r="B24" s="2">
        <f t="shared" si="0"/>
        <v>17</v>
      </c>
      <c r="C24" s="11" t="s">
        <v>18</v>
      </c>
      <c r="D24" s="21"/>
      <c r="E24" s="7">
        <f t="shared" ref="E24:E38" si="1">D24*$E$45</f>
        <v>0</v>
      </c>
      <c r="F24" s="21"/>
      <c r="G24" s="7">
        <f t="shared" ref="G24:G38" si="2">F24*$E$45</f>
        <v>0</v>
      </c>
      <c r="H24" s="21"/>
      <c r="I24" s="7">
        <f t="shared" ref="I24:I38" si="3">H24*$E$45</f>
        <v>0</v>
      </c>
    </row>
    <row r="25" spans="2:9" x14ac:dyDescent="0.25">
      <c r="B25" s="2">
        <f t="shared" si="0"/>
        <v>18</v>
      </c>
      <c r="C25" s="11" t="s">
        <v>19</v>
      </c>
      <c r="D25" s="21"/>
      <c r="E25" s="7">
        <f t="shared" si="1"/>
        <v>0</v>
      </c>
      <c r="F25" s="21"/>
      <c r="G25" s="7">
        <f t="shared" si="2"/>
        <v>0</v>
      </c>
      <c r="H25" s="21"/>
      <c r="I25" s="7">
        <f t="shared" si="3"/>
        <v>0</v>
      </c>
    </row>
    <row r="26" spans="2:9" x14ac:dyDescent="0.25">
      <c r="B26" s="2">
        <f t="shared" si="0"/>
        <v>19</v>
      </c>
      <c r="C26" s="11" t="s">
        <v>20</v>
      </c>
      <c r="D26" s="21"/>
      <c r="E26" s="7">
        <f t="shared" si="1"/>
        <v>0</v>
      </c>
      <c r="F26" s="21"/>
      <c r="G26" s="7">
        <f t="shared" si="2"/>
        <v>0</v>
      </c>
      <c r="H26" s="21"/>
      <c r="I26" s="7">
        <f t="shared" si="3"/>
        <v>0</v>
      </c>
    </row>
    <row r="27" spans="2:9" x14ac:dyDescent="0.25">
      <c r="B27" s="2">
        <f t="shared" si="0"/>
        <v>20</v>
      </c>
      <c r="C27" s="11" t="s">
        <v>21</v>
      </c>
      <c r="D27" s="21"/>
      <c r="E27" s="7">
        <f t="shared" si="1"/>
        <v>0</v>
      </c>
      <c r="F27" s="21"/>
      <c r="G27" s="7">
        <f t="shared" si="2"/>
        <v>0</v>
      </c>
      <c r="H27" s="21"/>
      <c r="I27" s="7">
        <f t="shared" si="3"/>
        <v>0</v>
      </c>
    </row>
    <row r="28" spans="2:9" x14ac:dyDescent="0.25">
      <c r="B28" s="2">
        <f t="shared" si="0"/>
        <v>21</v>
      </c>
      <c r="C28" s="11" t="s">
        <v>22</v>
      </c>
      <c r="D28" s="21"/>
      <c r="E28" s="7">
        <f t="shared" si="1"/>
        <v>0</v>
      </c>
      <c r="F28" s="21"/>
      <c r="G28" s="7">
        <f t="shared" si="2"/>
        <v>0</v>
      </c>
      <c r="H28" s="21"/>
      <c r="I28" s="7">
        <f t="shared" si="3"/>
        <v>0</v>
      </c>
    </row>
    <row r="29" spans="2:9" x14ac:dyDescent="0.25">
      <c r="B29" s="2">
        <f t="shared" si="0"/>
        <v>22</v>
      </c>
      <c r="C29" s="11" t="s">
        <v>16</v>
      </c>
      <c r="D29" s="21"/>
      <c r="E29" s="7">
        <f t="shared" si="1"/>
        <v>0</v>
      </c>
      <c r="F29" s="21"/>
      <c r="G29" s="7">
        <f t="shared" si="2"/>
        <v>0</v>
      </c>
      <c r="H29" s="21"/>
      <c r="I29" s="7">
        <f t="shared" si="3"/>
        <v>0</v>
      </c>
    </row>
    <row r="30" spans="2:9" x14ac:dyDescent="0.25">
      <c r="B30" s="2">
        <f t="shared" si="0"/>
        <v>23</v>
      </c>
      <c r="C30" s="11" t="s">
        <v>17</v>
      </c>
      <c r="D30" s="21"/>
      <c r="E30" s="7">
        <f t="shared" si="1"/>
        <v>0</v>
      </c>
      <c r="F30" s="21"/>
      <c r="G30" s="7">
        <f t="shared" si="2"/>
        <v>0</v>
      </c>
      <c r="H30" s="21"/>
      <c r="I30" s="7">
        <f t="shared" si="3"/>
        <v>0</v>
      </c>
    </row>
    <row r="31" spans="2:9" x14ac:dyDescent="0.25">
      <c r="B31" s="2">
        <f t="shared" si="0"/>
        <v>24</v>
      </c>
      <c r="C31" s="11" t="s">
        <v>18</v>
      </c>
      <c r="D31" s="21"/>
      <c r="E31" s="7">
        <f t="shared" si="1"/>
        <v>0</v>
      </c>
      <c r="F31" s="21"/>
      <c r="G31" s="7">
        <f t="shared" si="2"/>
        <v>0</v>
      </c>
      <c r="H31" s="21"/>
      <c r="I31" s="7">
        <f t="shared" si="3"/>
        <v>0</v>
      </c>
    </row>
    <row r="32" spans="2:9" x14ac:dyDescent="0.25">
      <c r="B32" s="2">
        <f t="shared" si="0"/>
        <v>25</v>
      </c>
      <c r="C32" s="11" t="s">
        <v>19</v>
      </c>
      <c r="D32" s="21"/>
      <c r="E32" s="7">
        <f t="shared" si="1"/>
        <v>0</v>
      </c>
      <c r="F32" s="21"/>
      <c r="G32" s="7">
        <f t="shared" si="2"/>
        <v>0</v>
      </c>
      <c r="H32" s="21"/>
      <c r="I32" s="7">
        <f t="shared" si="3"/>
        <v>0</v>
      </c>
    </row>
    <row r="33" spans="2:9" x14ac:dyDescent="0.25">
      <c r="B33" s="2">
        <f t="shared" si="0"/>
        <v>26</v>
      </c>
      <c r="C33" s="11" t="s">
        <v>20</v>
      </c>
      <c r="D33" s="21"/>
      <c r="E33" s="7">
        <f t="shared" si="1"/>
        <v>0</v>
      </c>
      <c r="F33" s="21"/>
      <c r="G33" s="7">
        <f t="shared" si="2"/>
        <v>0</v>
      </c>
      <c r="H33" s="21"/>
      <c r="I33" s="7">
        <f t="shared" si="3"/>
        <v>0</v>
      </c>
    </row>
    <row r="34" spans="2:9" x14ac:dyDescent="0.25">
      <c r="B34" s="2">
        <f t="shared" si="0"/>
        <v>27</v>
      </c>
      <c r="C34" s="11" t="s">
        <v>21</v>
      </c>
      <c r="D34" s="21"/>
      <c r="E34" s="7">
        <f t="shared" si="1"/>
        <v>0</v>
      </c>
      <c r="F34" s="21"/>
      <c r="G34" s="7">
        <f t="shared" si="2"/>
        <v>0</v>
      </c>
      <c r="H34" s="21"/>
      <c r="I34" s="7">
        <f t="shared" si="3"/>
        <v>0</v>
      </c>
    </row>
    <row r="35" spans="2:9" x14ac:dyDescent="0.25">
      <c r="B35" s="2">
        <f t="shared" si="0"/>
        <v>28</v>
      </c>
      <c r="C35" s="11" t="s">
        <v>22</v>
      </c>
      <c r="D35" s="21"/>
      <c r="E35" s="7">
        <f t="shared" si="1"/>
        <v>0</v>
      </c>
      <c r="F35" s="21"/>
      <c r="G35" s="7">
        <f t="shared" si="2"/>
        <v>0</v>
      </c>
      <c r="H35" s="21"/>
      <c r="I35" s="7">
        <f t="shared" si="3"/>
        <v>0</v>
      </c>
    </row>
    <row r="36" spans="2:9" x14ac:dyDescent="0.25">
      <c r="B36" s="2">
        <f t="shared" si="0"/>
        <v>29</v>
      </c>
      <c r="C36" s="11" t="s">
        <v>16</v>
      </c>
      <c r="D36" s="21"/>
      <c r="E36" s="7">
        <f t="shared" si="1"/>
        <v>0</v>
      </c>
      <c r="F36" s="21"/>
      <c r="G36" s="7">
        <f t="shared" si="2"/>
        <v>0</v>
      </c>
      <c r="H36" s="21"/>
      <c r="I36" s="7">
        <f t="shared" si="3"/>
        <v>0</v>
      </c>
    </row>
    <row r="37" spans="2:9" x14ac:dyDescent="0.25">
      <c r="B37" s="2">
        <f t="shared" si="0"/>
        <v>30</v>
      </c>
      <c r="C37" s="11" t="s">
        <v>17</v>
      </c>
      <c r="D37" s="21"/>
      <c r="E37" s="7">
        <f t="shared" si="1"/>
        <v>0</v>
      </c>
      <c r="F37" s="21"/>
      <c r="G37" s="7">
        <f t="shared" si="2"/>
        <v>0</v>
      </c>
      <c r="H37" s="21"/>
      <c r="I37" s="7">
        <f t="shared" si="3"/>
        <v>0</v>
      </c>
    </row>
    <row r="38" spans="2:9" x14ac:dyDescent="0.25">
      <c r="B38" s="2">
        <f t="shared" si="0"/>
        <v>31</v>
      </c>
      <c r="C38" s="11" t="s">
        <v>18</v>
      </c>
      <c r="D38" s="21"/>
      <c r="E38" s="7">
        <f t="shared" si="1"/>
        <v>0</v>
      </c>
      <c r="F38" s="21"/>
      <c r="G38" s="7">
        <f t="shared" si="2"/>
        <v>0</v>
      </c>
      <c r="H38" s="21"/>
      <c r="I38" s="7">
        <f t="shared" si="3"/>
        <v>0</v>
      </c>
    </row>
    <row r="45" spans="2:9" x14ac:dyDescent="0.25">
      <c r="D45" t="s">
        <v>23</v>
      </c>
      <c r="E45">
        <v>0.6</v>
      </c>
    </row>
  </sheetData>
  <sheetProtection sheet="1" objects="1" scenarios="1"/>
  <mergeCells count="4">
    <mergeCell ref="D6:E6"/>
    <mergeCell ref="F6:G6"/>
    <mergeCell ref="B6:C6"/>
    <mergeCell ref="H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1214-BA74-44A9-8CA1-20E853762A71}">
  <sheetPr codeName="Sheet1"/>
  <dimension ref="A2:AU45"/>
  <sheetViews>
    <sheetView tabSelected="1" zoomScaleNormal="100" workbookViewId="0">
      <pane xSplit="3" ySplit="7" topLeftCell="AB23" activePane="bottomRight" state="frozen"/>
      <selection pane="topRight" activeCell="D1" sqref="D1"/>
      <selection pane="bottomLeft" activeCell="A8" sqref="A8"/>
      <selection pane="bottomRight" activeCell="AK23" sqref="AK23:AK38"/>
    </sheetView>
  </sheetViews>
  <sheetFormatPr defaultRowHeight="16.5" x14ac:dyDescent="0.25"/>
  <cols>
    <col min="4" max="4" width="13.33203125" customWidth="1"/>
    <col min="5" max="5" width="12.6640625" customWidth="1"/>
    <col min="6" max="6" width="13.109375" customWidth="1"/>
    <col min="7" max="7" width="13.33203125" customWidth="1"/>
    <col min="8" max="8" width="12.88671875" customWidth="1"/>
    <col min="9" max="9" width="11.44140625" customWidth="1"/>
    <col min="10" max="10" width="12.33203125" customWidth="1"/>
    <col min="11" max="11" width="12.21875" customWidth="1"/>
    <col min="12" max="12" width="12.5546875" customWidth="1"/>
    <col min="13" max="13" width="12.77734375" customWidth="1"/>
    <col min="14" max="14" width="12.88671875" customWidth="1"/>
    <col min="15" max="15" width="12.5546875" customWidth="1"/>
    <col min="16" max="16" width="13.6640625" customWidth="1"/>
    <col min="17" max="17" width="12.33203125" customWidth="1"/>
    <col min="18" max="18" width="14.109375" customWidth="1"/>
    <col min="19" max="19" width="13.6640625" customWidth="1"/>
    <col min="20" max="21" width="12.44140625" customWidth="1"/>
    <col min="22" max="22" width="13" customWidth="1"/>
    <col min="23" max="23" width="12" customWidth="1"/>
    <col min="24" max="24" width="14.77734375" customWidth="1"/>
    <col min="25" max="25" width="12.33203125" customWidth="1"/>
    <col min="26" max="26" width="12" customWidth="1"/>
    <col min="27" max="27" width="12.21875" customWidth="1"/>
    <col min="28" max="28" width="12.77734375" customWidth="1"/>
    <col min="29" max="29" width="13.77734375" customWidth="1"/>
    <col min="30" max="30" width="13.6640625" customWidth="1"/>
    <col min="31" max="31" width="12.5546875" customWidth="1"/>
    <col min="32" max="32" width="13.21875" customWidth="1"/>
    <col min="33" max="33" width="12.5546875" customWidth="1"/>
    <col min="34" max="34" width="12.44140625" customWidth="1"/>
    <col min="35" max="35" width="11.6640625" customWidth="1"/>
    <col min="36" max="36" width="12" customWidth="1"/>
    <col min="37" max="37" width="14.5546875" customWidth="1"/>
    <col min="38" max="38" width="13.77734375" customWidth="1"/>
    <col min="39" max="39" width="12.77734375" customWidth="1"/>
    <col min="40" max="40" width="15.44140625" customWidth="1"/>
    <col min="41" max="41" width="13.88671875" customWidth="1"/>
    <col min="42" max="42" width="14.109375" customWidth="1"/>
    <col min="43" max="43" width="13.44140625" customWidth="1"/>
  </cols>
  <sheetData>
    <row r="2" spans="2:46" ht="27.75" x14ac:dyDescent="0.25">
      <c r="D2" s="19" t="s">
        <v>37</v>
      </c>
      <c r="E2" s="19"/>
      <c r="F2" s="19"/>
      <c r="G2" s="19"/>
      <c r="H2" s="19"/>
      <c r="I2" s="19"/>
      <c r="J2" s="19"/>
      <c r="K2" s="19"/>
      <c r="L2" s="19"/>
      <c r="M2" s="19"/>
    </row>
    <row r="3" spans="2:46" ht="30.75" x14ac:dyDescent="0.25">
      <c r="E3" s="17"/>
      <c r="F3" s="17"/>
      <c r="G3" s="18" t="s">
        <v>40</v>
      </c>
      <c r="H3" s="17"/>
      <c r="K3" s="17"/>
      <c r="L3" s="17"/>
      <c r="M3" s="17"/>
    </row>
    <row r="5" spans="2:46" hidden="1" x14ac:dyDescent="0.25"/>
    <row r="6" spans="2:46" ht="41.25" customHeight="1" x14ac:dyDescent="0.25">
      <c r="B6" s="41" t="s">
        <v>2</v>
      </c>
      <c r="C6" s="42"/>
      <c r="D6" s="39" t="s">
        <v>5</v>
      </c>
      <c r="E6" s="40"/>
      <c r="F6" s="39" t="s">
        <v>6</v>
      </c>
      <c r="G6" s="40"/>
      <c r="H6" s="39" t="s">
        <v>7</v>
      </c>
      <c r="I6" s="40"/>
      <c r="J6" s="39" t="s">
        <v>8</v>
      </c>
      <c r="K6" s="40"/>
      <c r="L6" s="39" t="s">
        <v>9</v>
      </c>
      <c r="M6" s="40"/>
      <c r="N6" s="39" t="s">
        <v>10</v>
      </c>
      <c r="O6" s="40"/>
      <c r="P6" s="39" t="s">
        <v>11</v>
      </c>
      <c r="Q6" s="40"/>
      <c r="R6" s="39" t="s">
        <v>12</v>
      </c>
      <c r="S6" s="40"/>
      <c r="T6" s="39" t="s">
        <v>13</v>
      </c>
      <c r="U6" s="40"/>
      <c r="V6" s="39" t="s">
        <v>14</v>
      </c>
      <c r="W6" s="40"/>
      <c r="X6" s="39" t="s">
        <v>15</v>
      </c>
      <c r="Y6" s="40"/>
      <c r="Z6" s="39" t="s">
        <v>24</v>
      </c>
      <c r="AA6" s="40"/>
      <c r="AB6" s="39" t="s">
        <v>36</v>
      </c>
      <c r="AC6" s="40"/>
      <c r="AD6" s="39" t="s">
        <v>25</v>
      </c>
      <c r="AE6" s="40"/>
      <c r="AF6" s="39" t="s">
        <v>39</v>
      </c>
      <c r="AG6" s="40"/>
      <c r="AH6" s="39" t="s">
        <v>41</v>
      </c>
      <c r="AI6" s="40"/>
      <c r="AJ6" s="39" t="s">
        <v>42</v>
      </c>
      <c r="AK6" s="40"/>
      <c r="AL6" s="39" t="s">
        <v>45</v>
      </c>
      <c r="AM6" s="40"/>
      <c r="AN6" s="39" t="s">
        <v>50</v>
      </c>
      <c r="AO6" s="40"/>
      <c r="AP6" s="39" t="s">
        <v>51</v>
      </c>
      <c r="AQ6" s="40"/>
      <c r="AT6" t="s">
        <v>33</v>
      </c>
    </row>
    <row r="7" spans="2:46" x14ac:dyDescent="0.25">
      <c r="B7" s="9" t="s">
        <v>3</v>
      </c>
      <c r="C7" s="9" t="s">
        <v>4</v>
      </c>
      <c r="D7" s="10" t="s">
        <v>0</v>
      </c>
      <c r="E7" s="10" t="s">
        <v>1</v>
      </c>
      <c r="F7" s="10" t="s">
        <v>0</v>
      </c>
      <c r="G7" s="10" t="s">
        <v>1</v>
      </c>
      <c r="H7" s="10" t="s">
        <v>0</v>
      </c>
      <c r="I7" s="10" t="s">
        <v>1</v>
      </c>
      <c r="J7" s="10" t="s">
        <v>0</v>
      </c>
      <c r="K7" s="10" t="s">
        <v>1</v>
      </c>
      <c r="L7" s="10" t="s">
        <v>0</v>
      </c>
      <c r="M7" s="10" t="s">
        <v>1</v>
      </c>
      <c r="N7" s="10" t="s">
        <v>0</v>
      </c>
      <c r="O7" s="10" t="s">
        <v>1</v>
      </c>
      <c r="P7" s="10" t="s">
        <v>0</v>
      </c>
      <c r="Q7" s="10" t="s">
        <v>1</v>
      </c>
      <c r="R7" s="10" t="s">
        <v>0</v>
      </c>
      <c r="S7" s="10" t="s">
        <v>1</v>
      </c>
      <c r="T7" s="10" t="s">
        <v>0</v>
      </c>
      <c r="U7" s="10" t="s">
        <v>1</v>
      </c>
      <c r="V7" s="10" t="s">
        <v>0</v>
      </c>
      <c r="W7" s="10" t="s">
        <v>1</v>
      </c>
      <c r="X7" s="10" t="s">
        <v>0</v>
      </c>
      <c r="Y7" s="10" t="s">
        <v>1</v>
      </c>
      <c r="Z7" s="2" t="s">
        <v>0</v>
      </c>
      <c r="AA7" s="2" t="s">
        <v>1</v>
      </c>
      <c r="AB7" s="2" t="s">
        <v>0</v>
      </c>
      <c r="AC7" s="2" t="s">
        <v>1</v>
      </c>
      <c r="AD7" s="2" t="s">
        <v>0</v>
      </c>
      <c r="AE7" s="2" t="s">
        <v>1</v>
      </c>
      <c r="AF7" s="2" t="s">
        <v>0</v>
      </c>
      <c r="AG7" s="2" t="s">
        <v>1</v>
      </c>
      <c r="AH7" s="2" t="s">
        <v>0</v>
      </c>
      <c r="AI7" s="2" t="s">
        <v>1</v>
      </c>
      <c r="AJ7" s="2" t="s">
        <v>0</v>
      </c>
      <c r="AK7" s="2" t="s">
        <v>1</v>
      </c>
      <c r="AL7" s="2" t="s">
        <v>0</v>
      </c>
      <c r="AM7" s="2" t="s">
        <v>1</v>
      </c>
      <c r="AN7" s="2" t="s">
        <v>0</v>
      </c>
      <c r="AO7" s="2" t="s">
        <v>1</v>
      </c>
      <c r="AP7" s="2" t="s">
        <v>0</v>
      </c>
      <c r="AQ7" s="2" t="s">
        <v>1</v>
      </c>
    </row>
    <row r="8" spans="2:46" x14ac:dyDescent="0.25">
      <c r="B8" s="2">
        <v>1</v>
      </c>
      <c r="C8" s="11" t="s">
        <v>16</v>
      </c>
      <c r="D8" s="5">
        <v>1940000</v>
      </c>
      <c r="E8" s="5">
        <v>660000</v>
      </c>
      <c r="F8" s="5">
        <v>1450000</v>
      </c>
      <c r="G8" s="5">
        <f>F8*$E$45</f>
        <v>870000</v>
      </c>
      <c r="H8" s="5">
        <v>1700000</v>
      </c>
      <c r="I8" s="5">
        <f>H8*$E$45</f>
        <v>1020000</v>
      </c>
      <c r="J8" s="5">
        <v>1955000</v>
      </c>
      <c r="K8" s="5">
        <f>J8*$E$45</f>
        <v>1173000</v>
      </c>
      <c r="L8" s="5">
        <v>1720000</v>
      </c>
      <c r="M8" s="5">
        <v>1030000</v>
      </c>
      <c r="N8" s="5">
        <v>1750000</v>
      </c>
      <c r="O8" s="5">
        <f>N8*$E$45</f>
        <v>1050000</v>
      </c>
      <c r="P8" s="5">
        <v>1750000</v>
      </c>
      <c r="Q8" s="5">
        <f>P8*$E$45</f>
        <v>1050000</v>
      </c>
      <c r="R8" s="5">
        <v>1710000</v>
      </c>
      <c r="S8" s="5">
        <f>R8*$E$45</f>
        <v>1026000</v>
      </c>
      <c r="T8" s="16"/>
      <c r="U8" s="16"/>
      <c r="V8" s="5">
        <v>3235000</v>
      </c>
      <c r="W8" s="5">
        <f>V8*$E$45</f>
        <v>1941000</v>
      </c>
      <c r="X8" s="16"/>
      <c r="Y8" s="16"/>
      <c r="Z8" s="5">
        <v>1760000</v>
      </c>
      <c r="AA8" s="5">
        <f>Z8*$E$45</f>
        <v>1056000</v>
      </c>
      <c r="AB8" s="8"/>
      <c r="AC8" s="8"/>
      <c r="AD8" s="5"/>
      <c r="AE8" s="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2:46" x14ac:dyDescent="0.25">
      <c r="B9" s="2">
        <f>B8+1</f>
        <v>2</v>
      </c>
      <c r="C9" s="11" t="s">
        <v>17</v>
      </c>
      <c r="D9" s="5">
        <v>1720000</v>
      </c>
      <c r="E9" s="5">
        <v>1020000</v>
      </c>
      <c r="F9" s="5">
        <v>2080000</v>
      </c>
      <c r="G9" s="5">
        <v>1250000</v>
      </c>
      <c r="H9" s="5">
        <v>1760000</v>
      </c>
      <c r="I9" s="5">
        <f t="shared" ref="I9:I38" si="0">H9*$E$45</f>
        <v>1056000</v>
      </c>
      <c r="J9" s="5">
        <v>1975000</v>
      </c>
      <c r="K9" s="5">
        <f t="shared" ref="K9:K38" si="1">J9*$E$45</f>
        <v>1185000</v>
      </c>
      <c r="L9" s="5">
        <v>2050000</v>
      </c>
      <c r="M9" s="5">
        <f>L9*$E$45</f>
        <v>1230000</v>
      </c>
      <c r="N9" s="5">
        <v>2200000</v>
      </c>
      <c r="O9" s="5">
        <f t="shared" ref="O9:O19" si="2">N9*$E$45</f>
        <v>1320000</v>
      </c>
      <c r="P9" s="5">
        <v>1870000</v>
      </c>
      <c r="Q9" s="5">
        <f t="shared" ref="Q9:Q38" si="3">P9*$E$45</f>
        <v>1122000</v>
      </c>
      <c r="R9" s="5">
        <v>2130000</v>
      </c>
      <c r="S9" s="5">
        <f t="shared" ref="S9:S11" si="4">R9*$E$45</f>
        <v>1278000</v>
      </c>
      <c r="T9" s="8"/>
      <c r="U9" s="8"/>
      <c r="V9" s="5">
        <v>2080000</v>
      </c>
      <c r="W9" s="5">
        <v>1250000</v>
      </c>
      <c r="X9" s="8"/>
      <c r="Y9" s="8"/>
      <c r="Z9" s="5">
        <v>1730000</v>
      </c>
      <c r="AA9" s="5">
        <v>1080000</v>
      </c>
      <c r="AB9" s="8"/>
      <c r="AC9" s="8"/>
      <c r="AD9" s="5">
        <v>1150000</v>
      </c>
      <c r="AE9" s="5">
        <v>690000</v>
      </c>
      <c r="AF9" s="24"/>
      <c r="AG9" s="25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2:46" x14ac:dyDescent="0.25">
      <c r="B10" s="2">
        <f t="shared" ref="B10:B36" si="5">B9+1</f>
        <v>3</v>
      </c>
      <c r="C10" s="11" t="s">
        <v>18</v>
      </c>
      <c r="D10" s="5">
        <v>2420000</v>
      </c>
      <c r="E10" s="5">
        <v>1390000</v>
      </c>
      <c r="F10" s="5">
        <v>2080000</v>
      </c>
      <c r="G10" s="5">
        <v>1250000</v>
      </c>
      <c r="H10" s="5">
        <v>1850000</v>
      </c>
      <c r="I10" s="5">
        <f t="shared" si="0"/>
        <v>1110000</v>
      </c>
      <c r="J10" s="5">
        <v>2220000</v>
      </c>
      <c r="K10" s="5">
        <f t="shared" si="1"/>
        <v>1332000</v>
      </c>
      <c r="L10" s="5">
        <v>1880000</v>
      </c>
      <c r="M10" s="5">
        <f>L10*$E$45</f>
        <v>1128000</v>
      </c>
      <c r="N10" s="5">
        <v>2245000</v>
      </c>
      <c r="O10" s="5">
        <v>1392000</v>
      </c>
      <c r="P10" s="5">
        <v>1780000</v>
      </c>
      <c r="Q10" s="5">
        <f t="shared" si="3"/>
        <v>1068000</v>
      </c>
      <c r="R10" s="5">
        <v>2130000</v>
      </c>
      <c r="S10" s="5">
        <f t="shared" si="4"/>
        <v>1278000</v>
      </c>
      <c r="T10" s="8"/>
      <c r="U10" s="8"/>
      <c r="V10" s="5">
        <v>1880000</v>
      </c>
      <c r="W10" s="5">
        <v>1130000</v>
      </c>
      <c r="X10" s="8"/>
      <c r="Y10" s="8"/>
      <c r="Z10" s="5">
        <v>2245000</v>
      </c>
      <c r="AA10" s="5">
        <f>Z10*$E$45</f>
        <v>1347000</v>
      </c>
      <c r="AB10" s="8"/>
      <c r="AC10" s="8"/>
      <c r="AD10" s="5">
        <v>1710000</v>
      </c>
      <c r="AE10" s="5">
        <v>1020000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2:46" x14ac:dyDescent="0.25">
      <c r="B11" s="2">
        <f t="shared" si="5"/>
        <v>4</v>
      </c>
      <c r="C11" s="11" t="s">
        <v>19</v>
      </c>
      <c r="D11" s="5">
        <v>2600000</v>
      </c>
      <c r="E11" s="5">
        <f>D11*$E$45</f>
        <v>1560000</v>
      </c>
      <c r="F11" s="5">
        <v>1790000</v>
      </c>
      <c r="G11" s="5">
        <v>1075000</v>
      </c>
      <c r="H11" s="5">
        <v>1270000</v>
      </c>
      <c r="I11" s="5">
        <v>850000</v>
      </c>
      <c r="J11" s="5">
        <v>2090000</v>
      </c>
      <c r="K11" s="5">
        <f t="shared" si="1"/>
        <v>1254000</v>
      </c>
      <c r="L11" s="5">
        <v>1900000</v>
      </c>
      <c r="M11" s="5">
        <f>L11*$E$45</f>
        <v>1140000</v>
      </c>
      <c r="N11" s="5">
        <v>2230000</v>
      </c>
      <c r="O11" s="5">
        <f t="shared" ref="O11:O16" si="6">N11*$E$45</f>
        <v>1338000</v>
      </c>
      <c r="P11" s="5">
        <v>2410000</v>
      </c>
      <c r="Q11" s="5">
        <f t="shared" si="3"/>
        <v>1446000</v>
      </c>
      <c r="R11" s="5">
        <v>1790000</v>
      </c>
      <c r="S11" s="5">
        <f t="shared" si="4"/>
        <v>1074000</v>
      </c>
      <c r="T11" s="8"/>
      <c r="U11" s="8"/>
      <c r="V11" s="5">
        <v>1920000</v>
      </c>
      <c r="W11" s="5">
        <f>V11*$E$45</f>
        <v>1152000</v>
      </c>
      <c r="X11" s="38">
        <v>2976000</v>
      </c>
      <c r="Y11" s="38">
        <v>1785000</v>
      </c>
      <c r="Z11" s="5">
        <v>1760000</v>
      </c>
      <c r="AA11" s="5">
        <f>Z11*$E$45</f>
        <v>1056000</v>
      </c>
      <c r="AB11" s="8"/>
      <c r="AC11" s="8"/>
      <c r="AD11" s="14"/>
      <c r="AE11" s="14">
        <f t="shared" ref="AA11:AE38" si="7">AD11*$E$45</f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2:46" x14ac:dyDescent="0.25">
      <c r="B12" s="2">
        <f t="shared" si="5"/>
        <v>5</v>
      </c>
      <c r="C12" s="11" t="s">
        <v>20</v>
      </c>
      <c r="D12" s="5">
        <v>2420000</v>
      </c>
      <c r="E12" s="5">
        <v>1450000</v>
      </c>
      <c r="F12" s="5">
        <v>1760000</v>
      </c>
      <c r="G12" s="5">
        <v>1060000</v>
      </c>
      <c r="H12" s="5">
        <v>2090000</v>
      </c>
      <c r="I12" s="5">
        <f>H12*$E$45</f>
        <v>1254000</v>
      </c>
      <c r="J12" s="5">
        <v>2100000</v>
      </c>
      <c r="K12" s="5">
        <f t="shared" si="1"/>
        <v>1260000</v>
      </c>
      <c r="L12" s="5">
        <v>1960000</v>
      </c>
      <c r="M12" s="5">
        <v>1180000</v>
      </c>
      <c r="N12" s="5">
        <v>2120000</v>
      </c>
      <c r="O12" s="5">
        <f t="shared" si="6"/>
        <v>1272000</v>
      </c>
      <c r="P12" s="5">
        <v>1900000</v>
      </c>
      <c r="Q12" s="5">
        <f t="shared" si="3"/>
        <v>1140000</v>
      </c>
      <c r="R12" s="5">
        <v>2002000</v>
      </c>
      <c r="S12" s="5">
        <v>1202000</v>
      </c>
      <c r="T12" s="8"/>
      <c r="U12" s="8"/>
      <c r="V12" s="5">
        <v>2410000</v>
      </c>
      <c r="W12" s="5">
        <v>1440000</v>
      </c>
      <c r="X12" s="5">
        <v>2250000</v>
      </c>
      <c r="Y12" s="5">
        <f t="shared" ref="Y12:Y19" si="8">X12*$E$45</f>
        <v>1350000</v>
      </c>
      <c r="Z12" s="5">
        <v>2080000</v>
      </c>
      <c r="AA12" s="5">
        <f>Z12*$E$45</f>
        <v>1248000</v>
      </c>
      <c r="AB12" s="8"/>
      <c r="AC12" s="8"/>
      <c r="AD12" s="14"/>
      <c r="AE12" s="14">
        <f t="shared" si="7"/>
        <v>0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2:46" x14ac:dyDescent="0.25">
      <c r="B13" s="2">
        <f t="shared" si="5"/>
        <v>6</v>
      </c>
      <c r="C13" s="11" t="s">
        <v>21</v>
      </c>
      <c r="D13" s="5">
        <v>2600000</v>
      </c>
      <c r="E13" s="5">
        <v>1150000</v>
      </c>
      <c r="F13" s="5">
        <v>2270000</v>
      </c>
      <c r="G13" s="5">
        <v>1362000</v>
      </c>
      <c r="H13" s="5">
        <v>1770000</v>
      </c>
      <c r="I13" s="5">
        <f>H13*$E$45</f>
        <v>1062000</v>
      </c>
      <c r="J13" s="5">
        <v>2200000</v>
      </c>
      <c r="K13" s="5">
        <f t="shared" si="1"/>
        <v>1320000</v>
      </c>
      <c r="L13" s="5">
        <v>1830000</v>
      </c>
      <c r="M13" s="5">
        <f>L13*$E$45</f>
        <v>1098000</v>
      </c>
      <c r="N13" s="5">
        <v>1770000</v>
      </c>
      <c r="O13" s="5">
        <f t="shared" si="6"/>
        <v>1062000</v>
      </c>
      <c r="P13" s="5">
        <v>1720000</v>
      </c>
      <c r="Q13" s="5">
        <f t="shared" si="3"/>
        <v>1032000</v>
      </c>
      <c r="R13" s="5">
        <v>1720000</v>
      </c>
      <c r="S13" s="5">
        <v>1032000</v>
      </c>
      <c r="T13" s="8"/>
      <c r="U13" s="8"/>
      <c r="V13" s="5">
        <v>3616000</v>
      </c>
      <c r="W13" s="5">
        <v>2160000</v>
      </c>
      <c r="X13" s="5">
        <v>2300000</v>
      </c>
      <c r="Y13" s="5">
        <f t="shared" si="8"/>
        <v>1380000</v>
      </c>
      <c r="Z13" s="5">
        <v>1700000</v>
      </c>
      <c r="AA13" s="5">
        <v>850000</v>
      </c>
      <c r="AB13" s="8"/>
      <c r="AC13" s="8"/>
      <c r="AD13" s="14"/>
      <c r="AE13" s="14">
        <f t="shared" si="7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2:46" x14ac:dyDescent="0.25">
      <c r="B14" s="2">
        <f t="shared" si="5"/>
        <v>7</v>
      </c>
      <c r="C14" s="11" t="s">
        <v>22</v>
      </c>
      <c r="D14" s="5">
        <v>2000000</v>
      </c>
      <c r="E14" s="5">
        <f>[1]!Table145245678910[[#This Row],[THỰC LÃNH]]</f>
        <v>834000</v>
      </c>
      <c r="F14" s="5">
        <v>1720000</v>
      </c>
      <c r="G14" s="5">
        <f>F14*$E$45</f>
        <v>1032000</v>
      </c>
      <c r="H14" s="5">
        <v>1800000</v>
      </c>
      <c r="I14" s="5">
        <f>H14*$E$45</f>
        <v>1080000</v>
      </c>
      <c r="J14" s="5">
        <v>1760000</v>
      </c>
      <c r="K14" s="5">
        <f t="shared" si="1"/>
        <v>1056000</v>
      </c>
      <c r="L14" s="5">
        <v>2550000</v>
      </c>
      <c r="M14" s="5">
        <f>L14*$E$45</f>
        <v>1530000</v>
      </c>
      <c r="N14" s="5">
        <v>1930000</v>
      </c>
      <c r="O14" s="5">
        <f t="shared" si="6"/>
        <v>1158000</v>
      </c>
      <c r="P14" s="5">
        <v>2400000</v>
      </c>
      <c r="Q14" s="5">
        <f t="shared" si="3"/>
        <v>1440000</v>
      </c>
      <c r="R14" s="5">
        <v>1730000</v>
      </c>
      <c r="S14" s="5">
        <v>1038000</v>
      </c>
      <c r="T14" s="5">
        <v>1830000</v>
      </c>
      <c r="U14" s="5">
        <f>T14*$E$45</f>
        <v>1098000</v>
      </c>
      <c r="V14" s="5">
        <v>2230000</v>
      </c>
      <c r="W14" s="5">
        <v>1338000</v>
      </c>
      <c r="X14" s="5">
        <v>1800000</v>
      </c>
      <c r="Y14" s="5">
        <f t="shared" si="8"/>
        <v>1080000</v>
      </c>
      <c r="Z14" s="14"/>
      <c r="AA14" s="14">
        <f t="shared" si="7"/>
        <v>0</v>
      </c>
      <c r="AB14" s="8"/>
      <c r="AC14" s="8"/>
      <c r="AD14" s="14"/>
      <c r="AE14" s="14">
        <f t="shared" si="7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2:46" x14ac:dyDescent="0.25">
      <c r="B15" s="2">
        <f t="shared" si="5"/>
        <v>8</v>
      </c>
      <c r="C15" s="11" t="s">
        <v>16</v>
      </c>
      <c r="D15" s="5">
        <v>1710000</v>
      </c>
      <c r="E15" s="5">
        <v>1020000</v>
      </c>
      <c r="F15" s="5">
        <v>700000</v>
      </c>
      <c r="G15" s="5">
        <f>F15*$E$45</f>
        <v>420000</v>
      </c>
      <c r="H15" s="5">
        <v>1920000</v>
      </c>
      <c r="I15" s="5">
        <f>H15*$E$45</f>
        <v>1152000</v>
      </c>
      <c r="J15" s="5">
        <v>2010000</v>
      </c>
      <c r="K15" s="5">
        <f t="shared" si="1"/>
        <v>1206000</v>
      </c>
      <c r="L15" s="5">
        <v>1720000</v>
      </c>
      <c r="M15" s="5">
        <f>L15*$E$45</f>
        <v>1032000</v>
      </c>
      <c r="N15" s="5">
        <v>2080000</v>
      </c>
      <c r="O15" s="5">
        <f t="shared" si="6"/>
        <v>1248000</v>
      </c>
      <c r="P15" s="5">
        <v>1750000</v>
      </c>
      <c r="Q15" s="5">
        <f t="shared" si="3"/>
        <v>1050000</v>
      </c>
      <c r="R15" s="5">
        <v>1830000</v>
      </c>
      <c r="S15" s="5">
        <v>1098000</v>
      </c>
      <c r="T15" s="5">
        <v>1830000</v>
      </c>
      <c r="U15" s="5">
        <v>1116000</v>
      </c>
      <c r="V15" s="5">
        <v>2380000</v>
      </c>
      <c r="W15" s="5">
        <v>1428000</v>
      </c>
      <c r="X15" s="5">
        <v>3810000</v>
      </c>
      <c r="Y15" s="5">
        <f t="shared" si="8"/>
        <v>2286000</v>
      </c>
      <c r="Z15" s="14"/>
      <c r="AA15" s="14">
        <f t="shared" si="7"/>
        <v>0</v>
      </c>
      <c r="AB15" s="8"/>
      <c r="AC15" s="8"/>
      <c r="AD15" s="14"/>
      <c r="AE15" s="14">
        <f t="shared" si="7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2:46" ht="21" customHeight="1" x14ac:dyDescent="0.25">
      <c r="B16" s="2">
        <f t="shared" si="5"/>
        <v>9</v>
      </c>
      <c r="C16" s="11" t="s">
        <v>17</v>
      </c>
      <c r="D16" s="5">
        <v>1930000</v>
      </c>
      <c r="E16" s="5">
        <v>1150000</v>
      </c>
      <c r="F16" s="5">
        <v>1400000</v>
      </c>
      <c r="G16" s="5">
        <f>F16*$E$45</f>
        <v>840000</v>
      </c>
      <c r="H16" s="5">
        <v>3310000</v>
      </c>
      <c r="I16" s="5">
        <f>H16*$E$45</f>
        <v>1986000</v>
      </c>
      <c r="J16" s="5">
        <v>1810000</v>
      </c>
      <c r="K16" s="5">
        <f t="shared" si="1"/>
        <v>1086000</v>
      </c>
      <c r="L16" s="5">
        <v>2360000</v>
      </c>
      <c r="M16" s="5">
        <f>L16*$E$45</f>
        <v>1416000</v>
      </c>
      <c r="N16" s="5">
        <v>1390000</v>
      </c>
      <c r="O16" s="5">
        <f t="shared" si="6"/>
        <v>834000</v>
      </c>
      <c r="P16" s="5">
        <v>1400000</v>
      </c>
      <c r="Q16" s="5">
        <f t="shared" si="3"/>
        <v>840000</v>
      </c>
      <c r="R16" s="55" t="s">
        <v>26</v>
      </c>
      <c r="S16" s="55"/>
      <c r="T16" s="5">
        <v>1740000</v>
      </c>
      <c r="U16" s="5">
        <v>1044000</v>
      </c>
      <c r="V16" s="5">
        <v>1750000</v>
      </c>
      <c r="W16" s="5">
        <v>1050000</v>
      </c>
      <c r="X16" s="5">
        <v>1510000</v>
      </c>
      <c r="Y16" s="5">
        <f t="shared" si="8"/>
        <v>906000</v>
      </c>
      <c r="Z16" s="14"/>
      <c r="AA16" s="14">
        <f t="shared" si="7"/>
        <v>0</v>
      </c>
      <c r="AB16" s="8"/>
      <c r="AC16" s="8"/>
      <c r="AD16" s="14"/>
      <c r="AE16" s="14">
        <f t="shared" si="7"/>
        <v>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7" x14ac:dyDescent="0.25">
      <c r="B17" s="2">
        <f t="shared" si="5"/>
        <v>10</v>
      </c>
      <c r="C17" s="11" t="s">
        <v>18</v>
      </c>
      <c r="D17" s="5">
        <v>2060000</v>
      </c>
      <c r="E17" s="5">
        <v>1230000</v>
      </c>
      <c r="F17" s="5">
        <v>1810000</v>
      </c>
      <c r="G17" s="5">
        <v>1086000</v>
      </c>
      <c r="H17" s="5">
        <v>2980000</v>
      </c>
      <c r="I17" s="5">
        <v>1788000</v>
      </c>
      <c r="J17" s="5">
        <v>1630000</v>
      </c>
      <c r="K17" s="5">
        <v>978000</v>
      </c>
      <c r="L17" s="5">
        <v>1960000</v>
      </c>
      <c r="M17" s="5">
        <v>1176000</v>
      </c>
      <c r="N17" s="5">
        <v>3249000</v>
      </c>
      <c r="O17" s="5">
        <v>1950000</v>
      </c>
      <c r="P17" s="5">
        <v>1800000</v>
      </c>
      <c r="Q17" s="5">
        <v>1080000</v>
      </c>
      <c r="R17" s="5">
        <v>1950000</v>
      </c>
      <c r="S17" s="5">
        <v>1170000</v>
      </c>
      <c r="T17" s="5">
        <v>1780000</v>
      </c>
      <c r="U17" s="5">
        <v>1068000</v>
      </c>
      <c r="V17" s="5">
        <v>2110000</v>
      </c>
      <c r="W17" s="5">
        <v>1260000</v>
      </c>
      <c r="X17" s="5">
        <v>700000</v>
      </c>
      <c r="Y17" s="5">
        <f t="shared" si="8"/>
        <v>420000</v>
      </c>
      <c r="Z17" s="14"/>
      <c r="AA17" s="14">
        <f t="shared" si="7"/>
        <v>0</v>
      </c>
      <c r="AB17" s="8"/>
      <c r="AC17" s="8"/>
      <c r="AD17" s="14"/>
      <c r="AE17" s="14">
        <f t="shared" si="7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7" x14ac:dyDescent="0.25">
      <c r="B18" s="2">
        <f t="shared" si="5"/>
        <v>11</v>
      </c>
      <c r="C18" s="11" t="s">
        <v>19</v>
      </c>
      <c r="D18" s="5">
        <v>1800000</v>
      </c>
      <c r="E18" s="5">
        <v>1080000</v>
      </c>
      <c r="F18" s="5">
        <v>2400000</v>
      </c>
      <c r="G18" s="5">
        <f>F18*$E$45</f>
        <v>1440000</v>
      </c>
      <c r="H18" s="5">
        <v>2910000</v>
      </c>
      <c r="I18" s="5">
        <f t="shared" si="0"/>
        <v>1746000</v>
      </c>
      <c r="J18" s="5">
        <v>2050000</v>
      </c>
      <c r="K18" s="5">
        <f t="shared" si="1"/>
        <v>1230000</v>
      </c>
      <c r="L18" s="5">
        <v>1950000</v>
      </c>
      <c r="M18" s="5">
        <v>1170000</v>
      </c>
      <c r="N18" s="5">
        <v>1710000</v>
      </c>
      <c r="O18" s="5">
        <f t="shared" si="2"/>
        <v>1026000</v>
      </c>
      <c r="P18" s="5">
        <v>1830000</v>
      </c>
      <c r="Q18" s="5">
        <v>1100000</v>
      </c>
      <c r="R18" s="5">
        <v>1830000</v>
      </c>
      <c r="S18" s="5">
        <f t="shared" ref="S18:S38" si="9">R18*$E$45</f>
        <v>1098000</v>
      </c>
      <c r="T18" s="5">
        <v>1700000</v>
      </c>
      <c r="U18" s="5">
        <v>1020000</v>
      </c>
      <c r="V18" s="5">
        <v>2090000</v>
      </c>
      <c r="W18" s="5">
        <v>1260000</v>
      </c>
      <c r="X18" s="5">
        <v>2750000</v>
      </c>
      <c r="Y18" s="5">
        <f t="shared" si="8"/>
        <v>1650000</v>
      </c>
      <c r="Z18" s="14"/>
      <c r="AA18" s="14">
        <f t="shared" si="7"/>
        <v>0</v>
      </c>
      <c r="AB18" s="8"/>
      <c r="AC18" s="8"/>
      <c r="AD18" s="14"/>
      <c r="AE18" s="14">
        <f t="shared" si="7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7" x14ac:dyDescent="0.25">
      <c r="B19" s="2">
        <f t="shared" si="5"/>
        <v>12</v>
      </c>
      <c r="C19" s="11" t="s">
        <v>20</v>
      </c>
      <c r="D19" s="5">
        <v>3000000</v>
      </c>
      <c r="E19" s="5">
        <v>1800000</v>
      </c>
      <c r="F19" s="5">
        <v>1940000</v>
      </c>
      <c r="G19" s="5">
        <f>F19*$E$45</f>
        <v>1164000</v>
      </c>
      <c r="H19" s="5">
        <v>2770000</v>
      </c>
      <c r="I19" s="5">
        <f t="shared" si="0"/>
        <v>1662000</v>
      </c>
      <c r="J19" s="5">
        <v>2140000</v>
      </c>
      <c r="K19" s="5">
        <f t="shared" si="1"/>
        <v>1284000</v>
      </c>
      <c r="L19" s="5">
        <v>2520000</v>
      </c>
      <c r="M19" s="5">
        <v>1512000</v>
      </c>
      <c r="N19" s="5">
        <v>2360000</v>
      </c>
      <c r="O19" s="5">
        <f t="shared" si="2"/>
        <v>1416000</v>
      </c>
      <c r="P19" s="5">
        <v>1780000</v>
      </c>
      <c r="Q19" s="5">
        <f t="shared" si="3"/>
        <v>1068000</v>
      </c>
      <c r="R19" s="5">
        <v>1990000</v>
      </c>
      <c r="S19" s="5">
        <f t="shared" si="9"/>
        <v>1194000</v>
      </c>
      <c r="T19" s="5">
        <v>1000000</v>
      </c>
      <c r="U19" s="5">
        <v>600000</v>
      </c>
      <c r="V19" s="5">
        <v>2050000</v>
      </c>
      <c r="W19" s="5">
        <f t="shared" ref="W19:W38" si="10">V19*$E$45</f>
        <v>1230000</v>
      </c>
      <c r="X19" s="5">
        <v>3500000</v>
      </c>
      <c r="Y19" s="5">
        <f t="shared" si="8"/>
        <v>2100000</v>
      </c>
      <c r="Z19" s="14"/>
      <c r="AA19" s="14">
        <f t="shared" si="7"/>
        <v>0</v>
      </c>
      <c r="AB19" s="8"/>
      <c r="AC19" s="8"/>
      <c r="AD19" s="14"/>
      <c r="AE19" s="14">
        <f t="shared" si="7"/>
        <v>0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7" x14ac:dyDescent="0.25">
      <c r="B20" s="2">
        <f t="shared" si="5"/>
        <v>13</v>
      </c>
      <c r="C20" s="11" t="s">
        <v>21</v>
      </c>
      <c r="D20" s="6">
        <v>2230000</v>
      </c>
      <c r="E20" s="6">
        <v>1340000</v>
      </c>
      <c r="F20" s="6">
        <v>1460000</v>
      </c>
      <c r="G20" s="6">
        <v>876000</v>
      </c>
      <c r="H20" s="7">
        <v>2075000</v>
      </c>
      <c r="I20" s="6">
        <v>1245000</v>
      </c>
      <c r="J20" s="6">
        <v>2020000</v>
      </c>
      <c r="K20" s="7">
        <v>1212000</v>
      </c>
      <c r="L20" s="6">
        <v>1910000</v>
      </c>
      <c r="M20" s="7">
        <v>1146000</v>
      </c>
      <c r="N20" s="6">
        <v>1250000</v>
      </c>
      <c r="O20" s="6">
        <v>750000</v>
      </c>
      <c r="P20" s="12">
        <v>2280000</v>
      </c>
      <c r="Q20" s="5">
        <v>1368000</v>
      </c>
      <c r="R20" s="6">
        <v>1942000</v>
      </c>
      <c r="S20" s="7">
        <v>1165000</v>
      </c>
      <c r="T20" s="6">
        <v>1935000</v>
      </c>
      <c r="U20" s="7">
        <v>1161000</v>
      </c>
      <c r="V20" s="6">
        <v>1900000</v>
      </c>
      <c r="W20" s="6">
        <v>1140000</v>
      </c>
      <c r="X20" s="7">
        <v>2970000</v>
      </c>
      <c r="Y20" s="7">
        <v>1782000</v>
      </c>
      <c r="Z20" s="15"/>
      <c r="AA20" s="14">
        <f t="shared" si="7"/>
        <v>0</v>
      </c>
      <c r="AB20" s="7">
        <v>1890000</v>
      </c>
      <c r="AC20" s="7">
        <v>1134000</v>
      </c>
      <c r="AD20" s="15"/>
      <c r="AE20" s="14">
        <f t="shared" si="7"/>
        <v>0</v>
      </c>
      <c r="AF20" s="26"/>
      <c r="AG20" s="8"/>
      <c r="AH20" s="26"/>
      <c r="AI20" s="8"/>
      <c r="AJ20" s="26"/>
      <c r="AK20" s="26"/>
      <c r="AL20" s="26"/>
      <c r="AM20" s="26"/>
      <c r="AN20" s="26"/>
      <c r="AO20" s="26"/>
      <c r="AP20" s="26"/>
      <c r="AQ20" s="26"/>
    </row>
    <row r="21" spans="1:47" x14ac:dyDescent="0.25">
      <c r="B21" s="2">
        <f t="shared" si="5"/>
        <v>14</v>
      </c>
      <c r="C21" s="11" t="s">
        <v>22</v>
      </c>
      <c r="D21" s="6">
        <v>1850000</v>
      </c>
      <c r="E21" s="6">
        <v>1110000</v>
      </c>
      <c r="F21" s="6">
        <v>2490000</v>
      </c>
      <c r="G21" s="6">
        <v>1494000</v>
      </c>
      <c r="H21" s="7">
        <v>1410000</v>
      </c>
      <c r="I21" s="7">
        <v>846000</v>
      </c>
      <c r="J21" s="6">
        <v>1740000</v>
      </c>
      <c r="K21" s="5">
        <f t="shared" si="1"/>
        <v>1044000</v>
      </c>
      <c r="L21" s="6">
        <v>1710000</v>
      </c>
      <c r="M21" s="7">
        <v>1026000</v>
      </c>
      <c r="N21" s="6">
        <v>1460000</v>
      </c>
      <c r="O21" s="6">
        <v>876000</v>
      </c>
      <c r="P21" s="15"/>
      <c r="Q21" s="14">
        <f t="shared" si="3"/>
        <v>0</v>
      </c>
      <c r="R21" s="6">
        <v>1720000</v>
      </c>
      <c r="S21" s="7">
        <v>1032000</v>
      </c>
      <c r="T21" s="6">
        <v>1910000</v>
      </c>
      <c r="U21" s="7">
        <v>1146000</v>
      </c>
      <c r="V21" s="6">
        <v>1990000</v>
      </c>
      <c r="W21" s="6">
        <v>1200000</v>
      </c>
      <c r="X21" s="7">
        <v>1752000</v>
      </c>
      <c r="Y21" s="6">
        <v>1051200</v>
      </c>
      <c r="Z21" s="15"/>
      <c r="AA21" s="14">
        <f t="shared" si="7"/>
        <v>0</v>
      </c>
      <c r="AB21" s="7">
        <v>1868000</v>
      </c>
      <c r="AC21" s="7">
        <v>1120000</v>
      </c>
      <c r="AD21" s="15"/>
      <c r="AE21" s="14">
        <f t="shared" si="7"/>
        <v>0</v>
      </c>
      <c r="AF21" s="22">
        <v>1828000</v>
      </c>
      <c r="AG21" s="23">
        <v>497000</v>
      </c>
      <c r="AH21" s="22">
        <v>1540000</v>
      </c>
      <c r="AI21" s="27">
        <v>924000</v>
      </c>
      <c r="AJ21" s="26"/>
      <c r="AK21" s="26"/>
      <c r="AL21" s="26"/>
      <c r="AM21" s="26"/>
      <c r="AN21" s="26"/>
      <c r="AO21" s="26"/>
      <c r="AP21" s="26"/>
      <c r="AQ21" s="26"/>
    </row>
    <row r="22" spans="1:47" s="36" customFormat="1" x14ac:dyDescent="0.25">
      <c r="A22" s="37"/>
      <c r="B22" s="30">
        <f t="shared" si="5"/>
        <v>15</v>
      </c>
      <c r="C22" s="31" t="s">
        <v>16</v>
      </c>
      <c r="D22" s="32">
        <v>2060000</v>
      </c>
      <c r="E22" s="32">
        <v>1236000</v>
      </c>
      <c r="F22" s="32">
        <v>1630000</v>
      </c>
      <c r="G22" s="32">
        <v>978000</v>
      </c>
      <c r="H22" s="33">
        <v>1490000</v>
      </c>
      <c r="I22" s="33">
        <v>894000</v>
      </c>
      <c r="J22" s="20"/>
      <c r="K22" s="14">
        <f t="shared" si="1"/>
        <v>0</v>
      </c>
      <c r="L22" s="56" t="s">
        <v>38</v>
      </c>
      <c r="M22" s="57"/>
      <c r="N22" s="32">
        <v>1280000</v>
      </c>
      <c r="O22" s="32">
        <v>768000</v>
      </c>
      <c r="P22" s="15"/>
      <c r="Q22" s="14">
        <f t="shared" si="3"/>
        <v>0</v>
      </c>
      <c r="R22" s="32">
        <v>1650000</v>
      </c>
      <c r="S22" s="32">
        <v>990000</v>
      </c>
      <c r="T22" s="32">
        <v>1700000</v>
      </c>
      <c r="U22" s="32">
        <v>1020000</v>
      </c>
      <c r="V22" s="32">
        <v>920000</v>
      </c>
      <c r="W22" s="32">
        <v>552000</v>
      </c>
      <c r="X22" s="33">
        <v>1700000</v>
      </c>
      <c r="Y22" s="32">
        <v>1020000</v>
      </c>
      <c r="Z22" s="15"/>
      <c r="AA22" s="14">
        <f t="shared" si="7"/>
        <v>0</v>
      </c>
      <c r="AB22" s="33">
        <v>1370000</v>
      </c>
      <c r="AC22" s="32">
        <v>822000</v>
      </c>
      <c r="AD22" s="15"/>
      <c r="AE22" s="14">
        <f t="shared" si="7"/>
        <v>0</v>
      </c>
      <c r="AF22" s="34">
        <v>1130000</v>
      </c>
      <c r="AG22" s="35">
        <v>678000</v>
      </c>
      <c r="AH22" s="34">
        <v>1725000</v>
      </c>
      <c r="AI22" s="34">
        <v>1035000</v>
      </c>
      <c r="AJ22" s="26"/>
      <c r="AK22" s="26"/>
      <c r="AL22" s="26"/>
      <c r="AM22" s="26"/>
      <c r="AN22" s="26"/>
      <c r="AO22" s="26"/>
      <c r="AP22" s="26"/>
      <c r="AQ22" s="26"/>
      <c r="AR22" s="37"/>
      <c r="AS22" s="37"/>
      <c r="AT22" s="37"/>
      <c r="AU22" s="37"/>
    </row>
    <row r="23" spans="1:47" x14ac:dyDescent="0.25">
      <c r="B23" s="2">
        <f t="shared" si="5"/>
        <v>16</v>
      </c>
      <c r="C23" s="11" t="s">
        <v>17</v>
      </c>
      <c r="D23" s="6">
        <v>1630000</v>
      </c>
      <c r="E23" s="6">
        <v>978000</v>
      </c>
      <c r="F23" s="28">
        <v>1770000</v>
      </c>
      <c r="G23" s="27">
        <v>1062000</v>
      </c>
      <c r="H23" s="7">
        <v>1610000</v>
      </c>
      <c r="I23" s="7">
        <v>966000</v>
      </c>
      <c r="J23" s="20"/>
      <c r="K23" s="14">
        <f t="shared" si="1"/>
        <v>0</v>
      </c>
      <c r="L23" s="6">
        <v>1790000</v>
      </c>
      <c r="M23" s="7">
        <v>1074000</v>
      </c>
      <c r="N23" s="6">
        <v>1010000</v>
      </c>
      <c r="O23" s="6">
        <v>606000</v>
      </c>
      <c r="P23" s="15"/>
      <c r="Q23" s="14">
        <f t="shared" si="3"/>
        <v>0</v>
      </c>
      <c r="R23" s="6">
        <v>1750000</v>
      </c>
      <c r="S23" s="7">
        <v>1050000</v>
      </c>
      <c r="T23" s="6">
        <v>1800000</v>
      </c>
      <c r="U23" s="7">
        <v>1080000</v>
      </c>
      <c r="V23" s="6">
        <v>1870000</v>
      </c>
      <c r="W23" s="6">
        <v>1120000</v>
      </c>
      <c r="X23" s="7">
        <v>3430000</v>
      </c>
      <c r="Y23" s="6">
        <v>2058000</v>
      </c>
      <c r="Z23" s="15"/>
      <c r="AA23" s="14">
        <f t="shared" si="7"/>
        <v>0</v>
      </c>
      <c r="AB23" s="7">
        <v>1745000</v>
      </c>
      <c r="AC23" s="7">
        <v>1047000</v>
      </c>
      <c r="AD23" s="15"/>
      <c r="AE23" s="14">
        <f t="shared" si="7"/>
        <v>0</v>
      </c>
      <c r="AF23" s="22">
        <v>1830000</v>
      </c>
      <c r="AG23" s="23">
        <v>1089000</v>
      </c>
      <c r="AH23" s="22">
        <v>1960000</v>
      </c>
      <c r="AI23" s="27">
        <v>1176000</v>
      </c>
      <c r="AJ23" s="6">
        <v>1520000</v>
      </c>
      <c r="AK23" s="6">
        <v>912000</v>
      </c>
      <c r="AL23" s="26"/>
      <c r="AM23" s="26"/>
      <c r="AN23" s="26"/>
      <c r="AO23" s="26"/>
      <c r="AP23" s="26"/>
      <c r="AQ23" s="26"/>
    </row>
    <row r="24" spans="1:47" x14ac:dyDescent="0.25">
      <c r="B24" s="2">
        <f t="shared" si="5"/>
        <v>17</v>
      </c>
      <c r="C24" s="11" t="s">
        <v>18</v>
      </c>
      <c r="D24" s="6">
        <v>900000</v>
      </c>
      <c r="E24" s="6">
        <v>540000</v>
      </c>
      <c r="F24" s="28">
        <v>2140000</v>
      </c>
      <c r="G24" s="27">
        <v>1284000</v>
      </c>
      <c r="H24" s="7">
        <v>1480000</v>
      </c>
      <c r="I24" s="7">
        <v>888000</v>
      </c>
      <c r="J24" s="20"/>
      <c r="K24" s="14">
        <f t="shared" si="1"/>
        <v>0</v>
      </c>
      <c r="L24" s="6">
        <v>1850000</v>
      </c>
      <c r="M24" s="7">
        <v>1110000</v>
      </c>
      <c r="N24" s="6">
        <v>1440000</v>
      </c>
      <c r="O24" s="6">
        <v>864000</v>
      </c>
      <c r="P24" s="15"/>
      <c r="Q24" s="14">
        <f t="shared" si="3"/>
        <v>0</v>
      </c>
      <c r="R24" s="6">
        <v>1890000</v>
      </c>
      <c r="S24" s="7">
        <v>1134000</v>
      </c>
      <c r="T24" s="6">
        <v>1800000</v>
      </c>
      <c r="U24" s="7">
        <v>1080000</v>
      </c>
      <c r="V24" s="6">
        <v>1940000</v>
      </c>
      <c r="W24" s="6">
        <v>1164000</v>
      </c>
      <c r="X24" s="7">
        <v>4201000</v>
      </c>
      <c r="Y24" s="6">
        <v>2520600</v>
      </c>
      <c r="Z24" s="15"/>
      <c r="AA24" s="14">
        <f t="shared" si="7"/>
        <v>0</v>
      </c>
      <c r="AB24" s="7">
        <v>1445000</v>
      </c>
      <c r="AC24" s="7">
        <v>867000</v>
      </c>
      <c r="AD24" s="15"/>
      <c r="AE24" s="14">
        <f t="shared" si="7"/>
        <v>0</v>
      </c>
      <c r="AF24" s="22">
        <v>1435000</v>
      </c>
      <c r="AG24" s="23">
        <v>861000</v>
      </c>
      <c r="AH24" s="22">
        <v>1725000</v>
      </c>
      <c r="AI24" s="27">
        <v>1035000</v>
      </c>
      <c r="AJ24" s="6">
        <v>1445000</v>
      </c>
      <c r="AK24" s="6">
        <v>887000</v>
      </c>
      <c r="AL24" s="26"/>
      <c r="AM24" s="26"/>
      <c r="AN24" s="26"/>
      <c r="AO24" s="26"/>
      <c r="AP24" s="26"/>
      <c r="AQ24" s="26"/>
    </row>
    <row r="25" spans="1:47" x14ac:dyDescent="0.25">
      <c r="B25" s="2">
        <f t="shared" si="5"/>
        <v>18</v>
      </c>
      <c r="C25" s="11" t="s">
        <v>19</v>
      </c>
      <c r="D25" s="6">
        <v>2140000</v>
      </c>
      <c r="E25" s="6">
        <v>1284000</v>
      </c>
      <c r="F25" s="28">
        <v>1980000</v>
      </c>
      <c r="G25" s="27">
        <v>1190000</v>
      </c>
      <c r="H25" s="7">
        <v>2470000</v>
      </c>
      <c r="I25" s="7">
        <v>1482000</v>
      </c>
      <c r="J25" s="20"/>
      <c r="K25" s="14">
        <f t="shared" si="1"/>
        <v>0</v>
      </c>
      <c r="L25" s="6">
        <v>2100000</v>
      </c>
      <c r="M25" s="7">
        <v>1260000</v>
      </c>
      <c r="N25" s="6">
        <v>1300000</v>
      </c>
      <c r="O25" s="6">
        <v>780000</v>
      </c>
      <c r="P25" s="15"/>
      <c r="Q25" s="14">
        <f t="shared" si="3"/>
        <v>0</v>
      </c>
      <c r="R25" s="6">
        <v>2350000</v>
      </c>
      <c r="S25" s="7">
        <v>1410000</v>
      </c>
      <c r="T25" s="6">
        <v>1700000</v>
      </c>
      <c r="U25" s="7">
        <v>1020000</v>
      </c>
      <c r="V25" s="6">
        <v>2160000</v>
      </c>
      <c r="W25" s="6">
        <v>1296000</v>
      </c>
      <c r="X25" s="7">
        <v>3070000</v>
      </c>
      <c r="Y25" s="6">
        <v>1842000</v>
      </c>
      <c r="Z25" s="15"/>
      <c r="AA25" s="14">
        <f t="shared" si="7"/>
        <v>0</v>
      </c>
      <c r="AB25" s="7">
        <v>2095000</v>
      </c>
      <c r="AC25" s="7">
        <v>1257000</v>
      </c>
      <c r="AD25" s="15"/>
      <c r="AE25" s="14">
        <f t="shared" si="7"/>
        <v>0</v>
      </c>
      <c r="AF25" s="22">
        <v>1180000</v>
      </c>
      <c r="AG25" s="23">
        <v>708000</v>
      </c>
      <c r="AH25" s="22">
        <v>9245000</v>
      </c>
      <c r="AI25" s="27">
        <v>5547000</v>
      </c>
      <c r="AJ25" s="6">
        <v>1975000</v>
      </c>
      <c r="AK25" s="6">
        <v>1185000</v>
      </c>
      <c r="AL25" s="26"/>
      <c r="AM25" s="26"/>
      <c r="AN25" s="26"/>
      <c r="AO25" s="26"/>
      <c r="AP25" s="26"/>
      <c r="AQ25" s="26"/>
    </row>
    <row r="26" spans="1:47" x14ac:dyDescent="0.25">
      <c r="B26" s="2">
        <f t="shared" si="5"/>
        <v>19</v>
      </c>
      <c r="C26" s="11" t="s">
        <v>20</v>
      </c>
      <c r="D26" s="6">
        <v>1800000</v>
      </c>
      <c r="E26" s="6">
        <v>1080000</v>
      </c>
      <c r="F26" s="28">
        <v>1860000</v>
      </c>
      <c r="G26" s="27">
        <v>1116000</v>
      </c>
      <c r="H26" s="7">
        <v>1205000</v>
      </c>
      <c r="I26" s="7">
        <v>723000</v>
      </c>
      <c r="J26" s="20"/>
      <c r="K26" s="14">
        <f t="shared" si="1"/>
        <v>0</v>
      </c>
      <c r="L26" s="6">
        <v>1600000</v>
      </c>
      <c r="M26" s="7">
        <v>960000</v>
      </c>
      <c r="N26" s="6">
        <v>1588000</v>
      </c>
      <c r="O26" s="6">
        <v>952000</v>
      </c>
      <c r="P26" s="15"/>
      <c r="Q26" s="14">
        <f t="shared" si="3"/>
        <v>0</v>
      </c>
      <c r="R26" s="6">
        <v>1600000</v>
      </c>
      <c r="S26" s="7">
        <v>960000</v>
      </c>
      <c r="T26" s="6">
        <v>1760000</v>
      </c>
      <c r="U26" s="7">
        <v>1056000</v>
      </c>
      <c r="V26" s="6">
        <v>1650000</v>
      </c>
      <c r="W26" s="6">
        <v>990000</v>
      </c>
      <c r="X26" s="7">
        <v>3890000</v>
      </c>
      <c r="Y26" s="6">
        <v>2334000</v>
      </c>
      <c r="Z26" s="15"/>
      <c r="AA26" s="14">
        <f t="shared" si="7"/>
        <v>0</v>
      </c>
      <c r="AB26" s="7">
        <v>1750000</v>
      </c>
      <c r="AC26" s="7">
        <v>1050000</v>
      </c>
      <c r="AD26" s="15"/>
      <c r="AE26" s="14">
        <f t="shared" si="7"/>
        <v>0</v>
      </c>
      <c r="AF26" s="22">
        <v>1750000</v>
      </c>
      <c r="AG26" s="23">
        <v>1050000</v>
      </c>
      <c r="AH26" s="22">
        <v>1740000</v>
      </c>
      <c r="AI26" s="27">
        <v>1044000</v>
      </c>
      <c r="AJ26" s="6">
        <v>1850000</v>
      </c>
      <c r="AK26" s="6">
        <v>1110000</v>
      </c>
      <c r="AL26" s="26"/>
      <c r="AM26" s="26"/>
      <c r="AN26" s="26"/>
      <c r="AO26" s="26"/>
      <c r="AP26" s="26"/>
      <c r="AQ26" s="26"/>
    </row>
    <row r="27" spans="1:47" x14ac:dyDescent="0.25">
      <c r="B27" s="2">
        <f t="shared" si="5"/>
        <v>20</v>
      </c>
      <c r="C27" s="11" t="s">
        <v>21</v>
      </c>
      <c r="D27" s="6">
        <v>2279000</v>
      </c>
      <c r="E27" s="6">
        <v>1360000</v>
      </c>
      <c r="F27" s="28">
        <v>2220000</v>
      </c>
      <c r="G27" s="27">
        <v>1332000</v>
      </c>
      <c r="H27" s="7">
        <v>720000</v>
      </c>
      <c r="I27" s="7">
        <v>720000</v>
      </c>
      <c r="J27" s="20"/>
      <c r="K27" s="14">
        <f t="shared" si="1"/>
        <v>0</v>
      </c>
      <c r="L27" s="6">
        <v>1300000</v>
      </c>
      <c r="M27" s="7">
        <v>780000</v>
      </c>
      <c r="N27" s="6">
        <v>1240000</v>
      </c>
      <c r="O27" s="6">
        <v>744000</v>
      </c>
      <c r="P27" s="15"/>
      <c r="Q27" s="14">
        <f t="shared" si="3"/>
        <v>0</v>
      </c>
      <c r="R27" s="53" t="s">
        <v>43</v>
      </c>
      <c r="S27" s="54"/>
      <c r="T27" s="6">
        <v>1810000</v>
      </c>
      <c r="U27" s="7">
        <v>1086000</v>
      </c>
      <c r="V27" s="6">
        <v>1400000</v>
      </c>
      <c r="W27" s="6">
        <v>840000</v>
      </c>
      <c r="X27" s="7">
        <v>4064000</v>
      </c>
      <c r="Y27" s="6">
        <v>2438400</v>
      </c>
      <c r="Z27" s="15"/>
      <c r="AA27" s="14">
        <f t="shared" si="7"/>
        <v>0</v>
      </c>
      <c r="AB27" s="7">
        <v>1370000</v>
      </c>
      <c r="AC27" s="7">
        <v>822000</v>
      </c>
      <c r="AD27" s="15"/>
      <c r="AE27" s="14">
        <f t="shared" si="7"/>
        <v>0</v>
      </c>
      <c r="AF27" s="22">
        <v>1185000</v>
      </c>
      <c r="AG27" s="23">
        <v>715000</v>
      </c>
      <c r="AH27" s="22">
        <v>910000</v>
      </c>
      <c r="AI27" s="27">
        <v>546000</v>
      </c>
      <c r="AJ27" s="6">
        <v>670000</v>
      </c>
      <c r="AK27" s="6">
        <v>402000</v>
      </c>
      <c r="AL27" s="26"/>
      <c r="AM27" s="26"/>
      <c r="AN27" s="26"/>
      <c r="AO27" s="26"/>
      <c r="AP27" s="26"/>
      <c r="AQ27" s="26"/>
    </row>
    <row r="28" spans="1:47" x14ac:dyDescent="0.25">
      <c r="B28" s="2">
        <f t="shared" si="5"/>
        <v>21</v>
      </c>
      <c r="C28" s="11" t="s">
        <v>22</v>
      </c>
      <c r="D28" s="6">
        <v>1500000</v>
      </c>
      <c r="E28" s="6">
        <v>900000</v>
      </c>
      <c r="F28" s="28">
        <v>3270000</v>
      </c>
      <c r="G28" s="27">
        <v>1962000</v>
      </c>
      <c r="H28" s="7">
        <v>1450000</v>
      </c>
      <c r="I28" s="7">
        <v>870000</v>
      </c>
      <c r="J28" s="20"/>
      <c r="K28" s="14">
        <f t="shared" si="1"/>
        <v>0</v>
      </c>
      <c r="L28" s="6">
        <v>1360000</v>
      </c>
      <c r="M28" s="7">
        <v>816000</v>
      </c>
      <c r="N28" s="47" t="s">
        <v>44</v>
      </c>
      <c r="O28" s="48"/>
      <c r="P28" s="15"/>
      <c r="Q28" s="14">
        <f t="shared" si="3"/>
        <v>0</v>
      </c>
      <c r="R28" s="6">
        <v>1450000</v>
      </c>
      <c r="S28" s="7">
        <v>870000</v>
      </c>
      <c r="T28" s="6">
        <v>1800000</v>
      </c>
      <c r="U28" s="7">
        <v>1080000</v>
      </c>
      <c r="V28" s="6">
        <v>1880000</v>
      </c>
      <c r="W28" s="6">
        <v>1128000</v>
      </c>
      <c r="X28" s="7">
        <v>3150000</v>
      </c>
      <c r="Y28" s="6">
        <v>1890000</v>
      </c>
      <c r="Z28" s="15"/>
      <c r="AA28" s="14">
        <f t="shared" si="7"/>
        <v>0</v>
      </c>
      <c r="AB28" s="7">
        <v>1440000</v>
      </c>
      <c r="AC28" s="7">
        <v>864000</v>
      </c>
      <c r="AD28" s="15"/>
      <c r="AE28" s="14">
        <f t="shared" si="7"/>
        <v>0</v>
      </c>
      <c r="AF28" s="22">
        <v>1330000</v>
      </c>
      <c r="AG28" s="23">
        <v>798000</v>
      </c>
      <c r="AH28" s="22">
        <v>650000</v>
      </c>
      <c r="AI28" s="27">
        <v>390000</v>
      </c>
      <c r="AJ28" s="6">
        <v>3570000</v>
      </c>
      <c r="AK28" s="6">
        <v>2142000</v>
      </c>
      <c r="AL28" s="26"/>
      <c r="AM28" s="26"/>
      <c r="AN28" s="26"/>
      <c r="AO28" s="26"/>
      <c r="AP28" s="26"/>
      <c r="AQ28" s="26"/>
    </row>
    <row r="29" spans="1:47" x14ac:dyDescent="0.25">
      <c r="B29" s="2">
        <f t="shared" si="5"/>
        <v>22</v>
      </c>
      <c r="C29" s="11" t="s">
        <v>16</v>
      </c>
      <c r="D29" s="6">
        <v>1410000</v>
      </c>
      <c r="E29" s="6">
        <v>846000</v>
      </c>
      <c r="F29" s="28">
        <v>1355000</v>
      </c>
      <c r="G29" s="27">
        <v>813000</v>
      </c>
      <c r="H29" s="7">
        <v>1855000</v>
      </c>
      <c r="I29" s="7">
        <v>1113000</v>
      </c>
      <c r="J29" s="20"/>
      <c r="K29" s="14">
        <f t="shared" si="1"/>
        <v>0</v>
      </c>
      <c r="L29" s="6">
        <v>1670000</v>
      </c>
      <c r="M29" s="7">
        <v>1002000</v>
      </c>
      <c r="N29" s="49"/>
      <c r="O29" s="50"/>
      <c r="P29" s="15"/>
      <c r="Q29" s="14">
        <f t="shared" si="3"/>
        <v>0</v>
      </c>
      <c r="R29" s="6">
        <v>1560000</v>
      </c>
      <c r="S29" s="7">
        <v>936000</v>
      </c>
      <c r="T29" s="6">
        <v>930000</v>
      </c>
      <c r="U29" s="7">
        <v>558000</v>
      </c>
      <c r="V29" s="6">
        <v>1990000</v>
      </c>
      <c r="W29" s="6">
        <v>1200000</v>
      </c>
      <c r="X29" s="7">
        <v>3850000</v>
      </c>
      <c r="Y29" s="6">
        <v>2310000</v>
      </c>
      <c r="Z29" s="15"/>
      <c r="AA29" s="14">
        <f t="shared" si="7"/>
        <v>0</v>
      </c>
      <c r="AB29" s="7">
        <v>2952000</v>
      </c>
      <c r="AC29" s="7">
        <v>1771000</v>
      </c>
      <c r="AD29" s="15"/>
      <c r="AE29" s="14">
        <f t="shared" si="7"/>
        <v>0</v>
      </c>
      <c r="AF29" s="22">
        <v>1100000</v>
      </c>
      <c r="AG29" s="23">
        <v>660000</v>
      </c>
      <c r="AH29" s="22">
        <v>510000</v>
      </c>
      <c r="AI29" s="27">
        <v>306000</v>
      </c>
      <c r="AJ29" s="6">
        <v>1380000</v>
      </c>
      <c r="AK29" s="6">
        <v>828000</v>
      </c>
      <c r="AL29" s="26"/>
      <c r="AM29" s="26"/>
      <c r="AN29" s="26"/>
      <c r="AO29" s="26"/>
      <c r="AP29" s="26"/>
      <c r="AQ29" s="26"/>
    </row>
    <row r="30" spans="1:47" x14ac:dyDescent="0.25">
      <c r="B30" s="2">
        <f t="shared" si="5"/>
        <v>23</v>
      </c>
      <c r="C30" s="11" t="s">
        <v>17</v>
      </c>
      <c r="D30" s="6">
        <v>1530000</v>
      </c>
      <c r="E30" s="6">
        <v>918000</v>
      </c>
      <c r="F30" s="28">
        <v>1130000</v>
      </c>
      <c r="G30" s="27">
        <v>678000</v>
      </c>
      <c r="H30" s="7">
        <v>1370000</v>
      </c>
      <c r="I30" s="7">
        <v>822000</v>
      </c>
      <c r="J30" s="20"/>
      <c r="K30" s="14">
        <f t="shared" si="1"/>
        <v>0</v>
      </c>
      <c r="L30" s="6">
        <v>2550000</v>
      </c>
      <c r="M30" s="7">
        <v>1530000</v>
      </c>
      <c r="N30" s="49"/>
      <c r="O30" s="50"/>
      <c r="P30" s="15"/>
      <c r="Q30" s="14">
        <f t="shared" si="3"/>
        <v>0</v>
      </c>
      <c r="R30" s="6">
        <v>1210000</v>
      </c>
      <c r="S30" s="7">
        <v>726000</v>
      </c>
      <c r="T30" s="6">
        <v>780000</v>
      </c>
      <c r="U30" s="7">
        <v>468000</v>
      </c>
      <c r="V30" s="6">
        <v>1980000</v>
      </c>
      <c r="W30" s="6">
        <v>1200000</v>
      </c>
      <c r="X30" s="7">
        <v>3585000</v>
      </c>
      <c r="Y30" s="6">
        <v>2151000</v>
      </c>
      <c r="Z30" s="15"/>
      <c r="AA30" s="14">
        <f t="shared" si="7"/>
        <v>0</v>
      </c>
      <c r="AB30" s="7">
        <v>1810000</v>
      </c>
      <c r="AC30" s="7">
        <v>1086000</v>
      </c>
      <c r="AD30" s="15"/>
      <c r="AE30" s="14">
        <f t="shared" si="7"/>
        <v>0</v>
      </c>
      <c r="AF30" s="47" t="s">
        <v>47</v>
      </c>
      <c r="AG30" s="48"/>
      <c r="AH30" s="47" t="s">
        <v>48</v>
      </c>
      <c r="AI30" s="48"/>
      <c r="AJ30" s="6">
        <v>1560000</v>
      </c>
      <c r="AK30" s="6">
        <v>936000</v>
      </c>
      <c r="AL30" s="26"/>
      <c r="AM30" s="26"/>
      <c r="AN30" s="26"/>
      <c r="AO30" s="26"/>
      <c r="AP30" s="26"/>
      <c r="AQ30" s="26"/>
    </row>
    <row r="31" spans="1:47" x14ac:dyDescent="0.25">
      <c r="B31" s="2">
        <f t="shared" si="5"/>
        <v>24</v>
      </c>
      <c r="C31" s="11" t="s">
        <v>18</v>
      </c>
      <c r="D31" s="6">
        <v>2190000</v>
      </c>
      <c r="E31" s="6">
        <v>1095000</v>
      </c>
      <c r="F31" s="28">
        <v>1730000</v>
      </c>
      <c r="G31" s="27">
        <v>865000</v>
      </c>
      <c r="H31" s="7">
        <v>1500000</v>
      </c>
      <c r="I31" s="7">
        <v>900000</v>
      </c>
      <c r="J31" s="20"/>
      <c r="K31" s="14">
        <f t="shared" si="1"/>
        <v>0</v>
      </c>
      <c r="L31" s="6">
        <v>1760000</v>
      </c>
      <c r="M31" s="7">
        <v>880000</v>
      </c>
      <c r="N31" s="49"/>
      <c r="O31" s="50"/>
      <c r="P31" s="15"/>
      <c r="Q31" s="14">
        <f t="shared" si="3"/>
        <v>0</v>
      </c>
      <c r="R31" s="6">
        <v>2440000</v>
      </c>
      <c r="S31" s="7">
        <v>1220000</v>
      </c>
      <c r="T31" s="6">
        <v>300000</v>
      </c>
      <c r="U31" s="7">
        <v>300000</v>
      </c>
      <c r="V31" s="6">
        <v>2370000</v>
      </c>
      <c r="W31" s="6">
        <v>1190000</v>
      </c>
      <c r="X31" s="7">
        <v>3600000</v>
      </c>
      <c r="Y31" s="6">
        <v>1800000</v>
      </c>
      <c r="Z31" s="15"/>
      <c r="AA31" s="14">
        <f t="shared" si="7"/>
        <v>0</v>
      </c>
      <c r="AB31" s="7">
        <v>1810000</v>
      </c>
      <c r="AC31" s="7">
        <v>905000</v>
      </c>
      <c r="AD31" s="15"/>
      <c r="AE31" s="14">
        <f t="shared" si="7"/>
        <v>0</v>
      </c>
      <c r="AF31" s="49"/>
      <c r="AG31" s="50"/>
      <c r="AH31" s="49"/>
      <c r="AI31" s="50"/>
      <c r="AJ31" s="6">
        <v>2010000</v>
      </c>
      <c r="AK31" s="6">
        <v>1005000</v>
      </c>
      <c r="AL31" s="26"/>
      <c r="AM31" s="26"/>
      <c r="AN31" s="26"/>
      <c r="AO31" s="26"/>
      <c r="AP31" s="26"/>
      <c r="AQ31" s="26"/>
    </row>
    <row r="32" spans="1:47" x14ac:dyDescent="0.25">
      <c r="B32" s="2">
        <f t="shared" si="5"/>
        <v>25</v>
      </c>
      <c r="C32" s="11" t="s">
        <v>19</v>
      </c>
      <c r="D32" s="6">
        <v>2440000</v>
      </c>
      <c r="E32" s="6">
        <v>1220000</v>
      </c>
      <c r="F32" s="28">
        <v>1975000</v>
      </c>
      <c r="G32" s="27">
        <v>988000</v>
      </c>
      <c r="H32" s="7">
        <v>1860000</v>
      </c>
      <c r="I32" s="7">
        <v>930000</v>
      </c>
      <c r="J32" s="20"/>
      <c r="K32" s="14">
        <f t="shared" si="1"/>
        <v>0</v>
      </c>
      <c r="L32" s="6">
        <v>1850000</v>
      </c>
      <c r="M32" s="7">
        <v>925000</v>
      </c>
      <c r="N32" s="49"/>
      <c r="O32" s="50"/>
      <c r="P32" s="15"/>
      <c r="Q32" s="14">
        <f t="shared" si="3"/>
        <v>0</v>
      </c>
      <c r="R32" s="6">
        <v>1850000</v>
      </c>
      <c r="S32" s="7">
        <v>925000</v>
      </c>
      <c r="T32" s="15"/>
      <c r="U32" s="15"/>
      <c r="V32" s="6">
        <v>900000</v>
      </c>
      <c r="W32" s="6">
        <v>540000</v>
      </c>
      <c r="X32" s="7">
        <v>4400000</v>
      </c>
      <c r="Y32" s="6">
        <v>2200000</v>
      </c>
      <c r="Z32" s="15"/>
      <c r="AA32" s="14">
        <f t="shared" si="7"/>
        <v>0</v>
      </c>
      <c r="AB32" s="7">
        <v>1710000</v>
      </c>
      <c r="AC32" s="7">
        <v>855000</v>
      </c>
      <c r="AD32" s="15"/>
      <c r="AE32" s="14">
        <f t="shared" si="7"/>
        <v>0</v>
      </c>
      <c r="AF32" s="49"/>
      <c r="AG32" s="50"/>
      <c r="AH32" s="49"/>
      <c r="AI32" s="50"/>
      <c r="AJ32" s="6">
        <v>2370000</v>
      </c>
      <c r="AK32" s="6">
        <v>1185000</v>
      </c>
      <c r="AL32" s="26"/>
      <c r="AM32" s="26"/>
      <c r="AN32" s="26"/>
      <c r="AO32" s="26"/>
      <c r="AP32" s="26"/>
      <c r="AQ32" s="26"/>
    </row>
    <row r="33" spans="2:43" x14ac:dyDescent="0.25">
      <c r="B33" s="2">
        <f t="shared" si="5"/>
        <v>26</v>
      </c>
      <c r="C33" s="11" t="s">
        <v>20</v>
      </c>
      <c r="D33" s="6">
        <v>2050000</v>
      </c>
      <c r="E33" s="6">
        <v>1025000</v>
      </c>
      <c r="F33" s="28">
        <v>2280000</v>
      </c>
      <c r="G33" s="27">
        <v>1140000</v>
      </c>
      <c r="H33" s="7">
        <v>1270000</v>
      </c>
      <c r="I33" s="7">
        <v>762000</v>
      </c>
      <c r="J33" s="20"/>
      <c r="K33" s="14">
        <f t="shared" si="1"/>
        <v>0</v>
      </c>
      <c r="L33" s="6">
        <v>1180000</v>
      </c>
      <c r="M33" s="7">
        <v>708000</v>
      </c>
      <c r="N33" s="49"/>
      <c r="O33" s="50"/>
      <c r="P33" s="15"/>
      <c r="Q33" s="14">
        <f t="shared" si="3"/>
        <v>0</v>
      </c>
      <c r="R33" s="6">
        <v>2100000</v>
      </c>
      <c r="S33" s="7">
        <v>1050000</v>
      </c>
      <c r="T33" s="15"/>
      <c r="U33" s="15"/>
      <c r="V33" s="6">
        <v>2570000</v>
      </c>
      <c r="W33" s="6">
        <v>1300000</v>
      </c>
      <c r="X33" s="7">
        <v>2650000</v>
      </c>
      <c r="Y33" s="6">
        <v>1325000</v>
      </c>
      <c r="Z33" s="15"/>
      <c r="AA33" s="14">
        <f t="shared" si="7"/>
        <v>0</v>
      </c>
      <c r="AB33" s="7">
        <v>2060000</v>
      </c>
      <c r="AC33" s="7">
        <v>1030000</v>
      </c>
      <c r="AD33" s="15"/>
      <c r="AE33" s="14">
        <f t="shared" si="7"/>
        <v>0</v>
      </c>
      <c r="AF33" s="49"/>
      <c r="AG33" s="50"/>
      <c r="AH33" s="49"/>
      <c r="AI33" s="50"/>
      <c r="AJ33" s="6">
        <v>2000000</v>
      </c>
      <c r="AK33" s="6">
        <v>1000000</v>
      </c>
      <c r="AL33" s="26"/>
      <c r="AM33" s="26"/>
      <c r="AN33" s="26"/>
      <c r="AO33" s="26"/>
      <c r="AP33" s="26"/>
      <c r="AQ33" s="26"/>
    </row>
    <row r="34" spans="2:43" x14ac:dyDescent="0.25">
      <c r="B34" s="2">
        <f t="shared" si="5"/>
        <v>27</v>
      </c>
      <c r="C34" s="11" t="s">
        <v>21</v>
      </c>
      <c r="D34" s="6">
        <v>2530000</v>
      </c>
      <c r="E34" s="6">
        <v>1265000</v>
      </c>
      <c r="F34" s="29">
        <v>2190000</v>
      </c>
      <c r="G34" s="27">
        <v>1095000</v>
      </c>
      <c r="H34" s="7">
        <v>1410000</v>
      </c>
      <c r="I34" s="7">
        <v>846000</v>
      </c>
      <c r="J34" s="20"/>
      <c r="K34" s="14">
        <f t="shared" si="1"/>
        <v>0</v>
      </c>
      <c r="L34" s="6">
        <v>1280000</v>
      </c>
      <c r="M34" s="7">
        <v>768000</v>
      </c>
      <c r="N34" s="49"/>
      <c r="O34" s="50"/>
      <c r="P34" s="15"/>
      <c r="Q34" s="14">
        <f t="shared" si="3"/>
        <v>0</v>
      </c>
      <c r="R34" s="6">
        <v>1155000</v>
      </c>
      <c r="S34" s="7">
        <v>693000</v>
      </c>
      <c r="T34" s="15"/>
      <c r="U34" s="15"/>
      <c r="V34" s="6">
        <v>1700000</v>
      </c>
      <c r="W34" s="6">
        <v>850000</v>
      </c>
      <c r="X34" s="7">
        <v>590000</v>
      </c>
      <c r="Y34" s="6">
        <v>354000</v>
      </c>
      <c r="Z34" s="15"/>
      <c r="AA34" s="14">
        <f t="shared" si="7"/>
        <v>0</v>
      </c>
      <c r="AB34" s="7">
        <v>2080000</v>
      </c>
      <c r="AC34" s="7">
        <v>1040000</v>
      </c>
      <c r="AD34" s="15"/>
      <c r="AE34" s="14">
        <f t="shared" si="7"/>
        <v>0</v>
      </c>
      <c r="AF34" s="51"/>
      <c r="AG34" s="52"/>
      <c r="AH34" s="49"/>
      <c r="AI34" s="50"/>
      <c r="AJ34" s="6">
        <v>2100000</v>
      </c>
      <c r="AK34" s="6">
        <v>1050000</v>
      </c>
      <c r="AL34" s="26"/>
      <c r="AM34" s="26"/>
      <c r="AN34" s="26"/>
      <c r="AO34" s="26"/>
      <c r="AP34" s="26"/>
      <c r="AQ34" s="26"/>
    </row>
    <row r="35" spans="2:43" x14ac:dyDescent="0.25">
      <c r="B35" s="2">
        <f t="shared" si="5"/>
        <v>28</v>
      </c>
      <c r="C35" s="11" t="s">
        <v>22</v>
      </c>
      <c r="D35" s="6">
        <v>1300000</v>
      </c>
      <c r="E35" s="6">
        <v>780000</v>
      </c>
      <c r="F35" s="29">
        <v>1710000</v>
      </c>
      <c r="G35" s="27">
        <v>855000</v>
      </c>
      <c r="H35" s="7">
        <v>1050000</v>
      </c>
      <c r="I35" s="7">
        <v>630000</v>
      </c>
      <c r="J35" s="20"/>
      <c r="K35" s="14">
        <f t="shared" si="1"/>
        <v>0</v>
      </c>
      <c r="L35" s="6">
        <v>1410000</v>
      </c>
      <c r="M35" s="7">
        <v>846000</v>
      </c>
      <c r="N35" s="49"/>
      <c r="O35" s="50"/>
      <c r="P35" s="15"/>
      <c r="Q35" s="14">
        <f t="shared" si="3"/>
        <v>0</v>
      </c>
      <c r="R35" s="6">
        <v>850000</v>
      </c>
      <c r="S35" s="7">
        <v>510000</v>
      </c>
      <c r="T35" s="15"/>
      <c r="U35" s="15"/>
      <c r="V35" s="6">
        <v>1490000</v>
      </c>
      <c r="W35" s="6">
        <v>890000</v>
      </c>
      <c r="X35" s="7">
        <v>2500000</v>
      </c>
      <c r="Y35" s="6">
        <v>1250000</v>
      </c>
      <c r="Z35" s="15"/>
      <c r="AA35" s="14">
        <f t="shared" si="7"/>
        <v>0</v>
      </c>
      <c r="AB35" s="45" t="s">
        <v>46</v>
      </c>
      <c r="AC35" s="46"/>
      <c r="AD35" s="15"/>
      <c r="AE35" s="14">
        <f t="shared" si="7"/>
        <v>0</v>
      </c>
      <c r="AF35" s="27">
        <v>1050000</v>
      </c>
      <c r="AG35" s="23">
        <v>525000</v>
      </c>
      <c r="AH35" s="49"/>
      <c r="AI35" s="50"/>
      <c r="AJ35" s="6">
        <v>3435000</v>
      </c>
      <c r="AK35" s="6">
        <v>1717000</v>
      </c>
      <c r="AL35" s="26"/>
      <c r="AM35" s="26"/>
      <c r="AN35" s="26"/>
      <c r="AO35" s="26"/>
      <c r="AP35" s="26"/>
      <c r="AQ35" s="26"/>
    </row>
    <row r="36" spans="2:43" x14ac:dyDescent="0.25">
      <c r="B36" s="2">
        <f t="shared" si="5"/>
        <v>29</v>
      </c>
      <c r="C36" s="11" t="s">
        <v>16</v>
      </c>
      <c r="D36" s="6">
        <v>2230000</v>
      </c>
      <c r="E36" s="6">
        <v>1110000</v>
      </c>
      <c r="F36" s="29">
        <v>1730000</v>
      </c>
      <c r="G36" s="27">
        <v>865000</v>
      </c>
      <c r="H36" s="7">
        <v>1967000</v>
      </c>
      <c r="I36" s="7">
        <v>984000</v>
      </c>
      <c r="J36" s="20"/>
      <c r="K36" s="14">
        <f t="shared" si="1"/>
        <v>0</v>
      </c>
      <c r="L36" s="6">
        <v>1980000</v>
      </c>
      <c r="M36" s="7">
        <v>990000</v>
      </c>
      <c r="N36" s="49"/>
      <c r="O36" s="50"/>
      <c r="P36" s="15"/>
      <c r="Q36" s="14">
        <f t="shared" si="3"/>
        <v>0</v>
      </c>
      <c r="R36" s="6">
        <v>1700000</v>
      </c>
      <c r="S36" s="7">
        <v>850000</v>
      </c>
      <c r="T36" s="15"/>
      <c r="U36" s="15"/>
      <c r="V36" s="6">
        <v>1710000</v>
      </c>
      <c r="W36" s="6">
        <v>860000</v>
      </c>
      <c r="X36" s="7">
        <v>2415000</v>
      </c>
      <c r="Y36" s="6">
        <v>1207000</v>
      </c>
      <c r="Z36" s="15"/>
      <c r="AA36" s="14">
        <f t="shared" si="7"/>
        <v>0</v>
      </c>
      <c r="AB36" s="7">
        <v>1150000</v>
      </c>
      <c r="AC36" s="7">
        <v>690000</v>
      </c>
      <c r="AD36" s="15"/>
      <c r="AE36" s="14">
        <f t="shared" si="7"/>
        <v>0</v>
      </c>
      <c r="AF36" s="27">
        <v>1760000</v>
      </c>
      <c r="AG36" s="23">
        <v>880000</v>
      </c>
      <c r="AH36" s="49"/>
      <c r="AI36" s="50"/>
      <c r="AJ36" s="27">
        <v>1840000</v>
      </c>
      <c r="AK36" s="27">
        <v>920000</v>
      </c>
      <c r="AL36" s="7">
        <v>90000</v>
      </c>
      <c r="AM36" s="7">
        <v>54000</v>
      </c>
      <c r="AN36" s="26"/>
      <c r="AO36" s="26"/>
      <c r="AP36" s="26"/>
      <c r="AQ36" s="26"/>
    </row>
    <row r="37" spans="2:43" x14ac:dyDescent="0.25">
      <c r="B37" s="2">
        <f t="shared" ref="B37:B38" si="11">B36+1</f>
        <v>30</v>
      </c>
      <c r="C37" s="11" t="s">
        <v>17</v>
      </c>
      <c r="D37" s="6">
        <v>1720000</v>
      </c>
      <c r="E37" s="6">
        <v>860000</v>
      </c>
      <c r="F37" s="29">
        <v>1140000</v>
      </c>
      <c r="G37" s="27">
        <v>684000</v>
      </c>
      <c r="H37" s="7">
        <v>2380000</v>
      </c>
      <c r="I37" s="7">
        <v>1190000</v>
      </c>
      <c r="J37" s="20"/>
      <c r="K37" s="14">
        <f t="shared" si="1"/>
        <v>0</v>
      </c>
      <c r="L37" s="43" t="s">
        <v>49</v>
      </c>
      <c r="M37" s="44"/>
      <c r="N37" s="49"/>
      <c r="O37" s="50"/>
      <c r="P37" s="15"/>
      <c r="Q37" s="14">
        <f t="shared" si="3"/>
        <v>0</v>
      </c>
      <c r="R37" s="6">
        <v>3497000</v>
      </c>
      <c r="S37" s="7">
        <v>1749000</v>
      </c>
      <c r="T37" s="15"/>
      <c r="U37" s="15"/>
      <c r="V37" s="6">
        <v>1750000</v>
      </c>
      <c r="W37" s="6">
        <v>860000</v>
      </c>
      <c r="X37" s="7">
        <v>3000000</v>
      </c>
      <c r="Y37" s="6">
        <v>1500000</v>
      </c>
      <c r="Z37" s="15"/>
      <c r="AA37" s="14">
        <f t="shared" si="7"/>
        <v>0</v>
      </c>
      <c r="AB37" s="7">
        <v>2060000</v>
      </c>
      <c r="AC37" s="7">
        <v>1030000</v>
      </c>
      <c r="AD37" s="15"/>
      <c r="AE37" s="14">
        <f t="shared" si="7"/>
        <v>0</v>
      </c>
      <c r="AF37" s="27">
        <v>1730000</v>
      </c>
      <c r="AG37" s="23">
        <v>865000</v>
      </c>
      <c r="AH37" s="49"/>
      <c r="AI37" s="50"/>
      <c r="AJ37" s="27">
        <v>3815000</v>
      </c>
      <c r="AK37" s="27">
        <v>1900000</v>
      </c>
      <c r="AL37" s="45" t="s">
        <v>52</v>
      </c>
      <c r="AM37" s="46"/>
      <c r="AN37" s="6">
        <v>380000</v>
      </c>
      <c r="AO37" s="7">
        <v>228000</v>
      </c>
      <c r="AP37" s="6">
        <v>660000</v>
      </c>
      <c r="AQ37" s="6">
        <v>396000</v>
      </c>
    </row>
    <row r="38" spans="2:43" ht="18.75" x14ac:dyDescent="0.3">
      <c r="B38" s="2">
        <f t="shared" si="11"/>
        <v>31</v>
      </c>
      <c r="C38" s="11" t="s">
        <v>18</v>
      </c>
      <c r="D38" s="66">
        <v>1900000</v>
      </c>
      <c r="E38" s="66">
        <v>950000</v>
      </c>
      <c r="F38" s="67">
        <v>1795000</v>
      </c>
      <c r="G38" s="68">
        <v>900000</v>
      </c>
      <c r="H38" s="69">
        <v>1304000</v>
      </c>
      <c r="I38" s="69">
        <v>783000</v>
      </c>
      <c r="J38" s="20"/>
      <c r="K38" s="14">
        <f t="shared" si="1"/>
        <v>0</v>
      </c>
      <c r="L38" s="66">
        <v>1720000</v>
      </c>
      <c r="M38" s="69">
        <v>860000</v>
      </c>
      <c r="N38" s="51"/>
      <c r="O38" s="52"/>
      <c r="P38" s="15"/>
      <c r="Q38" s="14">
        <f t="shared" si="3"/>
        <v>0</v>
      </c>
      <c r="R38" s="66">
        <v>1756000</v>
      </c>
      <c r="S38" s="69">
        <v>878000</v>
      </c>
      <c r="T38" s="15"/>
      <c r="U38" s="15"/>
      <c r="V38" s="66">
        <v>1830000</v>
      </c>
      <c r="W38" s="66">
        <v>920000</v>
      </c>
      <c r="X38" s="7">
        <v>750000</v>
      </c>
      <c r="Y38" s="4">
        <v>450000</v>
      </c>
      <c r="Z38" s="15"/>
      <c r="AA38" s="14">
        <f t="shared" si="7"/>
        <v>0</v>
      </c>
      <c r="AB38" s="15"/>
      <c r="AC38" s="14">
        <f t="shared" ref="AC38" si="12">AB38*$E$45</f>
        <v>0</v>
      </c>
      <c r="AD38" s="15"/>
      <c r="AE38" s="14">
        <f t="shared" si="7"/>
        <v>0</v>
      </c>
      <c r="AF38" s="68">
        <v>1758000</v>
      </c>
      <c r="AG38" s="70">
        <v>879000</v>
      </c>
      <c r="AH38" s="51"/>
      <c r="AI38" s="52"/>
      <c r="AJ38" s="68">
        <v>2925000</v>
      </c>
      <c r="AK38" s="68">
        <v>1462000</v>
      </c>
      <c r="AL38" s="69">
        <v>1010000</v>
      </c>
      <c r="AM38" s="69">
        <v>606000</v>
      </c>
      <c r="AN38" s="66">
        <v>2901000</v>
      </c>
      <c r="AO38" s="69">
        <v>1451000</v>
      </c>
      <c r="AP38" s="66">
        <v>990000</v>
      </c>
      <c r="AQ38" s="66">
        <v>594000</v>
      </c>
    </row>
    <row r="45" spans="2:43" x14ac:dyDescent="0.25">
      <c r="D45" t="s">
        <v>23</v>
      </c>
      <c r="E45">
        <v>0.6</v>
      </c>
    </row>
  </sheetData>
  <mergeCells count="30">
    <mergeCell ref="AB6:AC6"/>
    <mergeCell ref="L22:M22"/>
    <mergeCell ref="B6:C6"/>
    <mergeCell ref="D6:E6"/>
    <mergeCell ref="F6:G6"/>
    <mergeCell ref="H6:I6"/>
    <mergeCell ref="J6:K6"/>
    <mergeCell ref="X6:Y6"/>
    <mergeCell ref="L6:M6"/>
    <mergeCell ref="N6:O6"/>
    <mergeCell ref="P6:Q6"/>
    <mergeCell ref="R6:S6"/>
    <mergeCell ref="T6:U6"/>
    <mergeCell ref="V6:W6"/>
    <mergeCell ref="L37:M37"/>
    <mergeCell ref="AP6:AQ6"/>
    <mergeCell ref="AL37:AM37"/>
    <mergeCell ref="AL6:AM6"/>
    <mergeCell ref="AN6:AO6"/>
    <mergeCell ref="AB35:AC35"/>
    <mergeCell ref="AF30:AG34"/>
    <mergeCell ref="AH30:AI38"/>
    <mergeCell ref="R27:S27"/>
    <mergeCell ref="N28:O38"/>
    <mergeCell ref="AF6:AG6"/>
    <mergeCell ref="AH6:AI6"/>
    <mergeCell ref="AJ6:AK6"/>
    <mergeCell ref="Z6:AA6"/>
    <mergeCell ref="AD6:AE6"/>
    <mergeCell ref="R16:S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00B4-8072-4F20-B214-F928A4009CA5}">
  <sheetPr codeName="Sheet2"/>
  <dimension ref="B2:AL45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M12" sqref="M12"/>
    </sheetView>
  </sheetViews>
  <sheetFormatPr defaultRowHeight="16.5" x14ac:dyDescent="0.25"/>
  <cols>
    <col min="4" max="4" width="13.33203125" customWidth="1"/>
    <col min="5" max="5" width="12.6640625" customWidth="1"/>
    <col min="6" max="6" width="13.109375" customWidth="1"/>
    <col min="7" max="7" width="13.33203125" customWidth="1"/>
    <col min="8" max="8" width="12.88671875" customWidth="1"/>
    <col min="9" max="9" width="11.44140625" customWidth="1"/>
    <col min="10" max="10" width="12.33203125" customWidth="1"/>
    <col min="11" max="11" width="12.21875" customWidth="1"/>
    <col min="12" max="12" width="12.5546875" customWidth="1"/>
    <col min="13" max="13" width="12.77734375" customWidth="1"/>
    <col min="14" max="14" width="12.88671875" customWidth="1"/>
    <col min="15" max="15" width="12.5546875" customWidth="1"/>
    <col min="16" max="16" width="13.6640625" customWidth="1"/>
    <col min="17" max="17" width="12.33203125" customWidth="1"/>
    <col min="18" max="18" width="14.109375" customWidth="1"/>
    <col min="19" max="19" width="13.6640625" customWidth="1"/>
    <col min="20" max="21" width="12.44140625" customWidth="1"/>
    <col min="22" max="22" width="13" customWidth="1"/>
    <col min="23" max="23" width="12" customWidth="1"/>
    <col min="24" max="24" width="14.77734375" customWidth="1"/>
    <col min="25" max="25" width="12.33203125" customWidth="1"/>
    <col min="26" max="26" width="12" customWidth="1"/>
    <col min="27" max="27" width="12.21875" customWidth="1"/>
    <col min="28" max="28" width="12.77734375" customWidth="1"/>
    <col min="29" max="29" width="13.77734375" customWidth="1"/>
    <col min="30" max="30" width="13.6640625" customWidth="1"/>
    <col min="31" max="31" width="12.5546875" customWidth="1"/>
  </cols>
  <sheetData>
    <row r="2" spans="2:38" ht="27.75" x14ac:dyDescent="0.25">
      <c r="F2" s="19" t="s">
        <v>37</v>
      </c>
      <c r="G2" s="19"/>
      <c r="H2" s="19"/>
      <c r="I2" s="19"/>
      <c r="J2" s="19"/>
      <c r="K2" s="19"/>
      <c r="L2" s="19"/>
    </row>
    <row r="3" spans="2:38" ht="30.75" x14ac:dyDescent="0.25">
      <c r="G3" s="17"/>
      <c r="H3" s="17"/>
      <c r="I3" s="18" t="s">
        <v>40</v>
      </c>
      <c r="J3" s="17"/>
    </row>
    <row r="5" spans="2:38" hidden="1" x14ac:dyDescent="0.25"/>
    <row r="6" spans="2:38" ht="41.25" customHeight="1" x14ac:dyDescent="0.25">
      <c r="B6" s="64" t="s">
        <v>2</v>
      </c>
      <c r="C6" s="65"/>
      <c r="D6" s="39" t="s">
        <v>27</v>
      </c>
      <c r="E6" s="40"/>
      <c r="F6" s="39" t="s">
        <v>28</v>
      </c>
      <c r="G6" s="40"/>
      <c r="H6" s="39" t="s">
        <v>29</v>
      </c>
      <c r="I6" s="40"/>
      <c r="J6" s="39" t="s">
        <v>30</v>
      </c>
      <c r="K6" s="40"/>
      <c r="L6" s="39" t="s">
        <v>31</v>
      </c>
      <c r="M6" s="40"/>
      <c r="N6" s="39" t="s">
        <v>32</v>
      </c>
      <c r="O6" s="40"/>
    </row>
    <row r="7" spans="2:38" x14ac:dyDescent="0.25">
      <c r="B7" s="3" t="s">
        <v>3</v>
      </c>
      <c r="C7" s="3" t="s">
        <v>4</v>
      </c>
      <c r="D7" s="2" t="s">
        <v>0</v>
      </c>
      <c r="E7" s="2" t="s">
        <v>1</v>
      </c>
      <c r="F7" s="2" t="s">
        <v>0</v>
      </c>
      <c r="G7" s="2" t="s">
        <v>1</v>
      </c>
      <c r="H7" s="2" t="s">
        <v>0</v>
      </c>
      <c r="I7" s="2" t="s">
        <v>1</v>
      </c>
      <c r="J7" s="2" t="s">
        <v>0</v>
      </c>
      <c r="K7" s="2" t="s">
        <v>1</v>
      </c>
      <c r="L7" s="2" t="s">
        <v>0</v>
      </c>
      <c r="M7" s="2" t="s">
        <v>1</v>
      </c>
      <c r="N7" s="2" t="s">
        <v>0</v>
      </c>
      <c r="O7" s="2" t="s">
        <v>1</v>
      </c>
    </row>
    <row r="8" spans="2:38" x14ac:dyDescent="0.25">
      <c r="B8" s="2">
        <v>1</v>
      </c>
      <c r="C8" s="1" t="s">
        <v>16</v>
      </c>
      <c r="D8" s="5">
        <v>1960000</v>
      </c>
      <c r="E8" s="5">
        <v>1180000</v>
      </c>
      <c r="F8" s="5">
        <v>1950000</v>
      </c>
      <c r="G8" s="5">
        <f t="shared" ref="G8:G17" si="0">F8*$E$45</f>
        <v>1170000</v>
      </c>
      <c r="H8" s="5">
        <v>1940000</v>
      </c>
      <c r="I8" s="5">
        <f>H8*$E$45</f>
        <v>1164000</v>
      </c>
      <c r="J8" s="8"/>
      <c r="K8" s="8"/>
      <c r="L8" s="8"/>
      <c r="M8" s="8"/>
      <c r="N8" s="8"/>
      <c r="O8" s="8"/>
    </row>
    <row r="9" spans="2:38" x14ac:dyDescent="0.25">
      <c r="B9" s="2">
        <f>B8+1</f>
        <v>2</v>
      </c>
      <c r="C9" s="1" t="s">
        <v>17</v>
      </c>
      <c r="D9" s="5">
        <v>2500000</v>
      </c>
      <c r="E9" s="5">
        <f>D9*$E$45</f>
        <v>1500000</v>
      </c>
      <c r="F9" s="5">
        <v>1950000</v>
      </c>
      <c r="G9" s="5">
        <f t="shared" si="0"/>
        <v>1170000</v>
      </c>
      <c r="H9" s="5">
        <v>2190000</v>
      </c>
      <c r="I9" s="5">
        <v>1315000</v>
      </c>
      <c r="J9" s="5">
        <v>1750000</v>
      </c>
      <c r="K9" s="5">
        <v>880000</v>
      </c>
      <c r="L9" s="8"/>
      <c r="M9" s="8"/>
      <c r="N9" s="8"/>
      <c r="O9" s="8"/>
    </row>
    <row r="10" spans="2:38" x14ac:dyDescent="0.25">
      <c r="B10" s="2">
        <f t="shared" ref="B10:B38" si="1">B9+1</f>
        <v>3</v>
      </c>
      <c r="C10" s="1" t="s">
        <v>18</v>
      </c>
      <c r="D10" s="5">
        <v>2610000</v>
      </c>
      <c r="E10" s="5">
        <v>1570000</v>
      </c>
      <c r="F10" s="5">
        <v>2500000</v>
      </c>
      <c r="G10" s="5">
        <f t="shared" si="0"/>
        <v>1500000</v>
      </c>
      <c r="H10" s="5">
        <v>2520000</v>
      </c>
      <c r="I10" s="5">
        <v>1510000</v>
      </c>
      <c r="J10" s="5">
        <v>2100000</v>
      </c>
      <c r="K10" s="5">
        <v>1050000</v>
      </c>
      <c r="L10" s="8"/>
      <c r="M10" s="8"/>
      <c r="N10" s="8"/>
      <c r="O10" s="8"/>
    </row>
    <row r="11" spans="2:38" x14ac:dyDescent="0.25">
      <c r="B11" s="2">
        <f t="shared" si="1"/>
        <v>4</v>
      </c>
      <c r="C11" s="1" t="s">
        <v>19</v>
      </c>
      <c r="D11" s="5">
        <v>2550000</v>
      </c>
      <c r="E11" s="5">
        <v>1530000</v>
      </c>
      <c r="F11" s="5">
        <v>1400000</v>
      </c>
      <c r="G11" s="5">
        <f t="shared" si="0"/>
        <v>840000</v>
      </c>
      <c r="H11" s="5">
        <v>1820000</v>
      </c>
      <c r="I11" s="5">
        <f>H11*$E$45</f>
        <v>1092000</v>
      </c>
      <c r="J11" s="5">
        <v>2300000</v>
      </c>
      <c r="K11" s="5">
        <v>1150000</v>
      </c>
      <c r="L11" s="8"/>
      <c r="M11" s="8"/>
      <c r="N11" s="8"/>
      <c r="O11" s="8"/>
    </row>
    <row r="12" spans="2:38" x14ac:dyDescent="0.25">
      <c r="B12" s="2">
        <f t="shared" si="1"/>
        <v>5</v>
      </c>
      <c r="C12" s="1" t="s">
        <v>20</v>
      </c>
      <c r="D12" s="5">
        <v>1950000</v>
      </c>
      <c r="E12" s="5">
        <f>D12*$E$45</f>
        <v>1170000</v>
      </c>
      <c r="F12" s="5">
        <v>1850000</v>
      </c>
      <c r="G12" s="5">
        <f t="shared" si="0"/>
        <v>1110000</v>
      </c>
      <c r="H12" s="5">
        <v>2070000</v>
      </c>
      <c r="I12" s="5">
        <v>1244000</v>
      </c>
      <c r="J12" s="5">
        <v>1800000</v>
      </c>
      <c r="K12" s="5">
        <v>900000</v>
      </c>
      <c r="L12" s="8"/>
      <c r="M12" s="8"/>
      <c r="N12" s="8"/>
      <c r="O12" s="8"/>
    </row>
    <row r="13" spans="2:38" x14ac:dyDescent="0.25">
      <c r="B13" s="2">
        <f t="shared" si="1"/>
        <v>6</v>
      </c>
      <c r="C13" s="1" t="s">
        <v>21</v>
      </c>
      <c r="D13" s="5">
        <v>2000000</v>
      </c>
      <c r="E13" s="5">
        <f>D13*$E$45</f>
        <v>1200000</v>
      </c>
      <c r="F13" s="5">
        <v>1800000</v>
      </c>
      <c r="G13" s="5">
        <f t="shared" si="0"/>
        <v>1080000</v>
      </c>
      <c r="H13" s="5">
        <v>2270000</v>
      </c>
      <c r="I13" s="5">
        <f>H13*$E$45</f>
        <v>1362000</v>
      </c>
      <c r="J13" s="5">
        <v>2000000</v>
      </c>
      <c r="K13" s="5">
        <v>1000000</v>
      </c>
      <c r="L13" s="8"/>
      <c r="M13" s="8"/>
      <c r="N13" s="8"/>
      <c r="O13" s="8"/>
    </row>
    <row r="14" spans="2:38" x14ac:dyDescent="0.25">
      <c r="B14" s="2">
        <f t="shared" si="1"/>
        <v>7</v>
      </c>
      <c r="C14" s="1" t="s">
        <v>22</v>
      </c>
      <c r="D14" s="5">
        <v>2040000</v>
      </c>
      <c r="E14" s="5">
        <f>D14*$E$45</f>
        <v>1224000</v>
      </c>
      <c r="F14" s="5">
        <v>1900000</v>
      </c>
      <c r="G14" s="5">
        <f t="shared" si="0"/>
        <v>1140000</v>
      </c>
      <c r="H14" s="5">
        <v>2180000</v>
      </c>
      <c r="I14" s="5">
        <f>H14*$E$45</f>
        <v>1308000</v>
      </c>
      <c r="J14" s="5">
        <v>2700000</v>
      </c>
      <c r="K14" s="5">
        <v>1350000</v>
      </c>
      <c r="L14" s="5">
        <v>930000</v>
      </c>
      <c r="M14" s="5">
        <v>540000</v>
      </c>
      <c r="N14" s="8"/>
      <c r="O14" s="8"/>
    </row>
    <row r="15" spans="2:38" x14ac:dyDescent="0.25">
      <c r="B15" s="2">
        <f t="shared" si="1"/>
        <v>8</v>
      </c>
      <c r="C15" s="1" t="s">
        <v>16</v>
      </c>
      <c r="D15" s="5">
        <v>2400000</v>
      </c>
      <c r="E15" s="5">
        <f>D15*$E$45</f>
        <v>1440000</v>
      </c>
      <c r="F15" s="5">
        <v>1850000</v>
      </c>
      <c r="G15" s="5">
        <f t="shared" si="0"/>
        <v>1110000</v>
      </c>
      <c r="H15" s="5">
        <v>2340000</v>
      </c>
      <c r="I15" s="5">
        <f>H15*$E$45</f>
        <v>1404000</v>
      </c>
      <c r="J15" s="5">
        <v>1800000</v>
      </c>
      <c r="K15" s="5">
        <v>900000</v>
      </c>
      <c r="L15" s="5">
        <v>900000</v>
      </c>
      <c r="M15" s="5">
        <f>L15*$E$45</f>
        <v>540000</v>
      </c>
      <c r="N15" s="5">
        <v>1100000</v>
      </c>
      <c r="O15" s="5">
        <f>N15*$E$45</f>
        <v>660000</v>
      </c>
      <c r="AL15" t="s">
        <v>33</v>
      </c>
    </row>
    <row r="16" spans="2:38" ht="21" customHeight="1" x14ac:dyDescent="0.25">
      <c r="B16" s="2">
        <f t="shared" si="1"/>
        <v>9</v>
      </c>
      <c r="C16" s="1" t="s">
        <v>17</v>
      </c>
      <c r="D16" s="5">
        <v>1850000</v>
      </c>
      <c r="E16" s="5">
        <f>D16*$E$45</f>
        <v>1110000</v>
      </c>
      <c r="F16" s="5">
        <v>1900000</v>
      </c>
      <c r="G16" s="5">
        <f t="shared" si="0"/>
        <v>1140000</v>
      </c>
      <c r="H16" s="5">
        <v>1690000</v>
      </c>
      <c r="I16" s="5">
        <f>H16*$E$45</f>
        <v>1014000</v>
      </c>
      <c r="J16" s="5">
        <v>1750000</v>
      </c>
      <c r="K16" s="5">
        <v>875000</v>
      </c>
      <c r="L16" s="5">
        <v>1360000</v>
      </c>
      <c r="M16" s="5">
        <v>817000</v>
      </c>
      <c r="N16" s="5">
        <v>1350000</v>
      </c>
      <c r="O16" s="5">
        <f>N16*$E$45</f>
        <v>810000</v>
      </c>
    </row>
    <row r="17" spans="2:15" x14ac:dyDescent="0.25">
      <c r="B17" s="2">
        <f t="shared" si="1"/>
        <v>10</v>
      </c>
      <c r="C17" s="1" t="s">
        <v>18</v>
      </c>
      <c r="D17" s="5">
        <v>1890000</v>
      </c>
      <c r="E17" s="5">
        <v>1135000</v>
      </c>
      <c r="F17" s="5">
        <v>750000</v>
      </c>
      <c r="G17" s="5">
        <f t="shared" si="0"/>
        <v>450000</v>
      </c>
      <c r="H17" s="5">
        <v>1550000</v>
      </c>
      <c r="I17" s="5">
        <v>930000</v>
      </c>
      <c r="J17" s="13" t="s">
        <v>34</v>
      </c>
      <c r="K17" s="13" t="s">
        <v>34</v>
      </c>
      <c r="L17" s="5">
        <v>1550000</v>
      </c>
      <c r="M17" s="5">
        <v>930000</v>
      </c>
      <c r="N17" s="5">
        <v>1800000</v>
      </c>
      <c r="O17" s="5">
        <v>1080000</v>
      </c>
    </row>
    <row r="18" spans="2:15" x14ac:dyDescent="0.25">
      <c r="B18" s="2">
        <f t="shared" si="1"/>
        <v>11</v>
      </c>
      <c r="C18" s="1" t="s">
        <v>19</v>
      </c>
      <c r="D18" s="5">
        <v>1950000</v>
      </c>
      <c r="E18" s="5">
        <v>1170000</v>
      </c>
      <c r="F18" s="58" t="s">
        <v>35</v>
      </c>
      <c r="G18" s="59"/>
      <c r="H18" s="6">
        <v>1860000</v>
      </c>
      <c r="I18" s="7">
        <v>1116000</v>
      </c>
      <c r="J18" s="13" t="s">
        <v>34</v>
      </c>
      <c r="K18" s="13" t="s">
        <v>34</v>
      </c>
      <c r="L18" s="6">
        <v>1500000</v>
      </c>
      <c r="M18" s="7">
        <v>900000</v>
      </c>
      <c r="N18" s="7">
        <v>1650000</v>
      </c>
      <c r="O18" s="7">
        <v>990000</v>
      </c>
    </row>
    <row r="19" spans="2:15" x14ac:dyDescent="0.25">
      <c r="B19" s="2">
        <f t="shared" si="1"/>
        <v>12</v>
      </c>
      <c r="C19" s="1" t="s">
        <v>20</v>
      </c>
      <c r="D19" s="6">
        <v>2050000</v>
      </c>
      <c r="E19" s="6">
        <v>1230000</v>
      </c>
      <c r="F19" s="60"/>
      <c r="G19" s="61"/>
      <c r="H19" s="6">
        <v>1850000</v>
      </c>
      <c r="I19" s="6">
        <v>1110000</v>
      </c>
      <c r="J19" s="13" t="s">
        <v>34</v>
      </c>
      <c r="K19" s="13" t="s">
        <v>34</v>
      </c>
      <c r="L19" s="6">
        <v>1250000</v>
      </c>
      <c r="M19" s="6">
        <v>750000</v>
      </c>
      <c r="N19" s="7">
        <v>1450000</v>
      </c>
      <c r="O19" s="6">
        <v>870000</v>
      </c>
    </row>
    <row r="20" spans="2:15" x14ac:dyDescent="0.25">
      <c r="B20" s="2">
        <f t="shared" si="1"/>
        <v>13</v>
      </c>
      <c r="C20" s="1" t="s">
        <v>21</v>
      </c>
      <c r="D20" s="6">
        <v>1950000</v>
      </c>
      <c r="E20" s="6">
        <v>1170000</v>
      </c>
      <c r="F20" s="60"/>
      <c r="G20" s="61"/>
      <c r="H20" s="6">
        <v>1200000</v>
      </c>
      <c r="I20" s="7">
        <v>720000</v>
      </c>
      <c r="J20" s="13" t="s">
        <v>34</v>
      </c>
      <c r="K20" s="13" t="s">
        <v>34</v>
      </c>
      <c r="L20" s="6">
        <v>1000000</v>
      </c>
      <c r="M20" s="7">
        <v>600000</v>
      </c>
      <c r="N20" s="7">
        <v>1350000</v>
      </c>
      <c r="O20" s="7">
        <v>810000</v>
      </c>
    </row>
    <row r="21" spans="2:15" x14ac:dyDescent="0.25">
      <c r="B21" s="2">
        <f t="shared" si="1"/>
        <v>14</v>
      </c>
      <c r="C21" s="1" t="s">
        <v>22</v>
      </c>
      <c r="D21" s="6">
        <v>1300000</v>
      </c>
      <c r="E21" s="6">
        <v>780000</v>
      </c>
      <c r="F21" s="60"/>
      <c r="G21" s="61"/>
      <c r="H21" s="6">
        <v>2400000</v>
      </c>
      <c r="I21" s="7">
        <v>1440000</v>
      </c>
      <c r="J21" s="4"/>
      <c r="K21" s="5"/>
      <c r="L21" s="6">
        <v>1000000</v>
      </c>
      <c r="M21" s="7">
        <v>600000</v>
      </c>
      <c r="N21" s="7">
        <v>500000</v>
      </c>
      <c r="O21" s="7">
        <v>300000</v>
      </c>
    </row>
    <row r="22" spans="2:15" x14ac:dyDescent="0.25">
      <c r="B22" s="2">
        <f t="shared" si="1"/>
        <v>15</v>
      </c>
      <c r="C22" s="1" t="s">
        <v>16</v>
      </c>
      <c r="D22" s="6">
        <v>1900000</v>
      </c>
      <c r="E22" s="6">
        <v>1140000</v>
      </c>
      <c r="F22" s="60"/>
      <c r="G22" s="61"/>
      <c r="H22" s="12"/>
      <c r="I22" s="5"/>
      <c r="J22" s="4"/>
      <c r="K22" s="5"/>
      <c r="L22" s="6">
        <v>1150000</v>
      </c>
      <c r="M22" s="6">
        <v>690000</v>
      </c>
      <c r="N22" s="7">
        <v>1050000</v>
      </c>
      <c r="O22" s="7">
        <v>630000</v>
      </c>
    </row>
    <row r="23" spans="2:15" x14ac:dyDescent="0.25">
      <c r="B23" s="2">
        <f t="shared" si="1"/>
        <v>16</v>
      </c>
      <c r="C23" s="1" t="s">
        <v>17</v>
      </c>
      <c r="D23" s="4"/>
      <c r="E23" s="5"/>
      <c r="F23" s="60"/>
      <c r="G23" s="61"/>
      <c r="H23" s="4"/>
      <c r="I23" s="5"/>
      <c r="J23" s="4"/>
      <c r="K23" s="5"/>
      <c r="L23" s="4"/>
      <c r="M23" s="4"/>
      <c r="N23" s="4"/>
      <c r="O23" s="5"/>
    </row>
    <row r="24" spans="2:15" x14ac:dyDescent="0.25">
      <c r="B24" s="2">
        <f t="shared" si="1"/>
        <v>17</v>
      </c>
      <c r="C24" s="1" t="s">
        <v>18</v>
      </c>
      <c r="D24" s="4"/>
      <c r="E24" s="5"/>
      <c r="F24" s="60"/>
      <c r="G24" s="61"/>
      <c r="H24" s="4"/>
      <c r="I24" s="5"/>
      <c r="J24" s="4"/>
      <c r="K24" s="5"/>
      <c r="L24" s="4"/>
      <c r="M24" s="4"/>
      <c r="N24" s="4"/>
      <c r="O24" s="5"/>
    </row>
    <row r="25" spans="2:15" x14ac:dyDescent="0.25">
      <c r="B25" s="2">
        <f t="shared" si="1"/>
        <v>18</v>
      </c>
      <c r="C25" s="1" t="s">
        <v>19</v>
      </c>
      <c r="D25" s="4"/>
      <c r="E25" s="5"/>
      <c r="F25" s="60"/>
      <c r="G25" s="61"/>
      <c r="H25" s="4"/>
      <c r="I25" s="5"/>
      <c r="J25" s="4"/>
      <c r="K25" s="5"/>
      <c r="L25" s="4"/>
      <c r="M25" s="4"/>
      <c r="N25" s="4"/>
      <c r="O25" s="5"/>
    </row>
    <row r="26" spans="2:15" x14ac:dyDescent="0.25">
      <c r="B26" s="2">
        <f t="shared" si="1"/>
        <v>19</v>
      </c>
      <c r="C26" s="1" t="s">
        <v>20</v>
      </c>
      <c r="D26" s="4"/>
      <c r="E26" s="5"/>
      <c r="F26" s="60"/>
      <c r="G26" s="61"/>
      <c r="H26" s="4"/>
      <c r="I26" s="5"/>
      <c r="J26" s="4"/>
      <c r="K26" s="5"/>
      <c r="L26" s="4"/>
      <c r="M26" s="4"/>
      <c r="N26" s="4"/>
      <c r="O26" s="5"/>
    </row>
    <row r="27" spans="2:15" x14ac:dyDescent="0.25">
      <c r="B27" s="2">
        <f t="shared" si="1"/>
        <v>20</v>
      </c>
      <c r="C27" s="1" t="s">
        <v>21</v>
      </c>
      <c r="D27" s="4"/>
      <c r="E27" s="5"/>
      <c r="F27" s="60"/>
      <c r="G27" s="61"/>
      <c r="H27" s="4"/>
      <c r="I27" s="5"/>
      <c r="J27" s="4"/>
      <c r="K27" s="5"/>
      <c r="L27" s="4"/>
      <c r="M27" s="4"/>
      <c r="N27" s="4"/>
      <c r="O27" s="5"/>
    </row>
    <row r="28" spans="2:15" x14ac:dyDescent="0.25">
      <c r="B28" s="2">
        <f t="shared" si="1"/>
        <v>21</v>
      </c>
      <c r="C28" s="1" t="s">
        <v>22</v>
      </c>
      <c r="D28" s="4"/>
      <c r="E28" s="5"/>
      <c r="F28" s="60"/>
      <c r="G28" s="61"/>
      <c r="H28" s="4"/>
      <c r="I28" s="5"/>
      <c r="J28" s="4"/>
      <c r="K28" s="5"/>
      <c r="L28" s="4"/>
      <c r="M28" s="4"/>
      <c r="N28" s="4"/>
      <c r="O28" s="5"/>
    </row>
    <row r="29" spans="2:15" x14ac:dyDescent="0.25">
      <c r="B29" s="2">
        <f t="shared" si="1"/>
        <v>22</v>
      </c>
      <c r="C29" s="1" t="s">
        <v>16</v>
      </c>
      <c r="D29" s="4"/>
      <c r="E29" s="5"/>
      <c r="F29" s="60"/>
      <c r="G29" s="61"/>
      <c r="H29" s="4"/>
      <c r="I29" s="5"/>
      <c r="J29" s="4"/>
      <c r="K29" s="5"/>
      <c r="L29" s="4"/>
      <c r="M29" s="4"/>
      <c r="N29" s="4"/>
      <c r="O29" s="5"/>
    </row>
    <row r="30" spans="2:15" x14ac:dyDescent="0.25">
      <c r="B30" s="2">
        <f t="shared" si="1"/>
        <v>23</v>
      </c>
      <c r="C30" s="1" t="s">
        <v>17</v>
      </c>
      <c r="D30" s="4"/>
      <c r="E30" s="5"/>
      <c r="F30" s="60"/>
      <c r="G30" s="61"/>
      <c r="H30" s="4"/>
      <c r="I30" s="5"/>
      <c r="J30" s="4"/>
      <c r="K30" s="5"/>
      <c r="L30" s="4"/>
      <c r="M30" s="4"/>
      <c r="N30" s="4"/>
      <c r="O30" s="5"/>
    </row>
    <row r="31" spans="2:15" x14ac:dyDescent="0.25">
      <c r="B31" s="2">
        <f t="shared" si="1"/>
        <v>24</v>
      </c>
      <c r="C31" s="1" t="s">
        <v>18</v>
      </c>
      <c r="D31" s="4"/>
      <c r="E31" s="5"/>
      <c r="F31" s="60"/>
      <c r="G31" s="61"/>
      <c r="H31" s="4"/>
      <c r="I31" s="5"/>
      <c r="J31" s="4"/>
      <c r="K31" s="5"/>
      <c r="L31" s="4"/>
      <c r="M31" s="4"/>
      <c r="N31" s="4"/>
      <c r="O31" s="5"/>
    </row>
    <row r="32" spans="2:15" x14ac:dyDescent="0.25">
      <c r="B32" s="2">
        <f t="shared" si="1"/>
        <v>25</v>
      </c>
      <c r="C32" s="1" t="s">
        <v>19</v>
      </c>
      <c r="D32" s="4"/>
      <c r="E32" s="5"/>
      <c r="F32" s="60"/>
      <c r="G32" s="61"/>
      <c r="H32" s="4"/>
      <c r="I32" s="5"/>
      <c r="J32" s="4"/>
      <c r="K32" s="5"/>
      <c r="L32" s="4"/>
      <c r="M32" s="4"/>
      <c r="N32" s="4"/>
      <c r="O32" s="5"/>
    </row>
    <row r="33" spans="2:15" x14ac:dyDescent="0.25">
      <c r="B33" s="2">
        <f t="shared" si="1"/>
        <v>26</v>
      </c>
      <c r="C33" s="1" t="s">
        <v>20</v>
      </c>
      <c r="D33" s="4"/>
      <c r="E33" s="5"/>
      <c r="F33" s="60"/>
      <c r="G33" s="61"/>
      <c r="H33" s="4"/>
      <c r="I33" s="5"/>
      <c r="J33" s="4"/>
      <c r="K33" s="5"/>
      <c r="L33" s="4"/>
      <c r="M33" s="4"/>
      <c r="N33" s="4"/>
      <c r="O33" s="5"/>
    </row>
    <row r="34" spans="2:15" x14ac:dyDescent="0.25">
      <c r="B34" s="2">
        <f t="shared" si="1"/>
        <v>27</v>
      </c>
      <c r="C34" s="1" t="s">
        <v>21</v>
      </c>
      <c r="D34" s="4"/>
      <c r="E34" s="5"/>
      <c r="F34" s="60"/>
      <c r="G34" s="61"/>
      <c r="H34" s="4"/>
      <c r="I34" s="5"/>
      <c r="J34" s="4"/>
      <c r="K34" s="5"/>
      <c r="L34" s="4"/>
      <c r="M34" s="4"/>
      <c r="N34" s="4"/>
      <c r="O34" s="5"/>
    </row>
    <row r="35" spans="2:15" x14ac:dyDescent="0.25">
      <c r="B35" s="2">
        <f t="shared" si="1"/>
        <v>28</v>
      </c>
      <c r="C35" s="1" t="s">
        <v>22</v>
      </c>
      <c r="D35" s="4"/>
      <c r="E35" s="5"/>
      <c r="F35" s="60"/>
      <c r="G35" s="61"/>
      <c r="H35" s="4"/>
      <c r="I35" s="5"/>
      <c r="J35" s="4"/>
      <c r="K35" s="5"/>
      <c r="L35" s="4"/>
      <c r="M35" s="4"/>
      <c r="N35" s="4"/>
      <c r="O35" s="5"/>
    </row>
    <row r="36" spans="2:15" x14ac:dyDescent="0.25">
      <c r="B36" s="2">
        <f t="shared" si="1"/>
        <v>29</v>
      </c>
      <c r="C36" s="1" t="s">
        <v>16</v>
      </c>
      <c r="D36" s="4"/>
      <c r="E36" s="5"/>
      <c r="F36" s="60"/>
      <c r="G36" s="61"/>
      <c r="H36" s="4"/>
      <c r="I36" s="5"/>
      <c r="J36" s="4"/>
      <c r="K36" s="5"/>
      <c r="L36" s="4"/>
      <c r="M36" s="4"/>
      <c r="N36" s="4"/>
      <c r="O36" s="5"/>
    </row>
    <row r="37" spans="2:15" x14ac:dyDescent="0.25">
      <c r="B37" s="2">
        <f t="shared" si="1"/>
        <v>30</v>
      </c>
      <c r="C37" s="1" t="s">
        <v>17</v>
      </c>
      <c r="D37" s="4"/>
      <c r="E37" s="5"/>
      <c r="F37" s="60"/>
      <c r="G37" s="61"/>
      <c r="H37" s="4"/>
      <c r="I37" s="5"/>
      <c r="J37" s="4"/>
      <c r="K37" s="5"/>
      <c r="L37" s="4"/>
      <c r="M37" s="4"/>
      <c r="N37" s="4"/>
      <c r="O37" s="5"/>
    </row>
    <row r="38" spans="2:15" x14ac:dyDescent="0.25">
      <c r="B38" s="2">
        <f t="shared" si="1"/>
        <v>31</v>
      </c>
      <c r="C38" s="1" t="s">
        <v>18</v>
      </c>
      <c r="D38" s="4"/>
      <c r="E38" s="5"/>
      <c r="F38" s="62"/>
      <c r="G38" s="63"/>
      <c r="H38" s="4"/>
      <c r="I38" s="5"/>
      <c r="J38" s="4"/>
      <c r="K38" s="5"/>
      <c r="L38" s="4"/>
      <c r="M38" s="4"/>
      <c r="N38" s="4"/>
      <c r="O38" s="5"/>
    </row>
    <row r="45" spans="2:15" x14ac:dyDescent="0.25">
      <c r="D45" t="s">
        <v>23</v>
      </c>
      <c r="E45">
        <v>0.6</v>
      </c>
    </row>
  </sheetData>
  <sheetProtection sheet="1" objects="1" scenarios="1"/>
  <mergeCells count="8">
    <mergeCell ref="F18:G38"/>
    <mergeCell ref="N6:O6"/>
    <mergeCell ref="L6:M6"/>
    <mergeCell ref="B6:C6"/>
    <mergeCell ref="D6:E6"/>
    <mergeCell ref="F6:G6"/>
    <mergeCell ref="H6:I6"/>
    <mergeCell ref="J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DƯƠNG ĐÔNG</vt:lpstr>
      <vt:lpstr>SUN</vt:lpstr>
      <vt:lpstr>VIN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2026-01-10T08:54:45Z</dcterms:created>
  <dcterms:modified xsi:type="dcterms:W3CDTF">2026-02-01T18:07:27Z</dcterms:modified>
</cp:coreProperties>
</file>