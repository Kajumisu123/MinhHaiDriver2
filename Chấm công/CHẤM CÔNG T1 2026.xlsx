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19B63038-5FB6-4BDC-89BF-2A3A4EB53131}" xr6:coauthVersionLast="47" xr6:coauthVersionMax="47" xr10:uidLastSave="{00000000-0000-0000-0000-000000000000}"/>
  <bookViews>
    <workbookView xWindow="-120" yWindow="-120" windowWidth="29040" windowHeight="15840" tabRatio="487" activeTab="1" xr2:uid="{5BB9A907-C889-48BA-A08B-CDCC7DB0058E}"/>
  </bookViews>
  <sheets>
    <sheet name="SUN" sheetId="1" r:id="rId1"/>
    <sheet name="VI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1" l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Y19" i="1"/>
  <c r="G19" i="1"/>
  <c r="Y18" i="1"/>
  <c r="G18" i="1"/>
  <c r="Y17" i="1"/>
  <c r="S18" i="1" l="1"/>
  <c r="Q19" i="1"/>
  <c r="S19" i="1"/>
  <c r="W19" i="1"/>
  <c r="Q20" i="1"/>
  <c r="S20" i="1"/>
  <c r="W20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O16" i="1"/>
  <c r="M16" i="1"/>
  <c r="K16" i="1"/>
  <c r="I16" i="1"/>
  <c r="G16" i="1"/>
  <c r="Y15" i="1"/>
  <c r="Q15" i="1"/>
  <c r="O15" i="1"/>
  <c r="M15" i="1"/>
  <c r="K15" i="1"/>
  <c r="I15" i="1"/>
  <c r="G15" i="1"/>
  <c r="Y14" i="1"/>
  <c r="U14" i="1"/>
  <c r="Q14" i="1"/>
  <c r="O14" i="1"/>
  <c r="M14" i="1"/>
  <c r="K14" i="1"/>
  <c r="I14" i="1"/>
  <c r="G14" i="1"/>
  <c r="G8" i="1"/>
  <c r="Y13" i="1"/>
  <c r="Q13" i="1"/>
  <c r="O13" i="1"/>
  <c r="M13" i="1"/>
  <c r="K13" i="1"/>
  <c r="I13" i="1"/>
  <c r="Y12" i="1"/>
  <c r="AA12" i="1"/>
  <c r="Q12" i="1"/>
  <c r="O12" i="1"/>
  <c r="K12" i="1"/>
  <c r="I12" i="1"/>
  <c r="I18" i="1"/>
  <c r="I19" i="1"/>
  <c r="I20" i="1"/>
  <c r="I21" i="1"/>
  <c r="I22" i="1"/>
  <c r="I23" i="1"/>
  <c r="I24" i="1"/>
  <c r="W11" i="1"/>
  <c r="AA11" i="1"/>
  <c r="S11" i="1"/>
  <c r="Q11" i="1"/>
  <c r="O11" i="1"/>
  <c r="O9" i="1"/>
  <c r="M11" i="1"/>
  <c r="K11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11" i="1"/>
  <c r="AA10" i="1"/>
  <c r="AA8" i="1"/>
  <c r="S10" i="1"/>
  <c r="Q10" i="1"/>
  <c r="M10" i="1"/>
  <c r="K10" i="1"/>
  <c r="I10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18" i="1" l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9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I9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W8" i="1"/>
  <c r="S8" i="1"/>
  <c r="Q8" i="1"/>
  <c r="O8" i="1"/>
  <c r="K8" i="1"/>
  <c r="I8" i="1"/>
  <c r="B9" i="1" l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E14" i="1"/>
</calcChain>
</file>

<file path=xl/sharedStrings.xml><?xml version="1.0" encoding="utf-8"?>
<sst xmlns="http://schemas.openxmlformats.org/spreadsheetml/2006/main" count="134" uniqueCount="36">
  <si>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</si>
  <si>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</si>
  <si>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</si>
  <si>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</si>
  <si>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</si>
  <si>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</si>
  <si>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</si>
  <si>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</si>
  <si>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</si>
  <si>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</si>
  <si>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</si>
  <si>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</si>
  <si>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</si>
  <si>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</si>
  <si>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</si>
  <si>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</si>
  <si>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</si>
  <si>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</si>
  <si>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</si>
  <si>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</si>
  <si>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</si>
  <si>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</si>
  <si>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</si>
  <si>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</si>
  <si>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</si>
  <si>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</si>
  <si>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</si>
  <si>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</si>
  <si>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</si>
  <si>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</si>
  <si>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</si>
  <si>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</si>
  <si>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</si>
  <si>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</si>
  <si>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</si>
  <si>
    <t>NGHỈ LUÔN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</si>
</sst>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5" borderId="2" xfId="0" applyNumberFormat="1" applyFont="1" applyFill="1" applyBorder="1" applyAlignment="1">
      <alignment horizontal="center"/>
    </xf>
    <xf numFmtId="3" fontId="2" fillId="5" borderId="3" xfId="0" applyNumberFormat="1" applyFont="1" applyFill="1" applyBorder="1" applyAlignment="1">
      <alignment horizontal="center"/>
    </xf>
    <xf numFmtId="3" fontId="6" fillId="9" borderId="4" xfId="0" applyNumberFormat="1" applyFont="1" applyFill="1" applyBorder="1" applyAlignment="1">
      <alignment horizontal="center" vertical="center"/>
    </xf>
    <xf numFmtId="3" fontId="6" fillId="9" borderId="5" xfId="0" applyNumberFormat="1" applyFont="1" applyFill="1" applyBorder="1" applyAlignment="1">
      <alignment horizontal="center" vertical="center"/>
    </xf>
    <xf numFmtId="3" fontId="6" fillId="9" borderId="6" xfId="0" applyNumberFormat="1" applyFont="1" applyFill="1" applyBorder="1" applyAlignment="1">
      <alignment horizontal="center" vertical="center"/>
    </xf>
    <xf numFmtId="3" fontId="6" fillId="9" borderId="7" xfId="0" applyNumberFormat="1" applyFont="1" applyFill="1" applyBorder="1" applyAlignment="1">
      <alignment horizontal="center" vertical="center"/>
    </xf>
    <xf numFmtId="3" fontId="6" fillId="9" borderId="8" xfId="0" applyNumberFormat="1" applyFont="1" applyFill="1" applyBorder="1" applyAlignment="1">
      <alignment horizontal="center" vertical="center"/>
    </xf>
    <xf numFmtId="3" fontId="6" fillId="9" borderId="9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  <sheetName val="12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5:AV45"/>
  <sheetViews>
    <sheetView zoomScaleNormal="100" workbookViewId="0">
      <pane xSplit="3" ySplit="7" topLeftCell="P8" activePane="bottomRight" state="frozen"/>
      <selection pane="topRight" activeCell="D1" sqref="D1"/>
      <selection pane="bottomLeft" activeCell="A8" sqref="A8"/>
      <selection pane="bottomRight" activeCell="B31" sqref="B31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48" hidden="1" x14ac:dyDescent="0.25"/>
    <row r="6" spans="2:48" ht="41.25" customHeight="1" x14ac:dyDescent="0.25">
      <c r="B6" s="13" t="s">
        <v>2</v>
      </c>
      <c r="C6" s="14"/>
      <c r="D6" s="15" t="s">
        <v>5</v>
      </c>
      <c r="E6" s="16"/>
      <c r="F6" s="15" t="s">
        <v>6</v>
      </c>
      <c r="G6" s="16"/>
      <c r="H6" s="15" t="s">
        <v>7</v>
      </c>
      <c r="I6" s="16"/>
      <c r="J6" s="15" t="s">
        <v>8</v>
      </c>
      <c r="K6" s="16"/>
      <c r="L6" s="15" t="s">
        <v>9</v>
      </c>
      <c r="M6" s="16"/>
      <c r="N6" s="15" t="s">
        <v>10</v>
      </c>
      <c r="O6" s="16"/>
      <c r="P6" s="15" t="s">
        <v>11</v>
      </c>
      <c r="Q6" s="16"/>
      <c r="R6" s="15" t="s">
        <v>12</v>
      </c>
      <c r="S6" s="16"/>
      <c r="T6" s="15" t="s">
        <v>13</v>
      </c>
      <c r="U6" s="16"/>
      <c r="V6" s="15" t="s">
        <v>14</v>
      </c>
      <c r="W6" s="16"/>
      <c r="X6" s="15" t="s">
        <v>15</v>
      </c>
      <c r="Y6" s="16"/>
      <c r="Z6" s="15" t="s">
        <v>24</v>
      </c>
      <c r="AA6" s="16"/>
      <c r="AB6" s="15" t="s">
        <v>25</v>
      </c>
      <c r="AC6" s="16"/>
      <c r="AV6" t="s">
        <v>33</v>
      </c>
    </row>
    <row r="7" spans="2:48" x14ac:dyDescent="0.25">
      <c r="B7" s="9" t="s">
        <v>3</v>
      </c>
      <c r="C7" s="9" t="s">
        <v>4</v>
      </c>
      <c r="D7" s="10" t="s">
        <v>0</v>
      </c>
      <c r="E7" s="10" t="s">
        <v>1</v>
      </c>
      <c r="F7" s="10" t="s">
        <v>0</v>
      </c>
      <c r="G7" s="10" t="s">
        <v>1</v>
      </c>
      <c r="H7" s="10" t="s">
        <v>0</v>
      </c>
      <c r="I7" s="10" t="s">
        <v>1</v>
      </c>
      <c r="J7" s="10" t="s">
        <v>0</v>
      </c>
      <c r="K7" s="10" t="s">
        <v>1</v>
      </c>
      <c r="L7" s="10" t="s">
        <v>0</v>
      </c>
      <c r="M7" s="10" t="s">
        <v>1</v>
      </c>
      <c r="N7" s="10" t="s">
        <v>0</v>
      </c>
      <c r="O7" s="10" t="s">
        <v>1</v>
      </c>
      <c r="P7" s="10" t="s">
        <v>0</v>
      </c>
      <c r="Q7" s="10" t="s">
        <v>1</v>
      </c>
      <c r="R7" s="10" t="s">
        <v>0</v>
      </c>
      <c r="S7" s="10" t="s">
        <v>1</v>
      </c>
      <c r="T7" s="10" t="s">
        <v>0</v>
      </c>
      <c r="U7" s="10" t="s">
        <v>1</v>
      </c>
      <c r="V7" s="10" t="s">
        <v>0</v>
      </c>
      <c r="W7" s="10" t="s">
        <v>1</v>
      </c>
      <c r="X7" s="10" t="s">
        <v>0</v>
      </c>
      <c r="Y7" s="10" t="s">
        <v>1</v>
      </c>
      <c r="Z7" s="2" t="s">
        <v>0</v>
      </c>
      <c r="AA7" s="2" t="s">
        <v>1</v>
      </c>
      <c r="AB7" s="2" t="s">
        <v>0</v>
      </c>
      <c r="AC7" s="2" t="s">
        <v>1</v>
      </c>
    </row>
    <row r="8" spans="2:48" x14ac:dyDescent="0.25">
      <c r="B8" s="2">
        <v>1</v>
      </c>
      <c r="C8" s="11" t="s">
        <v>16</v>
      </c>
      <c r="D8" s="5">
        <v>1940000</v>
      </c>
      <c r="E8" s="5">
        <v>660000</v>
      </c>
      <c r="F8" s="5">
        <v>1450000</v>
      </c>
      <c r="G8" s="5">
        <f>F8*$E$45</f>
        <v>870000</v>
      </c>
      <c r="H8" s="5">
        <v>1700000</v>
      </c>
      <c r="I8" s="5">
        <f>H8*$E$45</f>
        <v>1020000</v>
      </c>
      <c r="J8" s="5">
        <v>1955000</v>
      </c>
      <c r="K8" s="5">
        <f>J8*$E$45</f>
        <v>1173000</v>
      </c>
      <c r="L8" s="5">
        <v>1720000</v>
      </c>
      <c r="M8" s="5">
        <v>1030000</v>
      </c>
      <c r="N8" s="5">
        <v>1750000</v>
      </c>
      <c r="O8" s="5">
        <f>N8*$E$45</f>
        <v>1050000</v>
      </c>
      <c r="P8" s="5">
        <v>1750000</v>
      </c>
      <c r="Q8" s="5">
        <f>P8*$E$45</f>
        <v>1050000</v>
      </c>
      <c r="R8" s="5">
        <v>1710000</v>
      </c>
      <c r="S8" s="5">
        <f>R8*$E$45</f>
        <v>1026000</v>
      </c>
      <c r="T8" s="12"/>
      <c r="U8" s="12"/>
      <c r="V8" s="5">
        <v>3235000</v>
      </c>
      <c r="W8" s="5">
        <f>V8*$E$45</f>
        <v>1941000</v>
      </c>
      <c r="X8" s="12"/>
      <c r="Y8" s="12"/>
      <c r="Z8" s="5">
        <v>1760000</v>
      </c>
      <c r="AA8" s="5">
        <f>Z8*$E$45</f>
        <v>1056000</v>
      </c>
      <c r="AB8" s="5"/>
      <c r="AC8" s="5"/>
    </row>
    <row r="9" spans="2:48" x14ac:dyDescent="0.25">
      <c r="B9" s="2">
        <f>B8+1</f>
        <v>2</v>
      </c>
      <c r="C9" s="11" t="s">
        <v>17</v>
      </c>
      <c r="D9" s="5">
        <v>1720000</v>
      </c>
      <c r="E9" s="5">
        <v>1020000</v>
      </c>
      <c r="F9" s="5">
        <v>2080000</v>
      </c>
      <c r="G9" s="5">
        <v>1250000</v>
      </c>
      <c r="H9" s="5">
        <v>1760000</v>
      </c>
      <c r="I9" s="5">
        <f t="shared" ref="I9:I38" si="0">H9*$E$45</f>
        <v>1056000</v>
      </c>
      <c r="J9" s="5">
        <v>1975000</v>
      </c>
      <c r="K9" s="5">
        <f t="shared" ref="K9:K38" si="1">J9*$E$45</f>
        <v>1185000</v>
      </c>
      <c r="L9" s="5">
        <v>2050000</v>
      </c>
      <c r="M9" s="5">
        <f>L9*$E$45</f>
        <v>1230000</v>
      </c>
      <c r="N9" s="5">
        <v>2200000</v>
      </c>
      <c r="O9" s="5">
        <f t="shared" ref="O9:O38" si="2">N9*$E$45</f>
        <v>1320000</v>
      </c>
      <c r="P9" s="5">
        <v>1870000</v>
      </c>
      <c r="Q9" s="5">
        <f t="shared" ref="Q9:Q38" si="3">P9*$E$45</f>
        <v>1122000</v>
      </c>
      <c r="R9" s="5">
        <v>2130000</v>
      </c>
      <c r="S9" s="5">
        <f t="shared" ref="S9:S11" si="4">R9*$E$45</f>
        <v>1278000</v>
      </c>
      <c r="T9" s="5"/>
      <c r="U9" s="5"/>
      <c r="V9" s="5">
        <v>2080000</v>
      </c>
      <c r="W9" s="5">
        <v>1250000</v>
      </c>
      <c r="X9" s="5"/>
      <c r="Y9" s="5"/>
      <c r="Z9" s="5">
        <v>1730000</v>
      </c>
      <c r="AA9" s="5">
        <v>1080000</v>
      </c>
      <c r="AB9" s="5">
        <v>1150000</v>
      </c>
      <c r="AC9" s="5">
        <v>690000</v>
      </c>
    </row>
    <row r="10" spans="2:48" x14ac:dyDescent="0.25">
      <c r="B10" s="2">
        <f t="shared" ref="B10:B36" si="5">B9+1</f>
        <v>3</v>
      </c>
      <c r="C10" s="11" t="s">
        <v>18</v>
      </c>
      <c r="D10" s="5">
        <v>2420000</v>
      </c>
      <c r="E10" s="5">
        <v>1390000</v>
      </c>
      <c r="F10" s="5">
        <v>2080000</v>
      </c>
      <c r="G10" s="5">
        <v>1250000</v>
      </c>
      <c r="H10" s="5">
        <v>1850000</v>
      </c>
      <c r="I10" s="5">
        <f t="shared" si="0"/>
        <v>1110000</v>
      </c>
      <c r="J10" s="5">
        <v>2220000</v>
      </c>
      <c r="K10" s="5">
        <f t="shared" si="1"/>
        <v>1332000</v>
      </c>
      <c r="L10" s="5">
        <v>1880000</v>
      </c>
      <c r="M10" s="5">
        <f>L10*$E$45</f>
        <v>1128000</v>
      </c>
      <c r="N10" s="5">
        <v>2245000</v>
      </c>
      <c r="O10" s="5">
        <v>1392000</v>
      </c>
      <c r="P10" s="5">
        <v>1780000</v>
      </c>
      <c r="Q10" s="5">
        <f t="shared" si="3"/>
        <v>1068000</v>
      </c>
      <c r="R10" s="5">
        <v>2130000</v>
      </c>
      <c r="S10" s="5">
        <f t="shared" si="4"/>
        <v>1278000</v>
      </c>
      <c r="T10" s="5"/>
      <c r="U10" s="5"/>
      <c r="V10" s="5">
        <v>1880000</v>
      </c>
      <c r="W10" s="5">
        <v>1130000</v>
      </c>
      <c r="X10" s="5"/>
      <c r="Y10" s="5"/>
      <c r="Z10" s="5">
        <v>2245000</v>
      </c>
      <c r="AA10" s="5">
        <f>Z10*$E$45</f>
        <v>1347000</v>
      </c>
      <c r="AB10" s="5">
        <v>1710000</v>
      </c>
      <c r="AC10" s="5">
        <v>1020000</v>
      </c>
    </row>
    <row r="11" spans="2:48" x14ac:dyDescent="0.25">
      <c r="B11" s="2">
        <f t="shared" si="5"/>
        <v>4</v>
      </c>
      <c r="C11" s="11" t="s">
        <v>19</v>
      </c>
      <c r="D11" s="5">
        <v>2600000</v>
      </c>
      <c r="E11" s="5">
        <f>D11*$E$45</f>
        <v>1560000</v>
      </c>
      <c r="F11" s="5">
        <v>1790000</v>
      </c>
      <c r="G11" s="5">
        <v>1075000</v>
      </c>
      <c r="H11" s="5">
        <v>1270000</v>
      </c>
      <c r="I11" s="5">
        <v>850000</v>
      </c>
      <c r="J11" s="5">
        <v>2090000</v>
      </c>
      <c r="K11" s="5">
        <f t="shared" si="1"/>
        <v>1254000</v>
      </c>
      <c r="L11" s="5">
        <v>1900000</v>
      </c>
      <c r="M11" s="5">
        <f>L11*$E$45</f>
        <v>1140000</v>
      </c>
      <c r="N11" s="5">
        <v>2230000</v>
      </c>
      <c r="O11" s="5">
        <f t="shared" ref="O11:O16" si="6">N11*$E$45</f>
        <v>1338000</v>
      </c>
      <c r="P11" s="5">
        <v>2410000</v>
      </c>
      <c r="Q11" s="5">
        <f t="shared" si="3"/>
        <v>1446000</v>
      </c>
      <c r="R11" s="5">
        <v>1790000</v>
      </c>
      <c r="S11" s="5">
        <f t="shared" si="4"/>
        <v>1074000</v>
      </c>
      <c r="T11" s="5"/>
      <c r="U11" s="5"/>
      <c r="V11" s="5">
        <v>1920000</v>
      </c>
      <c r="W11" s="5">
        <f>V11*$E$45</f>
        <v>1152000</v>
      </c>
      <c r="X11" s="5"/>
      <c r="Y11" s="5"/>
      <c r="Z11" s="5">
        <v>1760000</v>
      </c>
      <c r="AA11" s="5">
        <f>Z11*$E$45</f>
        <v>1056000</v>
      </c>
      <c r="AB11" s="5"/>
      <c r="AC11" s="5">
        <f t="shared" ref="AA11:AC38" si="7">AB11*$E$45</f>
        <v>0</v>
      </c>
    </row>
    <row r="12" spans="2:48" x14ac:dyDescent="0.25">
      <c r="B12" s="2">
        <f t="shared" si="5"/>
        <v>5</v>
      </c>
      <c r="C12" s="11" t="s">
        <v>20</v>
      </c>
      <c r="D12" s="5">
        <v>2420000</v>
      </c>
      <c r="E12" s="5">
        <v>1450000</v>
      </c>
      <c r="F12" s="5">
        <v>1760000</v>
      </c>
      <c r="G12" s="5">
        <v>1060000</v>
      </c>
      <c r="H12" s="5">
        <v>2090000</v>
      </c>
      <c r="I12" s="5">
        <f>H12*$E$45</f>
        <v>1254000</v>
      </c>
      <c r="J12" s="5">
        <v>2100000</v>
      </c>
      <c r="K12" s="5">
        <f t="shared" si="1"/>
        <v>1260000</v>
      </c>
      <c r="L12" s="5">
        <v>1960000</v>
      </c>
      <c r="M12" s="5">
        <v>1180000</v>
      </c>
      <c r="N12" s="5">
        <v>2120000</v>
      </c>
      <c r="O12" s="5">
        <f t="shared" si="6"/>
        <v>1272000</v>
      </c>
      <c r="P12" s="5">
        <v>1900000</v>
      </c>
      <c r="Q12" s="5">
        <f t="shared" si="3"/>
        <v>1140000</v>
      </c>
      <c r="R12" s="5">
        <v>2002000</v>
      </c>
      <c r="S12" s="5">
        <v>1202000</v>
      </c>
      <c r="T12" s="5"/>
      <c r="U12" s="5"/>
      <c r="V12" s="5">
        <v>2410000</v>
      </c>
      <c r="W12" s="5">
        <v>1440000</v>
      </c>
      <c r="X12" s="5">
        <v>2250000</v>
      </c>
      <c r="Y12" s="5">
        <f t="shared" ref="Y12:Y19" si="8">X12*$E$45</f>
        <v>1350000</v>
      </c>
      <c r="Z12" s="5">
        <v>2080000</v>
      </c>
      <c r="AA12" s="5">
        <f>Z12*$E$45</f>
        <v>1248000</v>
      </c>
      <c r="AB12" s="5"/>
      <c r="AC12" s="5">
        <f t="shared" si="7"/>
        <v>0</v>
      </c>
    </row>
    <row r="13" spans="2:48" x14ac:dyDescent="0.25">
      <c r="B13" s="2">
        <f t="shared" si="5"/>
        <v>6</v>
      </c>
      <c r="C13" s="11" t="s">
        <v>21</v>
      </c>
      <c r="D13" s="5">
        <v>2600000</v>
      </c>
      <c r="E13" s="5">
        <v>1150000</v>
      </c>
      <c r="F13" s="5">
        <v>2270000</v>
      </c>
      <c r="G13" s="5">
        <v>1362000</v>
      </c>
      <c r="H13" s="5">
        <v>1770000</v>
      </c>
      <c r="I13" s="5">
        <f>H13*$E$45</f>
        <v>1062000</v>
      </c>
      <c r="J13" s="5">
        <v>2200000</v>
      </c>
      <c r="K13" s="5">
        <f t="shared" si="1"/>
        <v>1320000</v>
      </c>
      <c r="L13" s="5">
        <v>1830000</v>
      </c>
      <c r="M13" s="5">
        <f>L13*$E$45</f>
        <v>1098000</v>
      </c>
      <c r="N13" s="5">
        <v>1770000</v>
      </c>
      <c r="O13" s="5">
        <f t="shared" si="6"/>
        <v>1062000</v>
      </c>
      <c r="P13" s="5">
        <v>1720000</v>
      </c>
      <c r="Q13" s="5">
        <f t="shared" si="3"/>
        <v>1032000</v>
      </c>
      <c r="R13" s="5">
        <v>1720000</v>
      </c>
      <c r="S13" s="5">
        <v>1032000</v>
      </c>
      <c r="T13" s="5"/>
      <c r="U13" s="5"/>
      <c r="V13" s="5">
        <v>3616000</v>
      </c>
      <c r="W13" s="5">
        <v>2160000</v>
      </c>
      <c r="X13" s="5">
        <v>2300000</v>
      </c>
      <c r="Y13" s="5">
        <f t="shared" si="8"/>
        <v>1380000</v>
      </c>
      <c r="Z13" s="5">
        <v>1700000</v>
      </c>
      <c r="AA13" s="5">
        <v>850000</v>
      </c>
      <c r="AB13" s="5"/>
      <c r="AC13" s="5">
        <f t="shared" si="7"/>
        <v>0</v>
      </c>
    </row>
    <row r="14" spans="2:48" x14ac:dyDescent="0.25">
      <c r="B14" s="2">
        <f t="shared" si="5"/>
        <v>7</v>
      </c>
      <c r="C14" s="11" t="s">
        <v>22</v>
      </c>
      <c r="D14" s="5">
        <v>2000000</v>
      </c>
      <c r="E14" s="5">
        <f>[1]!Table145245678910[[#This Row],[THỰC LÃNH]]</f>
        <v>834000</v>
      </c>
      <c r="F14" s="5">
        <v>1720000</v>
      </c>
      <c r="G14" s="5">
        <f>F14*$E$45</f>
        <v>1032000</v>
      </c>
      <c r="H14" s="5">
        <v>1800000</v>
      </c>
      <c r="I14" s="5">
        <f>H14*$E$45</f>
        <v>1080000</v>
      </c>
      <c r="J14" s="5">
        <v>1760000</v>
      </c>
      <c r="K14" s="5">
        <f t="shared" si="1"/>
        <v>1056000</v>
      </c>
      <c r="L14" s="5">
        <v>2550000</v>
      </c>
      <c r="M14" s="5">
        <f>L14*$E$45</f>
        <v>1530000</v>
      </c>
      <c r="N14" s="5">
        <v>1930000</v>
      </c>
      <c r="O14" s="5">
        <f t="shared" si="6"/>
        <v>1158000</v>
      </c>
      <c r="P14" s="5">
        <v>2400000</v>
      </c>
      <c r="Q14" s="5">
        <f t="shared" si="3"/>
        <v>1440000</v>
      </c>
      <c r="R14" s="5">
        <v>1730000</v>
      </c>
      <c r="S14" s="5">
        <v>1038000</v>
      </c>
      <c r="T14" s="5">
        <v>1830000</v>
      </c>
      <c r="U14" s="5">
        <f>T14*$E$45</f>
        <v>1098000</v>
      </c>
      <c r="V14" s="5">
        <v>2230000</v>
      </c>
      <c r="W14" s="5">
        <v>1338000</v>
      </c>
      <c r="X14" s="5">
        <v>1800000</v>
      </c>
      <c r="Y14" s="5">
        <f t="shared" si="8"/>
        <v>1080000</v>
      </c>
      <c r="Z14" s="5"/>
      <c r="AA14" s="5">
        <f t="shared" si="7"/>
        <v>0</v>
      </c>
      <c r="AB14" s="5"/>
      <c r="AC14" s="5">
        <f t="shared" si="7"/>
        <v>0</v>
      </c>
    </row>
    <row r="15" spans="2:48" x14ac:dyDescent="0.25">
      <c r="B15" s="2">
        <f t="shared" si="5"/>
        <v>8</v>
      </c>
      <c r="C15" s="11" t="s">
        <v>16</v>
      </c>
      <c r="D15" s="5">
        <v>1710000</v>
      </c>
      <c r="E15" s="5">
        <v>1020000</v>
      </c>
      <c r="F15" s="5">
        <v>700000</v>
      </c>
      <c r="G15" s="5">
        <f>F15*$E$45</f>
        <v>420000</v>
      </c>
      <c r="H15" s="5">
        <v>1920000</v>
      </c>
      <c r="I15" s="5">
        <f>H15*$E$45</f>
        <v>1152000</v>
      </c>
      <c r="J15" s="5">
        <v>2010000</v>
      </c>
      <c r="K15" s="5">
        <f t="shared" si="1"/>
        <v>1206000</v>
      </c>
      <c r="L15" s="5">
        <v>1720000</v>
      </c>
      <c r="M15" s="5">
        <f>L15*$E$45</f>
        <v>1032000</v>
      </c>
      <c r="N15" s="5">
        <v>2080000</v>
      </c>
      <c r="O15" s="5">
        <f t="shared" si="6"/>
        <v>1248000</v>
      </c>
      <c r="P15" s="5">
        <v>1750000</v>
      </c>
      <c r="Q15" s="5">
        <f t="shared" si="3"/>
        <v>1050000</v>
      </c>
      <c r="R15" s="5">
        <v>1830000</v>
      </c>
      <c r="S15" s="5">
        <v>1098000</v>
      </c>
      <c r="T15" s="5">
        <v>1830000</v>
      </c>
      <c r="U15" s="5">
        <v>1116000</v>
      </c>
      <c r="V15" s="5">
        <v>2380000</v>
      </c>
      <c r="W15" s="5">
        <v>1428000</v>
      </c>
      <c r="X15" s="5">
        <v>3810000</v>
      </c>
      <c r="Y15" s="5">
        <f t="shared" si="8"/>
        <v>2286000</v>
      </c>
      <c r="Z15" s="5"/>
      <c r="AA15" s="5">
        <f t="shared" si="7"/>
        <v>0</v>
      </c>
      <c r="AB15" s="5"/>
      <c r="AC15" s="5">
        <f t="shared" si="7"/>
        <v>0</v>
      </c>
    </row>
    <row r="16" spans="2:48" ht="21" customHeight="1" x14ac:dyDescent="0.25">
      <c r="B16" s="2">
        <f t="shared" si="5"/>
        <v>9</v>
      </c>
      <c r="C16" s="11" t="s">
        <v>17</v>
      </c>
      <c r="D16" s="5">
        <v>1930000</v>
      </c>
      <c r="E16" s="5">
        <v>1150000</v>
      </c>
      <c r="F16" s="5">
        <v>1400000</v>
      </c>
      <c r="G16" s="5">
        <f>F16*$E$45</f>
        <v>840000</v>
      </c>
      <c r="H16" s="5">
        <v>3310000</v>
      </c>
      <c r="I16" s="5">
        <f>H16*$E$45</f>
        <v>1986000</v>
      </c>
      <c r="J16" s="5">
        <v>1810000</v>
      </c>
      <c r="K16" s="5">
        <f t="shared" si="1"/>
        <v>1086000</v>
      </c>
      <c r="L16" s="5">
        <v>2360000</v>
      </c>
      <c r="M16" s="5">
        <f>L16*$E$45</f>
        <v>1416000</v>
      </c>
      <c r="N16" s="5">
        <v>1390000</v>
      </c>
      <c r="O16" s="5">
        <f t="shared" si="6"/>
        <v>834000</v>
      </c>
      <c r="P16" s="5">
        <v>1400000</v>
      </c>
      <c r="Q16" s="5">
        <f t="shared" si="3"/>
        <v>840000</v>
      </c>
      <c r="R16" s="17" t="s">
        <v>26</v>
      </c>
      <c r="S16" s="17"/>
      <c r="T16" s="5">
        <v>1740000</v>
      </c>
      <c r="U16" s="5">
        <v>1044000</v>
      </c>
      <c r="V16" s="5">
        <v>1750000</v>
      </c>
      <c r="W16" s="5">
        <v>1050000</v>
      </c>
      <c r="X16" s="5">
        <v>1510000</v>
      </c>
      <c r="Y16" s="5">
        <f t="shared" si="8"/>
        <v>906000</v>
      </c>
      <c r="Z16" s="5"/>
      <c r="AA16" s="5">
        <f t="shared" si="7"/>
        <v>0</v>
      </c>
      <c r="AB16" s="5"/>
      <c r="AC16" s="5">
        <f t="shared" si="7"/>
        <v>0</v>
      </c>
    </row>
    <row r="17" spans="2:29" x14ac:dyDescent="0.25">
      <c r="B17" s="2">
        <f t="shared" si="5"/>
        <v>10</v>
      </c>
      <c r="C17" s="11" t="s">
        <v>18</v>
      </c>
      <c r="D17" s="5">
        <v>2060000</v>
      </c>
      <c r="E17" s="5">
        <v>1230000</v>
      </c>
      <c r="F17" s="5">
        <v>1810000</v>
      </c>
      <c r="G17" s="5">
        <v>1086000</v>
      </c>
      <c r="H17" s="5">
        <v>2980000</v>
      </c>
      <c r="I17" s="5">
        <v>1788000</v>
      </c>
      <c r="J17" s="5">
        <v>1630000</v>
      </c>
      <c r="K17" s="5">
        <v>978000</v>
      </c>
      <c r="L17" s="5">
        <v>1960000</v>
      </c>
      <c r="M17" s="5">
        <v>1176000</v>
      </c>
      <c r="N17" s="5">
        <v>3249000</v>
      </c>
      <c r="O17" s="5">
        <v>1950000</v>
      </c>
      <c r="P17" s="5">
        <v>1800000</v>
      </c>
      <c r="Q17" s="5">
        <v>1080000</v>
      </c>
      <c r="R17" s="5">
        <v>1950000</v>
      </c>
      <c r="S17" s="5">
        <v>1170000</v>
      </c>
      <c r="T17" s="5">
        <v>1780000</v>
      </c>
      <c r="U17" s="5">
        <v>1068000</v>
      </c>
      <c r="V17" s="5">
        <v>2110000</v>
      </c>
      <c r="W17" s="5">
        <v>1260000</v>
      </c>
      <c r="X17" s="5">
        <v>700000</v>
      </c>
      <c r="Y17" s="5">
        <f t="shared" si="8"/>
        <v>420000</v>
      </c>
      <c r="Z17" s="5"/>
      <c r="AA17" s="5">
        <f t="shared" si="7"/>
        <v>0</v>
      </c>
      <c r="AB17" s="5"/>
      <c r="AC17" s="5">
        <f t="shared" si="7"/>
        <v>0</v>
      </c>
    </row>
    <row r="18" spans="2:29" x14ac:dyDescent="0.25">
      <c r="B18" s="2">
        <f t="shared" si="5"/>
        <v>11</v>
      </c>
      <c r="C18" s="11" t="s">
        <v>19</v>
      </c>
      <c r="D18" s="5">
        <v>1800000</v>
      </c>
      <c r="E18" s="5">
        <v>1080000</v>
      </c>
      <c r="F18" s="5">
        <v>2400000</v>
      </c>
      <c r="G18" s="5">
        <f>F18*$E$45</f>
        <v>1440000</v>
      </c>
      <c r="H18" s="5">
        <v>2910000</v>
      </c>
      <c r="I18" s="5">
        <f t="shared" si="0"/>
        <v>1746000</v>
      </c>
      <c r="J18" s="5">
        <v>2050000</v>
      </c>
      <c r="K18" s="5">
        <f t="shared" si="1"/>
        <v>1230000</v>
      </c>
      <c r="L18" s="5">
        <v>1950000</v>
      </c>
      <c r="M18" s="5">
        <v>1170000</v>
      </c>
      <c r="N18" s="5">
        <v>1710000</v>
      </c>
      <c r="O18" s="5">
        <f t="shared" si="2"/>
        <v>1026000</v>
      </c>
      <c r="P18" s="5">
        <v>1830000</v>
      </c>
      <c r="Q18" s="5">
        <v>1100000</v>
      </c>
      <c r="R18" s="5">
        <v>1830000</v>
      </c>
      <c r="S18" s="5">
        <f t="shared" ref="S18:S38" si="9">R18*$E$45</f>
        <v>1098000</v>
      </c>
      <c r="T18" s="5">
        <v>1700000</v>
      </c>
      <c r="U18" s="5">
        <v>1020000</v>
      </c>
      <c r="V18" s="5">
        <v>2090000</v>
      </c>
      <c r="W18" s="5">
        <v>1260000</v>
      </c>
      <c r="X18" s="5">
        <v>2750000</v>
      </c>
      <c r="Y18" s="5">
        <f t="shared" si="8"/>
        <v>1650000</v>
      </c>
      <c r="Z18" s="5"/>
      <c r="AA18" s="5">
        <f t="shared" si="7"/>
        <v>0</v>
      </c>
      <c r="AB18" s="5"/>
      <c r="AC18" s="5">
        <f t="shared" si="7"/>
        <v>0</v>
      </c>
    </row>
    <row r="19" spans="2:29" x14ac:dyDescent="0.25">
      <c r="B19" s="2">
        <f t="shared" si="5"/>
        <v>12</v>
      </c>
      <c r="C19" s="11" t="s">
        <v>20</v>
      </c>
      <c r="D19" s="5">
        <v>3000000</v>
      </c>
      <c r="E19" s="5">
        <v>1800000</v>
      </c>
      <c r="F19" s="5">
        <v>1940000</v>
      </c>
      <c r="G19" s="5">
        <f>F19*$E$45</f>
        <v>1164000</v>
      </c>
      <c r="H19" s="5">
        <v>2770000</v>
      </c>
      <c r="I19" s="5">
        <f t="shared" si="0"/>
        <v>1662000</v>
      </c>
      <c r="J19" s="5">
        <v>2140000</v>
      </c>
      <c r="K19" s="5">
        <f t="shared" si="1"/>
        <v>1284000</v>
      </c>
      <c r="L19" s="5">
        <v>2520000</v>
      </c>
      <c r="M19" s="5">
        <v>1512000</v>
      </c>
      <c r="N19" s="5">
        <v>2360000</v>
      </c>
      <c r="O19" s="5">
        <f t="shared" si="2"/>
        <v>1416000</v>
      </c>
      <c r="P19" s="5">
        <v>1780000</v>
      </c>
      <c r="Q19" s="5">
        <f t="shared" si="3"/>
        <v>1068000</v>
      </c>
      <c r="R19" s="5">
        <v>1990000</v>
      </c>
      <c r="S19" s="5">
        <f t="shared" si="9"/>
        <v>1194000</v>
      </c>
      <c r="T19" s="5">
        <v>1000000</v>
      </c>
      <c r="U19" s="5">
        <v>600000</v>
      </c>
      <c r="V19" s="5">
        <v>2050000</v>
      </c>
      <c r="W19" s="5">
        <f t="shared" ref="W19:W38" si="10">V19*$E$45</f>
        <v>1230000</v>
      </c>
      <c r="X19" s="5">
        <v>3500000</v>
      </c>
      <c r="Y19" s="5">
        <f t="shared" si="8"/>
        <v>2100000</v>
      </c>
      <c r="Z19" s="5"/>
      <c r="AA19" s="5">
        <f t="shared" si="7"/>
        <v>0</v>
      </c>
      <c r="AB19" s="5"/>
      <c r="AC19" s="5">
        <f t="shared" si="7"/>
        <v>0</v>
      </c>
    </row>
    <row r="20" spans="2:29" x14ac:dyDescent="0.25">
      <c r="B20" s="2">
        <f t="shared" si="5"/>
        <v>13</v>
      </c>
      <c r="C20" s="11" t="s">
        <v>21</v>
      </c>
      <c r="D20" s="4"/>
      <c r="E20" s="5">
        <f t="shared" ref="E20:E38" si="11">D20*$E$45</f>
        <v>0</v>
      </c>
      <c r="F20" s="4"/>
      <c r="G20" s="5">
        <f t="shared" ref="G20:G38" si="12">F20*$E$45</f>
        <v>0</v>
      </c>
      <c r="H20" s="4"/>
      <c r="I20" s="5">
        <f t="shared" si="0"/>
        <v>0</v>
      </c>
      <c r="J20" s="4"/>
      <c r="K20" s="5">
        <f t="shared" si="1"/>
        <v>0</v>
      </c>
      <c r="L20" s="4"/>
      <c r="M20" s="4"/>
      <c r="N20" s="4"/>
      <c r="O20" s="5">
        <f t="shared" si="2"/>
        <v>0</v>
      </c>
      <c r="P20" s="4"/>
      <c r="Q20" s="5">
        <f t="shared" si="3"/>
        <v>0</v>
      </c>
      <c r="R20" s="4"/>
      <c r="S20" s="5">
        <f t="shared" si="9"/>
        <v>0</v>
      </c>
      <c r="T20" s="4"/>
      <c r="U20" s="4"/>
      <c r="V20" s="4"/>
      <c r="W20" s="5">
        <f t="shared" si="10"/>
        <v>0</v>
      </c>
      <c r="X20" s="4"/>
      <c r="Y20" s="4"/>
      <c r="Z20" s="4"/>
      <c r="AA20" s="5">
        <f t="shared" si="7"/>
        <v>0</v>
      </c>
      <c r="AB20" s="4"/>
      <c r="AC20" s="5">
        <f t="shared" si="7"/>
        <v>0</v>
      </c>
    </row>
    <row r="21" spans="2:29" x14ac:dyDescent="0.25">
      <c r="B21" s="2">
        <f t="shared" si="5"/>
        <v>14</v>
      </c>
      <c r="C21" s="11" t="s">
        <v>22</v>
      </c>
      <c r="D21" s="4"/>
      <c r="E21" s="5">
        <f t="shared" si="11"/>
        <v>0</v>
      </c>
      <c r="F21" s="4"/>
      <c r="G21" s="5">
        <f t="shared" si="12"/>
        <v>0</v>
      </c>
      <c r="H21" s="4"/>
      <c r="I21" s="5">
        <f t="shared" si="0"/>
        <v>0</v>
      </c>
      <c r="J21" s="4"/>
      <c r="K21" s="5">
        <f t="shared" si="1"/>
        <v>0</v>
      </c>
      <c r="L21" s="4"/>
      <c r="M21" s="4"/>
      <c r="N21" s="4"/>
      <c r="O21" s="5">
        <f t="shared" si="2"/>
        <v>0</v>
      </c>
      <c r="P21" s="4"/>
      <c r="Q21" s="5">
        <f t="shared" si="3"/>
        <v>0</v>
      </c>
      <c r="R21" s="4"/>
      <c r="S21" s="5">
        <f t="shared" si="9"/>
        <v>0</v>
      </c>
      <c r="T21" s="4"/>
      <c r="U21" s="4"/>
      <c r="V21" s="4"/>
      <c r="W21" s="5">
        <f t="shared" si="10"/>
        <v>0</v>
      </c>
      <c r="X21" s="4"/>
      <c r="Y21" s="4"/>
      <c r="Z21" s="4"/>
      <c r="AA21" s="5">
        <f t="shared" si="7"/>
        <v>0</v>
      </c>
      <c r="AB21" s="4"/>
      <c r="AC21" s="5">
        <f t="shared" si="7"/>
        <v>0</v>
      </c>
    </row>
    <row r="22" spans="2:29" x14ac:dyDescent="0.25">
      <c r="B22" s="2">
        <f t="shared" si="5"/>
        <v>15</v>
      </c>
      <c r="C22" s="11" t="s">
        <v>16</v>
      </c>
      <c r="D22" s="4"/>
      <c r="E22" s="5">
        <f t="shared" si="11"/>
        <v>0</v>
      </c>
      <c r="F22" s="4"/>
      <c r="G22" s="5">
        <f t="shared" si="12"/>
        <v>0</v>
      </c>
      <c r="H22" s="4"/>
      <c r="I22" s="5">
        <f t="shared" si="0"/>
        <v>0</v>
      </c>
      <c r="J22" s="4"/>
      <c r="K22" s="5">
        <f t="shared" si="1"/>
        <v>0</v>
      </c>
      <c r="L22" s="4"/>
      <c r="M22" s="4"/>
      <c r="N22" s="4"/>
      <c r="O22" s="5">
        <f t="shared" si="2"/>
        <v>0</v>
      </c>
      <c r="P22" s="4"/>
      <c r="Q22" s="5">
        <f t="shared" si="3"/>
        <v>0</v>
      </c>
      <c r="R22" s="4"/>
      <c r="S22" s="5">
        <f t="shared" si="9"/>
        <v>0</v>
      </c>
      <c r="T22" s="4"/>
      <c r="U22" s="4"/>
      <c r="V22" s="4"/>
      <c r="W22" s="5">
        <f t="shared" si="10"/>
        <v>0</v>
      </c>
      <c r="X22" s="4"/>
      <c r="Y22" s="4"/>
      <c r="Z22" s="4"/>
      <c r="AA22" s="5">
        <f t="shared" si="7"/>
        <v>0</v>
      </c>
      <c r="AB22" s="4"/>
      <c r="AC22" s="5">
        <f t="shared" si="7"/>
        <v>0</v>
      </c>
    </row>
    <row r="23" spans="2:29" x14ac:dyDescent="0.25">
      <c r="B23" s="2">
        <f t="shared" si="5"/>
        <v>16</v>
      </c>
      <c r="C23" s="11" t="s">
        <v>17</v>
      </c>
      <c r="D23" s="4"/>
      <c r="E23" s="5">
        <f t="shared" si="11"/>
        <v>0</v>
      </c>
      <c r="F23" s="4"/>
      <c r="G23" s="5">
        <f t="shared" si="12"/>
        <v>0</v>
      </c>
      <c r="H23" s="4"/>
      <c r="I23" s="5">
        <f t="shared" si="0"/>
        <v>0</v>
      </c>
      <c r="J23" s="4"/>
      <c r="K23" s="5">
        <f t="shared" si="1"/>
        <v>0</v>
      </c>
      <c r="L23" s="4"/>
      <c r="M23" s="4"/>
      <c r="N23" s="4"/>
      <c r="O23" s="5">
        <f t="shared" si="2"/>
        <v>0</v>
      </c>
      <c r="P23" s="4"/>
      <c r="Q23" s="5">
        <f t="shared" si="3"/>
        <v>0</v>
      </c>
      <c r="R23" s="4"/>
      <c r="S23" s="5">
        <f t="shared" si="9"/>
        <v>0</v>
      </c>
      <c r="T23" s="4"/>
      <c r="U23" s="4"/>
      <c r="V23" s="4"/>
      <c r="W23" s="5">
        <f t="shared" si="10"/>
        <v>0</v>
      </c>
      <c r="X23" s="4"/>
      <c r="Y23" s="4"/>
      <c r="Z23" s="4"/>
      <c r="AA23" s="5">
        <f t="shared" si="7"/>
        <v>0</v>
      </c>
      <c r="AB23" s="4"/>
      <c r="AC23" s="5">
        <f t="shared" si="7"/>
        <v>0</v>
      </c>
    </row>
    <row r="24" spans="2:29" x14ac:dyDescent="0.25">
      <c r="B24" s="2">
        <f t="shared" si="5"/>
        <v>17</v>
      </c>
      <c r="C24" s="11" t="s">
        <v>18</v>
      </c>
      <c r="D24" s="4"/>
      <c r="E24" s="5">
        <f t="shared" si="11"/>
        <v>0</v>
      </c>
      <c r="F24" s="4"/>
      <c r="G24" s="5">
        <f t="shared" si="12"/>
        <v>0</v>
      </c>
      <c r="H24" s="4"/>
      <c r="I24" s="5">
        <f t="shared" si="0"/>
        <v>0</v>
      </c>
      <c r="J24" s="4"/>
      <c r="K24" s="5">
        <f t="shared" si="1"/>
        <v>0</v>
      </c>
      <c r="L24" s="4"/>
      <c r="M24" s="4"/>
      <c r="N24" s="4"/>
      <c r="O24" s="5">
        <f t="shared" si="2"/>
        <v>0</v>
      </c>
      <c r="P24" s="4"/>
      <c r="Q24" s="5">
        <f t="shared" si="3"/>
        <v>0</v>
      </c>
      <c r="R24" s="4"/>
      <c r="S24" s="5">
        <f t="shared" si="9"/>
        <v>0</v>
      </c>
      <c r="T24" s="4"/>
      <c r="U24" s="4"/>
      <c r="V24" s="4"/>
      <c r="W24" s="5">
        <f t="shared" si="10"/>
        <v>0</v>
      </c>
      <c r="X24" s="4"/>
      <c r="Y24" s="4"/>
      <c r="Z24" s="4"/>
      <c r="AA24" s="5">
        <f t="shared" si="7"/>
        <v>0</v>
      </c>
      <c r="AB24" s="4"/>
      <c r="AC24" s="5">
        <f t="shared" si="7"/>
        <v>0</v>
      </c>
    </row>
    <row r="25" spans="2:29" x14ac:dyDescent="0.25">
      <c r="B25" s="2">
        <f t="shared" si="5"/>
        <v>18</v>
      </c>
      <c r="C25" s="11" t="s">
        <v>19</v>
      </c>
      <c r="D25" s="4"/>
      <c r="E25" s="5">
        <f t="shared" si="11"/>
        <v>0</v>
      </c>
      <c r="F25" s="4"/>
      <c r="G25" s="5">
        <f t="shared" si="12"/>
        <v>0</v>
      </c>
      <c r="H25" s="4"/>
      <c r="I25" s="5">
        <f t="shared" si="0"/>
        <v>0</v>
      </c>
      <c r="J25" s="4"/>
      <c r="K25" s="5">
        <f t="shared" si="1"/>
        <v>0</v>
      </c>
      <c r="L25" s="4"/>
      <c r="M25" s="4"/>
      <c r="N25" s="4"/>
      <c r="O25" s="5">
        <f t="shared" si="2"/>
        <v>0</v>
      </c>
      <c r="P25" s="4"/>
      <c r="Q25" s="5">
        <f t="shared" si="3"/>
        <v>0</v>
      </c>
      <c r="R25" s="4"/>
      <c r="S25" s="5">
        <f t="shared" si="9"/>
        <v>0</v>
      </c>
      <c r="T25" s="4"/>
      <c r="U25" s="4"/>
      <c r="V25" s="4"/>
      <c r="W25" s="5">
        <f t="shared" si="10"/>
        <v>0</v>
      </c>
      <c r="X25" s="4"/>
      <c r="Y25" s="4"/>
      <c r="Z25" s="4"/>
      <c r="AA25" s="5">
        <f t="shared" si="7"/>
        <v>0</v>
      </c>
      <c r="AB25" s="4"/>
      <c r="AC25" s="5">
        <f t="shared" si="7"/>
        <v>0</v>
      </c>
    </row>
    <row r="26" spans="2:29" x14ac:dyDescent="0.25">
      <c r="B26" s="2">
        <f t="shared" si="5"/>
        <v>19</v>
      </c>
      <c r="C26" s="11" t="s">
        <v>20</v>
      </c>
      <c r="D26" s="4"/>
      <c r="E26" s="5">
        <f t="shared" si="11"/>
        <v>0</v>
      </c>
      <c r="F26" s="4"/>
      <c r="G26" s="5">
        <f t="shared" si="12"/>
        <v>0</v>
      </c>
      <c r="H26" s="4"/>
      <c r="I26" s="5">
        <f t="shared" si="0"/>
        <v>0</v>
      </c>
      <c r="J26" s="4"/>
      <c r="K26" s="5">
        <f t="shared" si="1"/>
        <v>0</v>
      </c>
      <c r="L26" s="4"/>
      <c r="M26" s="4"/>
      <c r="N26" s="4"/>
      <c r="O26" s="5">
        <f t="shared" si="2"/>
        <v>0</v>
      </c>
      <c r="P26" s="4"/>
      <c r="Q26" s="5">
        <f t="shared" si="3"/>
        <v>0</v>
      </c>
      <c r="R26" s="4"/>
      <c r="S26" s="5">
        <f t="shared" si="9"/>
        <v>0</v>
      </c>
      <c r="T26" s="4"/>
      <c r="U26" s="4"/>
      <c r="V26" s="4"/>
      <c r="W26" s="5">
        <f t="shared" si="10"/>
        <v>0</v>
      </c>
      <c r="X26" s="4"/>
      <c r="Y26" s="4"/>
      <c r="Z26" s="4"/>
      <c r="AA26" s="5">
        <f t="shared" si="7"/>
        <v>0</v>
      </c>
      <c r="AB26" s="4"/>
      <c r="AC26" s="5">
        <f t="shared" si="7"/>
        <v>0</v>
      </c>
    </row>
    <row r="27" spans="2:29" x14ac:dyDescent="0.25">
      <c r="B27" s="2">
        <f t="shared" si="5"/>
        <v>20</v>
      </c>
      <c r="C27" s="11" t="s">
        <v>21</v>
      </c>
      <c r="D27" s="4"/>
      <c r="E27" s="5">
        <f t="shared" si="11"/>
        <v>0</v>
      </c>
      <c r="F27" s="4"/>
      <c r="G27" s="5">
        <f t="shared" si="12"/>
        <v>0</v>
      </c>
      <c r="H27" s="4"/>
      <c r="I27" s="5">
        <f t="shared" si="0"/>
        <v>0</v>
      </c>
      <c r="J27" s="4"/>
      <c r="K27" s="5">
        <f t="shared" si="1"/>
        <v>0</v>
      </c>
      <c r="L27" s="4"/>
      <c r="M27" s="4"/>
      <c r="N27" s="4"/>
      <c r="O27" s="5">
        <f t="shared" si="2"/>
        <v>0</v>
      </c>
      <c r="P27" s="4"/>
      <c r="Q27" s="5">
        <f t="shared" si="3"/>
        <v>0</v>
      </c>
      <c r="R27" s="4"/>
      <c r="S27" s="5">
        <f t="shared" si="9"/>
        <v>0</v>
      </c>
      <c r="T27" s="4"/>
      <c r="U27" s="4"/>
      <c r="V27" s="4"/>
      <c r="W27" s="5">
        <f t="shared" si="10"/>
        <v>0</v>
      </c>
      <c r="X27" s="4"/>
      <c r="Y27" s="4"/>
      <c r="Z27" s="4"/>
      <c r="AA27" s="5">
        <f t="shared" si="7"/>
        <v>0</v>
      </c>
      <c r="AB27" s="4"/>
      <c r="AC27" s="5">
        <f t="shared" si="7"/>
        <v>0</v>
      </c>
    </row>
    <row r="28" spans="2:29" x14ac:dyDescent="0.25">
      <c r="B28" s="2">
        <f t="shared" si="5"/>
        <v>21</v>
      </c>
      <c r="C28" s="11" t="s">
        <v>22</v>
      </c>
      <c r="D28" s="4"/>
      <c r="E28" s="5">
        <f t="shared" si="11"/>
        <v>0</v>
      </c>
      <c r="F28" s="4"/>
      <c r="G28" s="5">
        <f t="shared" si="12"/>
        <v>0</v>
      </c>
      <c r="H28" s="4"/>
      <c r="I28" s="5">
        <f t="shared" si="0"/>
        <v>0</v>
      </c>
      <c r="J28" s="4"/>
      <c r="K28" s="5">
        <f t="shared" si="1"/>
        <v>0</v>
      </c>
      <c r="L28" s="4"/>
      <c r="M28" s="4"/>
      <c r="N28" s="4"/>
      <c r="O28" s="5">
        <f t="shared" si="2"/>
        <v>0</v>
      </c>
      <c r="P28" s="4"/>
      <c r="Q28" s="5">
        <f t="shared" si="3"/>
        <v>0</v>
      </c>
      <c r="R28" s="4"/>
      <c r="S28" s="5">
        <f t="shared" si="9"/>
        <v>0</v>
      </c>
      <c r="T28" s="4"/>
      <c r="U28" s="4"/>
      <c r="V28" s="4"/>
      <c r="W28" s="5">
        <f t="shared" si="10"/>
        <v>0</v>
      </c>
      <c r="X28" s="4"/>
      <c r="Y28" s="4"/>
      <c r="Z28" s="4"/>
      <c r="AA28" s="5">
        <f t="shared" si="7"/>
        <v>0</v>
      </c>
      <c r="AB28" s="4"/>
      <c r="AC28" s="5">
        <f t="shared" si="7"/>
        <v>0</v>
      </c>
    </row>
    <row r="29" spans="2:29" x14ac:dyDescent="0.25">
      <c r="B29" s="2">
        <f t="shared" si="5"/>
        <v>22</v>
      </c>
      <c r="C29" s="11" t="s">
        <v>16</v>
      </c>
      <c r="D29" s="4"/>
      <c r="E29" s="5">
        <f t="shared" si="11"/>
        <v>0</v>
      </c>
      <c r="F29" s="4"/>
      <c r="G29" s="5">
        <f t="shared" si="12"/>
        <v>0</v>
      </c>
      <c r="H29" s="4"/>
      <c r="I29" s="5">
        <f t="shared" si="0"/>
        <v>0</v>
      </c>
      <c r="J29" s="4"/>
      <c r="K29" s="5">
        <f t="shared" si="1"/>
        <v>0</v>
      </c>
      <c r="L29" s="4"/>
      <c r="M29" s="4"/>
      <c r="N29" s="4"/>
      <c r="O29" s="5">
        <f t="shared" si="2"/>
        <v>0</v>
      </c>
      <c r="P29" s="4"/>
      <c r="Q29" s="5">
        <f t="shared" si="3"/>
        <v>0</v>
      </c>
      <c r="R29" s="4"/>
      <c r="S29" s="5">
        <f t="shared" si="9"/>
        <v>0</v>
      </c>
      <c r="T29" s="4"/>
      <c r="U29" s="4"/>
      <c r="V29" s="4"/>
      <c r="W29" s="5">
        <f t="shared" si="10"/>
        <v>0</v>
      </c>
      <c r="X29" s="4"/>
      <c r="Y29" s="4"/>
      <c r="Z29" s="4"/>
      <c r="AA29" s="5">
        <f t="shared" si="7"/>
        <v>0</v>
      </c>
      <c r="AB29" s="4"/>
      <c r="AC29" s="5">
        <f t="shared" si="7"/>
        <v>0</v>
      </c>
    </row>
    <row r="30" spans="2:29" x14ac:dyDescent="0.25">
      <c r="B30" s="2">
        <f t="shared" si="5"/>
        <v>23</v>
      </c>
      <c r="C30" s="11" t="s">
        <v>17</v>
      </c>
      <c r="D30" s="4"/>
      <c r="E30" s="5">
        <f t="shared" si="11"/>
        <v>0</v>
      </c>
      <c r="F30" s="4"/>
      <c r="G30" s="5">
        <f t="shared" si="12"/>
        <v>0</v>
      </c>
      <c r="H30" s="4"/>
      <c r="I30" s="5">
        <f t="shared" si="0"/>
        <v>0</v>
      </c>
      <c r="J30" s="4"/>
      <c r="K30" s="5">
        <f t="shared" si="1"/>
        <v>0</v>
      </c>
      <c r="L30" s="4"/>
      <c r="M30" s="4"/>
      <c r="N30" s="4"/>
      <c r="O30" s="5">
        <f t="shared" si="2"/>
        <v>0</v>
      </c>
      <c r="P30" s="4"/>
      <c r="Q30" s="5">
        <f t="shared" si="3"/>
        <v>0</v>
      </c>
      <c r="R30" s="4"/>
      <c r="S30" s="5">
        <f t="shared" si="9"/>
        <v>0</v>
      </c>
      <c r="T30" s="4"/>
      <c r="U30" s="4"/>
      <c r="V30" s="4"/>
      <c r="W30" s="5">
        <f t="shared" si="10"/>
        <v>0</v>
      </c>
      <c r="X30" s="4"/>
      <c r="Y30" s="4"/>
      <c r="Z30" s="4"/>
      <c r="AA30" s="5">
        <f t="shared" si="7"/>
        <v>0</v>
      </c>
      <c r="AB30" s="4"/>
      <c r="AC30" s="5">
        <f t="shared" si="7"/>
        <v>0</v>
      </c>
    </row>
    <row r="31" spans="2:29" x14ac:dyDescent="0.25">
      <c r="B31" s="2">
        <f t="shared" si="5"/>
        <v>24</v>
      </c>
      <c r="C31" s="11" t="s">
        <v>18</v>
      </c>
      <c r="D31" s="4"/>
      <c r="E31" s="5">
        <f t="shared" si="11"/>
        <v>0</v>
      </c>
      <c r="F31" s="4"/>
      <c r="G31" s="5">
        <f t="shared" si="12"/>
        <v>0</v>
      </c>
      <c r="H31" s="4"/>
      <c r="I31" s="5">
        <f t="shared" si="0"/>
        <v>0</v>
      </c>
      <c r="J31" s="4"/>
      <c r="K31" s="5">
        <f t="shared" si="1"/>
        <v>0</v>
      </c>
      <c r="L31" s="4"/>
      <c r="M31" s="4"/>
      <c r="N31" s="4"/>
      <c r="O31" s="5">
        <f t="shared" si="2"/>
        <v>0</v>
      </c>
      <c r="P31" s="4"/>
      <c r="Q31" s="5">
        <f t="shared" si="3"/>
        <v>0</v>
      </c>
      <c r="R31" s="4"/>
      <c r="S31" s="5">
        <f t="shared" si="9"/>
        <v>0</v>
      </c>
      <c r="T31" s="4"/>
      <c r="U31" s="4"/>
      <c r="V31" s="4"/>
      <c r="W31" s="5">
        <f t="shared" si="10"/>
        <v>0</v>
      </c>
      <c r="X31" s="4"/>
      <c r="Y31" s="4"/>
      <c r="Z31" s="4"/>
      <c r="AA31" s="5">
        <f t="shared" si="7"/>
        <v>0</v>
      </c>
      <c r="AB31" s="4"/>
      <c r="AC31" s="5">
        <f t="shared" si="7"/>
        <v>0</v>
      </c>
    </row>
    <row r="32" spans="2:29" x14ac:dyDescent="0.25">
      <c r="B32" s="2">
        <f t="shared" si="5"/>
        <v>25</v>
      </c>
      <c r="C32" s="11" t="s">
        <v>19</v>
      </c>
      <c r="D32" s="4"/>
      <c r="E32" s="5">
        <f t="shared" si="11"/>
        <v>0</v>
      </c>
      <c r="F32" s="4"/>
      <c r="G32" s="5">
        <f t="shared" si="12"/>
        <v>0</v>
      </c>
      <c r="H32" s="4"/>
      <c r="I32" s="5">
        <f t="shared" si="0"/>
        <v>0</v>
      </c>
      <c r="J32" s="4"/>
      <c r="K32" s="5">
        <f t="shared" si="1"/>
        <v>0</v>
      </c>
      <c r="L32" s="4"/>
      <c r="M32" s="4"/>
      <c r="N32" s="4"/>
      <c r="O32" s="5">
        <f t="shared" si="2"/>
        <v>0</v>
      </c>
      <c r="P32" s="4"/>
      <c r="Q32" s="5">
        <f t="shared" si="3"/>
        <v>0</v>
      </c>
      <c r="R32" s="4"/>
      <c r="S32" s="5">
        <f t="shared" si="9"/>
        <v>0</v>
      </c>
      <c r="T32" s="4"/>
      <c r="U32" s="4"/>
      <c r="V32" s="4"/>
      <c r="W32" s="5">
        <f t="shared" si="10"/>
        <v>0</v>
      </c>
      <c r="X32" s="4"/>
      <c r="Y32" s="4"/>
      <c r="Z32" s="4"/>
      <c r="AA32" s="5">
        <f t="shared" si="7"/>
        <v>0</v>
      </c>
      <c r="AB32" s="4"/>
      <c r="AC32" s="5">
        <f t="shared" si="7"/>
        <v>0</v>
      </c>
    </row>
    <row r="33" spans="2:29" x14ac:dyDescent="0.25">
      <c r="B33" s="2">
        <f t="shared" si="5"/>
        <v>26</v>
      </c>
      <c r="C33" s="11" t="s">
        <v>20</v>
      </c>
      <c r="D33" s="4"/>
      <c r="E33" s="5">
        <f t="shared" si="11"/>
        <v>0</v>
      </c>
      <c r="F33" s="4"/>
      <c r="G33" s="5">
        <f t="shared" si="12"/>
        <v>0</v>
      </c>
      <c r="H33" s="4"/>
      <c r="I33" s="5">
        <f t="shared" si="0"/>
        <v>0</v>
      </c>
      <c r="J33" s="4"/>
      <c r="K33" s="5">
        <f t="shared" si="1"/>
        <v>0</v>
      </c>
      <c r="L33" s="4"/>
      <c r="M33" s="4"/>
      <c r="N33" s="4"/>
      <c r="O33" s="5">
        <f t="shared" si="2"/>
        <v>0</v>
      </c>
      <c r="P33" s="4"/>
      <c r="Q33" s="5">
        <f t="shared" si="3"/>
        <v>0</v>
      </c>
      <c r="R33" s="4"/>
      <c r="S33" s="5">
        <f t="shared" si="9"/>
        <v>0</v>
      </c>
      <c r="T33" s="4"/>
      <c r="U33" s="4"/>
      <c r="V33" s="4"/>
      <c r="W33" s="5">
        <f t="shared" si="10"/>
        <v>0</v>
      </c>
      <c r="X33" s="4"/>
      <c r="Y33" s="4"/>
      <c r="Z33" s="4"/>
      <c r="AA33" s="5">
        <f t="shared" si="7"/>
        <v>0</v>
      </c>
      <c r="AB33" s="4"/>
      <c r="AC33" s="5">
        <f t="shared" si="7"/>
        <v>0</v>
      </c>
    </row>
    <row r="34" spans="2:29" x14ac:dyDescent="0.25">
      <c r="B34" s="2">
        <f t="shared" si="5"/>
        <v>27</v>
      </c>
      <c r="C34" s="11" t="s">
        <v>21</v>
      </c>
      <c r="D34" s="4"/>
      <c r="E34" s="5">
        <f t="shared" si="11"/>
        <v>0</v>
      </c>
      <c r="F34" s="4"/>
      <c r="G34" s="5">
        <f t="shared" si="12"/>
        <v>0</v>
      </c>
      <c r="H34" s="4"/>
      <c r="I34" s="5">
        <f t="shared" si="0"/>
        <v>0</v>
      </c>
      <c r="J34" s="4"/>
      <c r="K34" s="5">
        <f t="shared" si="1"/>
        <v>0</v>
      </c>
      <c r="L34" s="4"/>
      <c r="M34" s="4"/>
      <c r="N34" s="4"/>
      <c r="O34" s="5">
        <f t="shared" si="2"/>
        <v>0</v>
      </c>
      <c r="P34" s="4"/>
      <c r="Q34" s="5">
        <f t="shared" si="3"/>
        <v>0</v>
      </c>
      <c r="R34" s="4"/>
      <c r="S34" s="5">
        <f t="shared" si="9"/>
        <v>0</v>
      </c>
      <c r="T34" s="4"/>
      <c r="U34" s="4"/>
      <c r="V34" s="4"/>
      <c r="W34" s="5">
        <f t="shared" si="10"/>
        <v>0</v>
      </c>
      <c r="X34" s="4"/>
      <c r="Y34" s="4"/>
      <c r="Z34" s="4"/>
      <c r="AA34" s="5">
        <f t="shared" si="7"/>
        <v>0</v>
      </c>
      <c r="AB34" s="4"/>
      <c r="AC34" s="5">
        <f t="shared" si="7"/>
        <v>0</v>
      </c>
    </row>
    <row r="35" spans="2:29" x14ac:dyDescent="0.25">
      <c r="B35" s="2">
        <f t="shared" si="5"/>
        <v>28</v>
      </c>
      <c r="C35" s="11" t="s">
        <v>22</v>
      </c>
      <c r="D35" s="4"/>
      <c r="E35" s="5">
        <f t="shared" si="11"/>
        <v>0</v>
      </c>
      <c r="F35" s="4"/>
      <c r="G35" s="5">
        <f t="shared" si="12"/>
        <v>0</v>
      </c>
      <c r="H35" s="4"/>
      <c r="I35" s="5">
        <f t="shared" si="0"/>
        <v>0</v>
      </c>
      <c r="J35" s="4"/>
      <c r="K35" s="5">
        <f t="shared" si="1"/>
        <v>0</v>
      </c>
      <c r="L35" s="4"/>
      <c r="M35" s="4"/>
      <c r="N35" s="4"/>
      <c r="O35" s="5">
        <f t="shared" si="2"/>
        <v>0</v>
      </c>
      <c r="P35" s="4"/>
      <c r="Q35" s="5">
        <f t="shared" si="3"/>
        <v>0</v>
      </c>
      <c r="R35" s="4"/>
      <c r="S35" s="5">
        <f t="shared" si="9"/>
        <v>0</v>
      </c>
      <c r="T35" s="4"/>
      <c r="U35" s="4"/>
      <c r="V35" s="4"/>
      <c r="W35" s="5">
        <f t="shared" si="10"/>
        <v>0</v>
      </c>
      <c r="X35" s="4"/>
      <c r="Y35" s="4"/>
      <c r="Z35" s="4"/>
      <c r="AA35" s="5">
        <f t="shared" si="7"/>
        <v>0</v>
      </c>
      <c r="AB35" s="4"/>
      <c r="AC35" s="5">
        <f t="shared" si="7"/>
        <v>0</v>
      </c>
    </row>
    <row r="36" spans="2:29" x14ac:dyDescent="0.25">
      <c r="B36" s="2">
        <f t="shared" si="5"/>
        <v>29</v>
      </c>
      <c r="C36" s="11" t="s">
        <v>16</v>
      </c>
      <c r="D36" s="4"/>
      <c r="E36" s="5">
        <f t="shared" si="11"/>
        <v>0</v>
      </c>
      <c r="F36" s="4"/>
      <c r="G36" s="5">
        <f t="shared" si="12"/>
        <v>0</v>
      </c>
      <c r="H36" s="4"/>
      <c r="I36" s="5">
        <f t="shared" si="0"/>
        <v>0</v>
      </c>
      <c r="J36" s="4"/>
      <c r="K36" s="5">
        <f t="shared" si="1"/>
        <v>0</v>
      </c>
      <c r="L36" s="4"/>
      <c r="M36" s="4"/>
      <c r="N36" s="4"/>
      <c r="O36" s="5">
        <f t="shared" si="2"/>
        <v>0</v>
      </c>
      <c r="P36" s="4"/>
      <c r="Q36" s="5">
        <f t="shared" si="3"/>
        <v>0</v>
      </c>
      <c r="R36" s="4"/>
      <c r="S36" s="5">
        <f t="shared" si="9"/>
        <v>0</v>
      </c>
      <c r="T36" s="4"/>
      <c r="U36" s="4"/>
      <c r="V36" s="4"/>
      <c r="W36" s="5">
        <f t="shared" si="10"/>
        <v>0</v>
      </c>
      <c r="X36" s="4"/>
      <c r="Y36" s="4"/>
      <c r="Z36" s="4"/>
      <c r="AA36" s="5">
        <f t="shared" si="7"/>
        <v>0</v>
      </c>
      <c r="AB36" s="4"/>
      <c r="AC36" s="5">
        <f t="shared" si="7"/>
        <v>0</v>
      </c>
    </row>
    <row r="37" spans="2:29" x14ac:dyDescent="0.25">
      <c r="B37" s="2">
        <f t="shared" ref="B37:B38" si="13">B36+1</f>
        <v>30</v>
      </c>
      <c r="C37" s="11" t="s">
        <v>17</v>
      </c>
      <c r="D37" s="4"/>
      <c r="E37" s="5">
        <f t="shared" si="11"/>
        <v>0</v>
      </c>
      <c r="F37" s="4"/>
      <c r="G37" s="5">
        <f t="shared" si="12"/>
        <v>0</v>
      </c>
      <c r="H37" s="4"/>
      <c r="I37" s="5">
        <f t="shared" si="0"/>
        <v>0</v>
      </c>
      <c r="J37" s="4"/>
      <c r="K37" s="5">
        <f t="shared" si="1"/>
        <v>0</v>
      </c>
      <c r="L37" s="4"/>
      <c r="M37" s="4"/>
      <c r="N37" s="4"/>
      <c r="O37" s="5">
        <f t="shared" si="2"/>
        <v>0</v>
      </c>
      <c r="P37" s="4"/>
      <c r="Q37" s="5">
        <f t="shared" si="3"/>
        <v>0</v>
      </c>
      <c r="R37" s="4"/>
      <c r="S37" s="5">
        <f t="shared" si="9"/>
        <v>0</v>
      </c>
      <c r="T37" s="4"/>
      <c r="U37" s="4"/>
      <c r="V37" s="4"/>
      <c r="W37" s="5">
        <f t="shared" si="10"/>
        <v>0</v>
      </c>
      <c r="X37" s="4"/>
      <c r="Y37" s="4"/>
      <c r="Z37" s="4"/>
      <c r="AA37" s="5">
        <f t="shared" si="7"/>
        <v>0</v>
      </c>
      <c r="AB37" s="4"/>
      <c r="AC37" s="5">
        <f t="shared" si="7"/>
        <v>0</v>
      </c>
    </row>
    <row r="38" spans="2:29" x14ac:dyDescent="0.25">
      <c r="B38" s="2">
        <f t="shared" si="13"/>
        <v>31</v>
      </c>
      <c r="C38" s="11" t="s">
        <v>18</v>
      </c>
      <c r="D38" s="4"/>
      <c r="E38" s="5">
        <f t="shared" si="11"/>
        <v>0</v>
      </c>
      <c r="F38" s="4"/>
      <c r="G38" s="5">
        <f t="shared" si="12"/>
        <v>0</v>
      </c>
      <c r="H38" s="4"/>
      <c r="I38" s="5">
        <f t="shared" si="0"/>
        <v>0</v>
      </c>
      <c r="J38" s="4"/>
      <c r="K38" s="5">
        <f t="shared" si="1"/>
        <v>0</v>
      </c>
      <c r="L38" s="4"/>
      <c r="M38" s="4"/>
      <c r="N38" s="4"/>
      <c r="O38" s="5">
        <f t="shared" si="2"/>
        <v>0</v>
      </c>
      <c r="P38" s="4"/>
      <c r="Q38" s="5">
        <f t="shared" si="3"/>
        <v>0</v>
      </c>
      <c r="R38" s="4"/>
      <c r="S38" s="5">
        <f t="shared" si="9"/>
        <v>0</v>
      </c>
      <c r="T38" s="4"/>
      <c r="U38" s="4"/>
      <c r="V38" s="4"/>
      <c r="W38" s="5">
        <f t="shared" si="10"/>
        <v>0</v>
      </c>
      <c r="X38" s="4"/>
      <c r="Y38" s="4"/>
      <c r="Z38" s="4"/>
      <c r="AA38" s="5">
        <f t="shared" si="7"/>
        <v>0</v>
      </c>
      <c r="AB38" s="4"/>
      <c r="AC38" s="5">
        <f t="shared" si="7"/>
        <v>0</v>
      </c>
    </row>
    <row r="45" spans="2:29" x14ac:dyDescent="0.25">
      <c r="D45" t="s">
        <v>23</v>
      </c>
      <c r="E45">
        <v>0.6</v>
      </c>
    </row>
  </sheetData>
  <sheetProtection sheet="1" objects="1" scenarios="1"/>
  <mergeCells count="15">
    <mergeCell ref="Z6:AA6"/>
    <mergeCell ref="AB6:AC6"/>
    <mergeCell ref="R16:S16"/>
    <mergeCell ref="X6:Y6"/>
    <mergeCell ref="L6:M6"/>
    <mergeCell ref="N6:O6"/>
    <mergeCell ref="P6:Q6"/>
    <mergeCell ref="R6:S6"/>
    <mergeCell ref="T6:U6"/>
    <mergeCell ref="V6:W6"/>
    <mergeCell ref="B6:C6"/>
    <mergeCell ref="D6:E6"/>
    <mergeCell ref="F6:G6"/>
    <mergeCell ref="H6:I6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5:AL45"/>
  <sheetViews>
    <sheetView tabSelected="1"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H8" sqref="H8:H19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38" hidden="1" x14ac:dyDescent="0.25"/>
    <row r="6" spans="2:38" ht="41.25" customHeight="1" x14ac:dyDescent="0.25">
      <c r="B6" s="26" t="s">
        <v>2</v>
      </c>
      <c r="C6" s="27"/>
      <c r="D6" s="15" t="s">
        <v>27</v>
      </c>
      <c r="E6" s="16"/>
      <c r="F6" s="15" t="s">
        <v>28</v>
      </c>
      <c r="G6" s="16"/>
      <c r="H6" s="15" t="s">
        <v>29</v>
      </c>
      <c r="I6" s="16"/>
      <c r="J6" s="15" t="s">
        <v>30</v>
      </c>
      <c r="K6" s="16"/>
      <c r="L6" s="15" t="s">
        <v>31</v>
      </c>
      <c r="M6" s="16"/>
      <c r="N6" s="15" t="s">
        <v>32</v>
      </c>
      <c r="O6" s="16"/>
    </row>
    <row r="7" spans="2:3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38" x14ac:dyDescent="0.25">
      <c r="B8" s="2">
        <v>1</v>
      </c>
      <c r="C8" s="1" t="s">
        <v>16</v>
      </c>
      <c r="D8" s="5">
        <v>1960000</v>
      </c>
      <c r="E8" s="5">
        <v>1180000</v>
      </c>
      <c r="F8" s="5">
        <v>1950000</v>
      </c>
      <c r="G8" s="5">
        <f t="shared" ref="G8:G17" si="0">F8*$E$45</f>
        <v>1170000</v>
      </c>
      <c r="H8" s="5">
        <v>1940000</v>
      </c>
      <c r="I8" s="5">
        <f>H8*$E$45</f>
        <v>1164000</v>
      </c>
      <c r="J8" s="8"/>
      <c r="K8" s="8"/>
      <c r="L8" s="8"/>
      <c r="M8" s="8"/>
      <c r="N8" s="8"/>
      <c r="O8" s="8"/>
    </row>
    <row r="9" spans="2:38" x14ac:dyDescent="0.25">
      <c r="B9" s="2">
        <f>B8+1</f>
        <v>2</v>
      </c>
      <c r="C9" s="1" t="s">
        <v>17</v>
      </c>
      <c r="D9" s="5">
        <v>2500000</v>
      </c>
      <c r="E9" s="5">
        <f>D9*$E$45</f>
        <v>1500000</v>
      </c>
      <c r="F9" s="5">
        <v>1950000</v>
      </c>
      <c r="G9" s="5">
        <f t="shared" si="0"/>
        <v>1170000</v>
      </c>
      <c r="H9" s="5">
        <v>2190000</v>
      </c>
      <c r="I9" s="5">
        <v>1315000</v>
      </c>
      <c r="J9" s="5">
        <v>1750000</v>
      </c>
      <c r="K9" s="5">
        <v>880000</v>
      </c>
      <c r="L9" s="8"/>
      <c r="M9" s="8"/>
      <c r="N9" s="8"/>
      <c r="O9" s="8"/>
    </row>
    <row r="10" spans="2:38" x14ac:dyDescent="0.25">
      <c r="B10" s="2">
        <f t="shared" ref="B10:B38" si="1">B9+1</f>
        <v>3</v>
      </c>
      <c r="C10" s="1" t="s">
        <v>18</v>
      </c>
      <c r="D10" s="5">
        <v>2610000</v>
      </c>
      <c r="E10" s="5">
        <v>1570000</v>
      </c>
      <c r="F10" s="5">
        <v>2500000</v>
      </c>
      <c r="G10" s="5">
        <f t="shared" si="0"/>
        <v>1500000</v>
      </c>
      <c r="H10" s="5">
        <v>2520000</v>
      </c>
      <c r="I10" s="5">
        <v>1510000</v>
      </c>
      <c r="J10" s="5">
        <v>2100000</v>
      </c>
      <c r="K10" s="5">
        <v>1050000</v>
      </c>
      <c r="L10" s="8"/>
      <c r="M10" s="8"/>
      <c r="N10" s="8"/>
      <c r="O10" s="8"/>
    </row>
    <row r="11" spans="2:38" x14ac:dyDescent="0.25">
      <c r="B11" s="2">
        <f t="shared" si="1"/>
        <v>4</v>
      </c>
      <c r="C11" s="1" t="s">
        <v>19</v>
      </c>
      <c r="D11" s="5">
        <v>2550000</v>
      </c>
      <c r="E11" s="5">
        <v>1530000</v>
      </c>
      <c r="F11" s="5">
        <v>1400000</v>
      </c>
      <c r="G11" s="5">
        <f t="shared" si="0"/>
        <v>840000</v>
      </c>
      <c r="H11" s="5">
        <v>1820000</v>
      </c>
      <c r="I11" s="5">
        <f>H11*$E$45</f>
        <v>1092000</v>
      </c>
      <c r="J11" s="5">
        <v>2300000</v>
      </c>
      <c r="K11" s="5">
        <v>1150000</v>
      </c>
      <c r="L11" s="8"/>
      <c r="M11" s="8"/>
      <c r="N11" s="8"/>
      <c r="O11" s="8"/>
    </row>
    <row r="12" spans="2:38" x14ac:dyDescent="0.25">
      <c r="B12" s="2">
        <f t="shared" si="1"/>
        <v>5</v>
      </c>
      <c r="C12" s="1" t="s">
        <v>20</v>
      </c>
      <c r="D12" s="5">
        <v>1950000</v>
      </c>
      <c r="E12" s="5">
        <f>D12*$E$45</f>
        <v>1170000</v>
      </c>
      <c r="F12" s="5">
        <v>1850000</v>
      </c>
      <c r="G12" s="5">
        <f t="shared" si="0"/>
        <v>1110000</v>
      </c>
      <c r="H12" s="5">
        <v>2070000</v>
      </c>
      <c r="I12" s="5">
        <v>1244000</v>
      </c>
      <c r="J12" s="5">
        <v>1800000</v>
      </c>
      <c r="K12" s="5">
        <v>900000</v>
      </c>
      <c r="L12" s="8"/>
      <c r="M12" s="8"/>
      <c r="N12" s="8"/>
      <c r="O12" s="8"/>
    </row>
    <row r="13" spans="2:38" x14ac:dyDescent="0.25">
      <c r="B13" s="2">
        <f t="shared" si="1"/>
        <v>6</v>
      </c>
      <c r="C13" s="1" t="s">
        <v>21</v>
      </c>
      <c r="D13" s="5">
        <v>2000000</v>
      </c>
      <c r="E13" s="5">
        <f>D13*$E$45</f>
        <v>1200000</v>
      </c>
      <c r="F13" s="5">
        <v>1800000</v>
      </c>
      <c r="G13" s="5">
        <f t="shared" si="0"/>
        <v>1080000</v>
      </c>
      <c r="H13" s="5">
        <v>2270000</v>
      </c>
      <c r="I13" s="5">
        <f>H13*$E$45</f>
        <v>1362000</v>
      </c>
      <c r="J13" s="5">
        <v>2000000</v>
      </c>
      <c r="K13" s="5">
        <v>1000000</v>
      </c>
      <c r="L13" s="8"/>
      <c r="M13" s="8"/>
      <c r="N13" s="8"/>
      <c r="O13" s="8"/>
    </row>
    <row r="14" spans="2:38" x14ac:dyDescent="0.25">
      <c r="B14" s="2">
        <f t="shared" si="1"/>
        <v>7</v>
      </c>
      <c r="C14" s="1" t="s">
        <v>22</v>
      </c>
      <c r="D14" s="5">
        <v>2040000</v>
      </c>
      <c r="E14" s="5">
        <f>D14*$E$45</f>
        <v>1224000</v>
      </c>
      <c r="F14" s="5">
        <v>1900000</v>
      </c>
      <c r="G14" s="5">
        <f t="shared" si="0"/>
        <v>1140000</v>
      </c>
      <c r="H14" s="5">
        <v>2180000</v>
      </c>
      <c r="I14" s="5">
        <f>H14*$E$45</f>
        <v>1308000</v>
      </c>
      <c r="J14" s="5">
        <v>2700000</v>
      </c>
      <c r="K14" s="5">
        <v>1350000</v>
      </c>
      <c r="L14" s="5">
        <v>930000</v>
      </c>
      <c r="M14" s="5">
        <v>540000</v>
      </c>
      <c r="N14" s="8"/>
      <c r="O14" s="8"/>
    </row>
    <row r="15" spans="2:38" x14ac:dyDescent="0.25">
      <c r="B15" s="2">
        <f t="shared" si="1"/>
        <v>8</v>
      </c>
      <c r="C15" s="1" t="s">
        <v>16</v>
      </c>
      <c r="D15" s="5">
        <v>2400000</v>
      </c>
      <c r="E15" s="5">
        <f>D15*$E$45</f>
        <v>1440000</v>
      </c>
      <c r="F15" s="5">
        <v>1850000</v>
      </c>
      <c r="G15" s="5">
        <f t="shared" si="0"/>
        <v>1110000</v>
      </c>
      <c r="H15" s="5">
        <v>2340000</v>
      </c>
      <c r="I15" s="5">
        <f>H15*$E$45</f>
        <v>1404000</v>
      </c>
      <c r="J15" s="5">
        <v>1800000</v>
      </c>
      <c r="K15" s="5">
        <v>900000</v>
      </c>
      <c r="L15" s="5">
        <v>900000</v>
      </c>
      <c r="M15" s="5">
        <f>L15*$E$45</f>
        <v>540000</v>
      </c>
      <c r="N15" s="5">
        <v>1100000</v>
      </c>
      <c r="O15" s="5">
        <f>N15*$E$45</f>
        <v>660000</v>
      </c>
      <c r="AL15" t="s">
        <v>33</v>
      </c>
    </row>
    <row r="16" spans="2:38" ht="21" customHeight="1" x14ac:dyDescent="0.25">
      <c r="B16" s="2">
        <f t="shared" si="1"/>
        <v>9</v>
      </c>
      <c r="C16" s="1" t="s">
        <v>17</v>
      </c>
      <c r="D16" s="5">
        <v>1850000</v>
      </c>
      <c r="E16" s="5">
        <f>D16*$E$45</f>
        <v>1110000</v>
      </c>
      <c r="F16" s="5">
        <v>1900000</v>
      </c>
      <c r="G16" s="5">
        <f t="shared" si="0"/>
        <v>1140000</v>
      </c>
      <c r="H16" s="5">
        <v>1690000</v>
      </c>
      <c r="I16" s="5">
        <f>H16*$E$45</f>
        <v>1014000</v>
      </c>
      <c r="J16" s="5">
        <v>1750000</v>
      </c>
      <c r="K16" s="5">
        <v>875000</v>
      </c>
      <c r="L16" s="5">
        <v>1360000</v>
      </c>
      <c r="M16" s="5">
        <v>817000</v>
      </c>
      <c r="N16" s="5">
        <v>1350000</v>
      </c>
      <c r="O16" s="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5">
        <v>1890000</v>
      </c>
      <c r="E17" s="5">
        <v>1135000</v>
      </c>
      <c r="F17" s="5">
        <v>750000</v>
      </c>
      <c r="G17" s="5">
        <f t="shared" si="0"/>
        <v>450000</v>
      </c>
      <c r="H17" s="5">
        <v>1550000</v>
      </c>
      <c r="I17" s="5">
        <v>930000</v>
      </c>
      <c r="J17" s="18" t="s">
        <v>34</v>
      </c>
      <c r="K17" s="19"/>
      <c r="L17" s="5">
        <v>1550000</v>
      </c>
      <c r="M17" s="5">
        <v>930000</v>
      </c>
      <c r="N17" s="5">
        <v>1800000</v>
      </c>
      <c r="O17" s="5">
        <v>1080000</v>
      </c>
    </row>
    <row r="18" spans="2:15" x14ac:dyDescent="0.25">
      <c r="B18" s="2">
        <f t="shared" si="1"/>
        <v>11</v>
      </c>
      <c r="C18" s="1" t="s">
        <v>19</v>
      </c>
      <c r="D18" s="5">
        <v>1950000</v>
      </c>
      <c r="E18" s="5">
        <v>1170000</v>
      </c>
      <c r="F18" s="20" t="s">
        <v>35</v>
      </c>
      <c r="G18" s="21"/>
      <c r="H18" s="6">
        <v>1860000</v>
      </c>
      <c r="I18" s="7">
        <v>1116000</v>
      </c>
      <c r="J18" s="18" t="s">
        <v>34</v>
      </c>
      <c r="K18" s="19"/>
      <c r="L18" s="6">
        <v>1500000</v>
      </c>
      <c r="M18" s="7">
        <v>900000</v>
      </c>
      <c r="N18" s="7">
        <v>1650000</v>
      </c>
      <c r="O18" s="7">
        <v>990000</v>
      </c>
    </row>
    <row r="19" spans="2:15" x14ac:dyDescent="0.25">
      <c r="B19" s="2">
        <f t="shared" si="1"/>
        <v>12</v>
      </c>
      <c r="C19" s="1" t="s">
        <v>20</v>
      </c>
      <c r="D19" s="6">
        <v>2050000</v>
      </c>
      <c r="E19" s="6">
        <v>1230000</v>
      </c>
      <c r="F19" s="22"/>
      <c r="G19" s="23"/>
      <c r="H19" s="6">
        <v>1850000</v>
      </c>
      <c r="I19" s="6">
        <v>1110000</v>
      </c>
      <c r="J19" s="18" t="s">
        <v>34</v>
      </c>
      <c r="K19" s="19"/>
      <c r="L19" s="6">
        <v>1250000</v>
      </c>
      <c r="M19" s="6">
        <v>750000</v>
      </c>
      <c r="N19" s="7">
        <v>1450000</v>
      </c>
      <c r="O19" s="6">
        <v>870000</v>
      </c>
    </row>
    <row r="20" spans="2:15" x14ac:dyDescent="0.25">
      <c r="B20" s="2">
        <f t="shared" si="1"/>
        <v>13</v>
      </c>
      <c r="C20" s="1" t="s">
        <v>21</v>
      </c>
      <c r="D20" s="4"/>
      <c r="E20" s="5"/>
      <c r="F20" s="22"/>
      <c r="G20" s="23"/>
      <c r="H20" s="4"/>
      <c r="I20" s="5"/>
      <c r="J20" s="4"/>
      <c r="K20" s="5"/>
      <c r="L20" s="4"/>
      <c r="M20" s="4"/>
      <c r="N20" s="4"/>
      <c r="O20" s="5"/>
    </row>
    <row r="21" spans="2:15" x14ac:dyDescent="0.25">
      <c r="B21" s="2">
        <f t="shared" si="1"/>
        <v>14</v>
      </c>
      <c r="C21" s="1" t="s">
        <v>22</v>
      </c>
      <c r="D21" s="4"/>
      <c r="E21" s="5"/>
      <c r="F21" s="22"/>
      <c r="G21" s="23"/>
      <c r="H21" s="4"/>
      <c r="I21" s="5"/>
      <c r="J21" s="4"/>
      <c r="K21" s="5"/>
      <c r="L21" s="4"/>
      <c r="M21" s="4"/>
      <c r="N21" s="4"/>
      <c r="O21" s="5"/>
    </row>
    <row r="22" spans="2:15" x14ac:dyDescent="0.25">
      <c r="B22" s="2">
        <f t="shared" si="1"/>
        <v>15</v>
      </c>
      <c r="C22" s="1" t="s">
        <v>16</v>
      </c>
      <c r="D22" s="4"/>
      <c r="E22" s="5"/>
      <c r="F22" s="22"/>
      <c r="G22" s="23"/>
      <c r="H22" s="4"/>
      <c r="I22" s="5"/>
      <c r="J22" s="4"/>
      <c r="K22" s="5"/>
      <c r="L22" s="4"/>
      <c r="M22" s="4"/>
      <c r="N22" s="4"/>
      <c r="O22" s="5"/>
    </row>
    <row r="23" spans="2:15" x14ac:dyDescent="0.25">
      <c r="B23" s="2">
        <f t="shared" si="1"/>
        <v>16</v>
      </c>
      <c r="C23" s="1" t="s">
        <v>17</v>
      </c>
      <c r="D23" s="4"/>
      <c r="E23" s="5"/>
      <c r="F23" s="22"/>
      <c r="G23" s="23"/>
      <c r="H23" s="4"/>
      <c r="I23" s="5"/>
      <c r="J23" s="4"/>
      <c r="K23" s="5"/>
      <c r="L23" s="4"/>
      <c r="M23" s="4"/>
      <c r="N23" s="4"/>
      <c r="O23" s="5"/>
    </row>
    <row r="24" spans="2:15" x14ac:dyDescent="0.25">
      <c r="B24" s="2">
        <f t="shared" si="1"/>
        <v>17</v>
      </c>
      <c r="C24" s="1" t="s">
        <v>18</v>
      </c>
      <c r="D24" s="4"/>
      <c r="E24" s="5"/>
      <c r="F24" s="22"/>
      <c r="G24" s="23"/>
      <c r="H24" s="4"/>
      <c r="I24" s="5"/>
      <c r="J24" s="4"/>
      <c r="K24" s="5"/>
      <c r="L24" s="4"/>
      <c r="M24" s="4"/>
      <c r="N24" s="4"/>
      <c r="O24" s="5"/>
    </row>
    <row r="25" spans="2:15" x14ac:dyDescent="0.25">
      <c r="B25" s="2">
        <f t="shared" si="1"/>
        <v>18</v>
      </c>
      <c r="C25" s="1" t="s">
        <v>19</v>
      </c>
      <c r="D25" s="4"/>
      <c r="E25" s="5"/>
      <c r="F25" s="22"/>
      <c r="G25" s="23"/>
      <c r="H25" s="4"/>
      <c r="I25" s="5"/>
      <c r="J25" s="4"/>
      <c r="K25" s="5"/>
      <c r="L25" s="4"/>
      <c r="M25" s="4"/>
      <c r="N25" s="4"/>
      <c r="O25" s="5"/>
    </row>
    <row r="26" spans="2:15" x14ac:dyDescent="0.25">
      <c r="B26" s="2">
        <f t="shared" si="1"/>
        <v>19</v>
      </c>
      <c r="C26" s="1" t="s">
        <v>20</v>
      </c>
      <c r="D26" s="4"/>
      <c r="E26" s="5"/>
      <c r="F26" s="22"/>
      <c r="G26" s="23"/>
      <c r="H26" s="4"/>
      <c r="I26" s="5"/>
      <c r="J26" s="4"/>
      <c r="K26" s="5"/>
      <c r="L26" s="4"/>
      <c r="M26" s="4"/>
      <c r="N26" s="4"/>
      <c r="O26" s="5"/>
    </row>
    <row r="27" spans="2:15" x14ac:dyDescent="0.25">
      <c r="B27" s="2">
        <f t="shared" si="1"/>
        <v>20</v>
      </c>
      <c r="C27" s="1" t="s">
        <v>21</v>
      </c>
      <c r="D27" s="4"/>
      <c r="E27" s="5"/>
      <c r="F27" s="22"/>
      <c r="G27" s="23"/>
      <c r="H27" s="4"/>
      <c r="I27" s="5"/>
      <c r="J27" s="4"/>
      <c r="K27" s="5"/>
      <c r="L27" s="4"/>
      <c r="M27" s="4"/>
      <c r="N27" s="4"/>
      <c r="O27" s="5"/>
    </row>
    <row r="28" spans="2:15" x14ac:dyDescent="0.25">
      <c r="B28" s="2">
        <f t="shared" si="1"/>
        <v>21</v>
      </c>
      <c r="C28" s="1" t="s">
        <v>22</v>
      </c>
      <c r="D28" s="4"/>
      <c r="E28" s="5"/>
      <c r="F28" s="22"/>
      <c r="G28" s="23"/>
      <c r="H28" s="4"/>
      <c r="I28" s="5"/>
      <c r="J28" s="4"/>
      <c r="K28" s="5"/>
      <c r="L28" s="4"/>
      <c r="M28" s="4"/>
      <c r="N28" s="4"/>
      <c r="O28" s="5"/>
    </row>
    <row r="29" spans="2:15" x14ac:dyDescent="0.25">
      <c r="B29" s="2">
        <f t="shared" si="1"/>
        <v>22</v>
      </c>
      <c r="C29" s="1" t="s">
        <v>16</v>
      </c>
      <c r="D29" s="4"/>
      <c r="E29" s="5"/>
      <c r="F29" s="22"/>
      <c r="G29" s="23"/>
      <c r="H29" s="4"/>
      <c r="I29" s="5"/>
      <c r="J29" s="4"/>
      <c r="K29" s="5"/>
      <c r="L29" s="4"/>
      <c r="M29" s="4"/>
      <c r="N29" s="4"/>
      <c r="O29" s="5"/>
    </row>
    <row r="30" spans="2:15" x14ac:dyDescent="0.25">
      <c r="B30" s="2">
        <f t="shared" si="1"/>
        <v>23</v>
      </c>
      <c r="C30" s="1" t="s">
        <v>17</v>
      </c>
      <c r="D30" s="4"/>
      <c r="E30" s="5"/>
      <c r="F30" s="22"/>
      <c r="G30" s="23"/>
      <c r="H30" s="4"/>
      <c r="I30" s="5"/>
      <c r="J30" s="4"/>
      <c r="K30" s="5"/>
      <c r="L30" s="4"/>
      <c r="M30" s="4"/>
      <c r="N30" s="4"/>
      <c r="O30" s="5"/>
    </row>
    <row r="31" spans="2:15" x14ac:dyDescent="0.25">
      <c r="B31" s="2">
        <f t="shared" si="1"/>
        <v>24</v>
      </c>
      <c r="C31" s="1" t="s">
        <v>18</v>
      </c>
      <c r="D31" s="4"/>
      <c r="E31" s="5"/>
      <c r="F31" s="22"/>
      <c r="G31" s="23"/>
      <c r="H31" s="4"/>
      <c r="I31" s="5"/>
      <c r="J31" s="4"/>
      <c r="K31" s="5"/>
      <c r="L31" s="4"/>
      <c r="M31" s="4"/>
      <c r="N31" s="4"/>
      <c r="O31" s="5"/>
    </row>
    <row r="32" spans="2:15" x14ac:dyDescent="0.25">
      <c r="B32" s="2">
        <f t="shared" si="1"/>
        <v>25</v>
      </c>
      <c r="C32" s="1" t="s">
        <v>19</v>
      </c>
      <c r="D32" s="4"/>
      <c r="E32" s="5"/>
      <c r="F32" s="22"/>
      <c r="G32" s="23"/>
      <c r="H32" s="4"/>
      <c r="I32" s="5"/>
      <c r="J32" s="4"/>
      <c r="K32" s="5"/>
      <c r="L32" s="4"/>
      <c r="M32" s="4"/>
      <c r="N32" s="4"/>
      <c r="O32" s="5"/>
    </row>
    <row r="33" spans="2:15" x14ac:dyDescent="0.25">
      <c r="B33" s="2">
        <f t="shared" si="1"/>
        <v>26</v>
      </c>
      <c r="C33" s="1" t="s">
        <v>20</v>
      </c>
      <c r="D33" s="4"/>
      <c r="E33" s="5"/>
      <c r="F33" s="22"/>
      <c r="G33" s="23"/>
      <c r="H33" s="4"/>
      <c r="I33" s="5"/>
      <c r="J33" s="4"/>
      <c r="K33" s="5"/>
      <c r="L33" s="4"/>
      <c r="M33" s="4"/>
      <c r="N33" s="4"/>
      <c r="O33" s="5"/>
    </row>
    <row r="34" spans="2:15" x14ac:dyDescent="0.25">
      <c r="B34" s="2">
        <f t="shared" si="1"/>
        <v>27</v>
      </c>
      <c r="C34" s="1" t="s">
        <v>21</v>
      </c>
      <c r="D34" s="4"/>
      <c r="E34" s="5"/>
      <c r="F34" s="22"/>
      <c r="G34" s="23"/>
      <c r="H34" s="4"/>
      <c r="I34" s="5"/>
      <c r="J34" s="4"/>
      <c r="K34" s="5"/>
      <c r="L34" s="4"/>
      <c r="M34" s="4"/>
      <c r="N34" s="4"/>
      <c r="O34" s="5"/>
    </row>
    <row r="35" spans="2:15" x14ac:dyDescent="0.25">
      <c r="B35" s="2">
        <f t="shared" si="1"/>
        <v>28</v>
      </c>
      <c r="C35" s="1" t="s">
        <v>22</v>
      </c>
      <c r="D35" s="4"/>
      <c r="E35" s="5"/>
      <c r="F35" s="22"/>
      <c r="G35" s="23"/>
      <c r="H35" s="4"/>
      <c r="I35" s="5"/>
      <c r="J35" s="4"/>
      <c r="K35" s="5"/>
      <c r="L35" s="4"/>
      <c r="M35" s="4"/>
      <c r="N35" s="4"/>
      <c r="O35" s="5"/>
    </row>
    <row r="36" spans="2:15" x14ac:dyDescent="0.25">
      <c r="B36" s="2">
        <f t="shared" si="1"/>
        <v>29</v>
      </c>
      <c r="C36" s="1" t="s">
        <v>16</v>
      </c>
      <c r="D36" s="4"/>
      <c r="E36" s="5"/>
      <c r="F36" s="22"/>
      <c r="G36" s="23"/>
      <c r="H36" s="4"/>
      <c r="I36" s="5"/>
      <c r="J36" s="4"/>
      <c r="K36" s="5"/>
      <c r="L36" s="4"/>
      <c r="M36" s="4"/>
      <c r="N36" s="4"/>
      <c r="O36" s="5"/>
    </row>
    <row r="37" spans="2:15" x14ac:dyDescent="0.25">
      <c r="B37" s="2">
        <f t="shared" si="1"/>
        <v>30</v>
      </c>
      <c r="C37" s="1" t="s">
        <v>17</v>
      </c>
      <c r="D37" s="4"/>
      <c r="E37" s="5"/>
      <c r="F37" s="22"/>
      <c r="G37" s="23"/>
      <c r="H37" s="4"/>
      <c r="I37" s="5"/>
      <c r="J37" s="4"/>
      <c r="K37" s="5"/>
      <c r="L37" s="4"/>
      <c r="M37" s="4"/>
      <c r="N37" s="4"/>
      <c r="O37" s="5"/>
    </row>
    <row r="38" spans="2:15" x14ac:dyDescent="0.25">
      <c r="B38" s="2">
        <f t="shared" si="1"/>
        <v>31</v>
      </c>
      <c r="C38" s="1" t="s">
        <v>18</v>
      </c>
      <c r="D38" s="4"/>
      <c r="E38" s="5"/>
      <c r="F38" s="24"/>
      <c r="G38" s="25"/>
      <c r="H38" s="4"/>
      <c r="I38" s="5"/>
      <c r="J38" s="4"/>
      <c r="K38" s="5"/>
      <c r="L38" s="4"/>
      <c r="M38" s="4"/>
      <c r="N38" s="4"/>
      <c r="O38" s="5"/>
    </row>
    <row r="45" spans="2:15" x14ac:dyDescent="0.25">
      <c r="D45" t="s">
        <v>23</v>
      </c>
      <c r="E45">
        <v>0.6</v>
      </c>
    </row>
  </sheetData>
  <sheetProtection sheet="1" objects="1" scenarios="1"/>
  <mergeCells count="11">
    <mergeCell ref="B6:C6"/>
    <mergeCell ref="D6:E6"/>
    <mergeCell ref="F6:G6"/>
    <mergeCell ref="H6:I6"/>
    <mergeCell ref="J6:K6"/>
    <mergeCell ref="J18:K18"/>
    <mergeCell ref="J19:K19"/>
    <mergeCell ref="F18:G38"/>
    <mergeCell ref="J17:K17"/>
    <mergeCell ref="N6:O6"/>
    <mergeCell ref="L6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2026-01-13T09:46:33Z</dcterms:modified>
</cp:coreProperties>
</file>