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3247F61-8522-4DBE-9EFD-6CF551EBC7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LẬP" sheetId="1" r:id="rId1"/>
  </sheets>
  <definedNames>
    <definedName name="ColumnTitle1">Invoice[[#Headers],[NỘI DUNG]]</definedName>
    <definedName name="ColumnTitleRegion1..B11.1">'ANH LẬP'!$B$8</definedName>
    <definedName name="Company_Name">'ANH LẬP'!$B$1</definedName>
    <definedName name="_xlnm.Print_Titles" localSheetId="0">'ANH LẬP'!$12:$12</definedName>
    <definedName name="RowTitleRegion1..D5">'ANH LẬP'!$C$3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18" i="1"/>
  <c r="B19" i="1"/>
</calcChain>
</file>

<file path=xl/sharedStrings.xml><?xml version="1.0" encoding="utf-8"?>
<sst xmlns="http://schemas.openxmlformats.org/spreadsheetml/2006/main" count="29" uniqueCount="26">
  <si>
    <t>CÔNG TY TNHH MTV VẬN TẢI VÀ DU LỊCH MINH HẢI</t>
  </si>
  <si>
    <t>HÓA ĐƠN</t>
  </si>
  <si>
    <t>NỘI DUNG</t>
  </si>
  <si>
    <t>TỔNG SỐ</t>
  </si>
  <si>
    <t>TIỀN CỌC XE</t>
  </si>
  <si>
    <t>GHI CHÚ</t>
  </si>
  <si>
    <t>NGÀY BẮT ĐẦU LÀM</t>
  </si>
  <si>
    <t>NGÀY LÀM ĐƠN:</t>
  </si>
  <si>
    <t>TỔNG SỐ NGÀY LÀM</t>
  </si>
  <si>
    <t xml:space="preserve">SỐ LƯỢNG </t>
  </si>
  <si>
    <t>TIỀN ĐIỆN 1 THÁNG</t>
  </si>
  <si>
    <t>TIỀN ĐIỆN TRỪ VÀO TIỀN CỌC</t>
  </si>
  <si>
    <t xml:space="preserve"> TỔNG CHI PHÍ TRỪ </t>
  </si>
  <si>
    <t>SỐ TIỀN HOÀN TRẢ</t>
  </si>
  <si>
    <t>500,000 vnđ</t>
  </si>
  <si>
    <t>A</t>
  </si>
  <si>
    <t>Phone: 0969 010 942</t>
  </si>
  <si>
    <t>25 tháng 12 2025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</si>
  <si>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09 tháng 02 2026</t>
    </r>
  </si>
  <si>
    <t>47 NGÀY</t>
  </si>
  <si>
    <t>TIỀN ĐIỆN (47 NGÀY)</t>
  </si>
  <si>
    <t>1.6 tháng</t>
  </si>
  <si>
    <t>TIỀN CÁI GƯƠNG XE</t>
  </si>
  <si>
    <t>TIỀN CỌNG DÂY ĐIỆN</t>
  </si>
  <si>
    <t>-1,450,000</t>
  </si>
  <si>
    <t>Đến: LÊ THÀNH LẬP (HIẾU 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</si>
</sst>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1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0" fontId="8" fillId="0" borderId="0" xfId="0" applyFont="1">
      <alignment wrapText="1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totalsRowLabel="-1,450,000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K25"/>
  <sheetViews>
    <sheetView showGridLines="0" tabSelected="1" workbookViewId="0">
      <selection activeCell="K8" sqref="K8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11" ht="34.5" customHeight="1" x14ac:dyDescent="0.2">
      <c r="B1" s="23" t="s">
        <v>0</v>
      </c>
      <c r="C1" s="24" t="s">
        <v>1</v>
      </c>
      <c r="D1" s="24"/>
    </row>
    <row r="2" spans="2:11" ht="30" customHeight="1" x14ac:dyDescent="0.2">
      <c r="B2" s="23"/>
      <c r="C2" s="24"/>
      <c r="D2" s="24"/>
    </row>
    <row r="3" spans="2:11" ht="30" customHeight="1" x14ac:dyDescent="0.25">
      <c r="C3" s="5" t="s">
        <v>7</v>
      </c>
      <c r="D3" s="7">
        <f ca="1">TODAY()</f>
        <v>46065</v>
      </c>
    </row>
    <row r="4" spans="2:11" ht="15" customHeight="1" x14ac:dyDescent="0.25">
      <c r="C4" s="17" t="s">
        <v>6</v>
      </c>
      <c r="D4" s="19" t="s">
        <v>17</v>
      </c>
      <c r="F4" s="18" t="s">
        <v>18</v>
      </c>
    </row>
    <row r="5" spans="2:11" ht="15.75" customHeight="1" x14ac:dyDescent="0.2">
      <c r="B5" s="3"/>
      <c r="C5" s="4" t="s">
        <v>8</v>
      </c>
      <c r="D5" s="6" t="s">
        <v>19</v>
      </c>
    </row>
    <row r="6" spans="2:11" ht="16.5" customHeight="1" x14ac:dyDescent="0.25">
      <c r="C6" s="13" t="s">
        <v>10</v>
      </c>
      <c r="D6" s="14" t="s">
        <v>14</v>
      </c>
      <c r="K6" t="s">
        <v>15</v>
      </c>
    </row>
    <row r="7" spans="2:11" ht="15" customHeight="1" x14ac:dyDescent="0.2"/>
    <row r="8" spans="2:11" ht="15" customHeight="1" x14ac:dyDescent="0.25">
      <c r="B8" s="2" t="s">
        <v>25</v>
      </c>
    </row>
    <row r="9" spans="2:11" ht="15" customHeight="1" x14ac:dyDescent="0.2">
      <c r="B9" s="3" t="s">
        <v>16</v>
      </c>
    </row>
    <row r="10" spans="2:11" ht="15" customHeight="1" x14ac:dyDescent="0.2"/>
    <row r="12" spans="2:11" ht="30" customHeight="1" x14ac:dyDescent="0.2">
      <c r="B12" s="1" t="s">
        <v>2</v>
      </c>
      <c r="C12" s="1" t="s">
        <v>9</v>
      </c>
      <c r="D12" s="1" t="s">
        <v>3</v>
      </c>
      <c r="F12" s="11" t="s">
        <v>5</v>
      </c>
    </row>
    <row r="13" spans="2:11" ht="30" customHeight="1" x14ac:dyDescent="0.2">
      <c r="B13" s="8" t="s">
        <v>4</v>
      </c>
      <c r="C13" s="8">
        <v>1</v>
      </c>
      <c r="D13" s="9">
        <v>3000000</v>
      </c>
      <c r="F13" s="12" t="s">
        <v>4</v>
      </c>
    </row>
    <row r="14" spans="2:11" ht="30" customHeight="1" x14ac:dyDescent="0.2">
      <c r="B14" s="8" t="s">
        <v>20</v>
      </c>
      <c r="C14" s="8" t="s">
        <v>21</v>
      </c>
      <c r="D14" s="9">
        <v>-800000</v>
      </c>
      <c r="F14" s="12" t="s">
        <v>11</v>
      </c>
    </row>
    <row r="15" spans="2:11" ht="30" customHeight="1" x14ac:dyDescent="0.2">
      <c r="B15" s="8" t="s">
        <v>22</v>
      </c>
      <c r="C15" s="8">
        <v>1</v>
      </c>
      <c r="D15" s="9">
        <v>-450000</v>
      </c>
      <c r="F15" s="20" t="s">
        <v>22</v>
      </c>
    </row>
    <row r="16" spans="2:11" ht="30" customHeight="1" x14ac:dyDescent="0.2">
      <c r="B16" s="8" t="s">
        <v>23</v>
      </c>
      <c r="C16" s="8">
        <v>1</v>
      </c>
      <c r="D16" s="9">
        <v>-200000</v>
      </c>
      <c r="F16" s="12" t="s">
        <v>23</v>
      </c>
    </row>
    <row r="17" spans="2:4" ht="30" customHeight="1" x14ac:dyDescent="0.2">
      <c r="C17" s="15" t="s">
        <v>12</v>
      </c>
      <c r="D17" s="16" t="s">
        <v>24</v>
      </c>
    </row>
    <row r="18" spans="2:4" ht="30" customHeight="1" x14ac:dyDescent="0.2">
      <c r="C18" s="15" t="s">
        <v>13</v>
      </c>
      <c r="D18" s="10">
        <f>SUBTOTAL(109,Invoice[TỔNG SỐ])</f>
        <v>1550000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D2"/>
  </mergeCells>
  <phoneticPr fontId="0" type="noConversion"/>
  <dataValidations xWindow="691" yWindow="457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ANH LẬP</vt:lpstr>
      <vt:lpstr>ColumnTitle1</vt:lpstr>
      <vt:lpstr>ColumnTitleRegion1..B11.1</vt:lpstr>
      <vt:lpstr>Company_Name</vt:lpstr>
      <vt:lpstr>'ANH LẬP'!Print_Titles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2026-02-13T01:11:43Z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