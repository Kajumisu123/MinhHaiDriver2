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c Anh\QUẢN LÝ NHÂN SỰ\Nhân viên\Nam đảo\SUN NAM ĐỖ\"/>
    </mc:Choice>
  </mc:AlternateContent>
  <xr:revisionPtr revIDLastSave="0" documentId="13_ncr:1_{CE45DE7C-971A-42D7-B26D-69C1D19B650C}" xr6:coauthVersionLast="47" xr6:coauthVersionMax="47" xr10:uidLastSave="{00000000-0000-0000-0000-000000000000}"/>
  <bookViews>
    <workbookView xWindow="-120" yWindow="-120" windowWidth="29040" windowHeight="15840" activeTab="2" xr2:uid="{30B83B7C-CE12-4CD7-839D-2E6C7A057BC5}"/>
  </bookViews>
  <sheets>
    <sheet name="Thiện" sheetId="2" r:id="rId1"/>
    <sheet name="Nam Đỗ" sheetId="1" r:id="rId2"/>
    <sheet name="Hà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J23" i="2"/>
  <c r="J19" i="2"/>
  <c r="J17" i="2"/>
  <c r="J14" i="2"/>
  <c r="C23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C23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<sst xmlns="http://schemas.openxmlformats.org/spreadsheetml/2006/main" count="125" uniqueCount="45">
  <si>
    <t>CÔNG TY TNHH MTV VẬN TẢI VÀ DU LỊCH MINH HẢI</t>
  </si>
  <si>
    <t xml:space="preserve">                      DOANH THU LÁI XE THIỆN</t>
  </si>
  <si>
    <t xml:space="preserve">                      DOANH THU LÁI XE ĐỖ NAM</t>
  </si>
  <si>
    <t>THÁNG 01
NĂM 2026</t>
  </si>
  <si>
    <t>NGÀY</t>
  </si>
  <si>
    <t>THỨ</t>
  </si>
  <si>
    <t>T5</t>
  </si>
  <si>
    <t>T6</t>
  </si>
  <si>
    <t>T7</t>
  </si>
  <si>
    <t>CN</t>
  </si>
  <si>
    <t>T2</t>
  </si>
  <si>
    <t>T3</t>
  </si>
  <si>
    <t>T4</t>
  </si>
  <si>
    <t>ĐỖ VĂN NAM</t>
  </si>
  <si>
    <t>DOANH THU</t>
  </si>
  <si>
    <t>Tiền điện 1 tháng</t>
  </si>
  <si>
    <t>KPI 1 ngày</t>
  </si>
  <si>
    <t>Tổng</t>
  </si>
  <si>
    <t>Nội dung</t>
  </si>
  <si>
    <t>14/01/2026</t>
  </si>
  <si>
    <t>Ngày kết thúc:</t>
  </si>
  <si>
    <r>
      <rPr>
        <u/>
        <sz val="13"/>
        <color theme="1"/>
        <rFont val="Times New Roman"/>
        <family val="1"/>
      </rPr>
      <t>Tổng ngày làm</t>
    </r>
    <r>
      <rPr>
        <b/>
        <sz val="13"/>
        <color theme="1"/>
        <rFont val="Times New Roman"/>
        <family val="1"/>
      </rPr>
      <t xml:space="preserve"> T1</t>
    </r>
  </si>
  <si>
    <r>
      <rPr>
        <b/>
        <sz val="18"/>
        <color theme="1"/>
        <rFont val="Times New Roman"/>
        <family val="1"/>
      </rPr>
      <t>Tổng tiền thực nhận</t>
    </r>
    <r>
      <rPr>
        <b/>
        <sz val="13"/>
        <color theme="1"/>
        <rFont val="Times New Roman"/>
        <family val="2"/>
      </rPr>
      <t xml:space="preserve"> = Số tiền vượt KPI chia tỉ lệ 5 5 - Tiền điện chia 50 50 với công ty </t>
    </r>
  </si>
  <si>
    <r>
      <t xml:space="preserve">Tổng tiền điện tính từ ngày bắt đầu làm = </t>
    </r>
    <r>
      <rPr>
        <sz val="13"/>
        <color theme="1"/>
        <rFont val="Times New Roman"/>
        <family val="1"/>
      </rPr>
      <t>(Tổng số ngày làm* Tiền điện 1 tháng)/ 30 ngày</t>
    </r>
    <r>
      <rPr>
        <b/>
        <sz val="13"/>
        <color theme="1"/>
        <rFont val="Times New Roman"/>
        <family val="1"/>
      </rPr>
      <t xml:space="preserve"> </t>
    </r>
  </si>
  <si>
    <r>
      <t>Tiền điện chia 50 50 với công ty =</t>
    </r>
    <r>
      <rPr>
        <sz val="13"/>
        <color theme="1"/>
        <rFont val="Times New Roman"/>
        <family val="1"/>
      </rPr>
      <t xml:space="preserve"> Tổng tiền điện tính từ ngày bắt đầu làm / 2</t>
    </r>
    <r>
      <rPr>
        <b/>
        <sz val="13"/>
        <color theme="1"/>
        <rFont val="Times New Roman"/>
        <family val="1"/>
      </rPr>
      <t xml:space="preserve"> </t>
    </r>
  </si>
  <si>
    <r>
      <t>Tổng chỉ tiêu phải đạt trong 14 ngày =</t>
    </r>
    <r>
      <rPr>
        <sz val="13"/>
        <color theme="1"/>
        <rFont val="Times New Roman"/>
        <family val="1"/>
      </rPr>
      <t xml:space="preserve"> KPI 1 ngày* Tổng ngày làm tháng 1</t>
    </r>
    <r>
      <rPr>
        <b/>
        <sz val="13"/>
        <color theme="1"/>
        <rFont val="Times New Roman"/>
        <family val="1"/>
      </rPr>
      <t xml:space="preserve"> </t>
    </r>
  </si>
  <si>
    <t xml:space="preserve">Số tiền vượt mức KPI = Tổng doanh thu 14 ngày - Tổng chỉ tiêu phải đạt trong 14 ngày </t>
  </si>
  <si>
    <t>Đơn vị tính</t>
  </si>
  <si>
    <t>VNĐ</t>
  </si>
  <si>
    <t>Tổng doanh thu</t>
  </si>
  <si>
    <r>
      <t xml:space="preserve">Ngày bắt đầu làm: </t>
    </r>
    <r>
      <rPr>
        <b/>
        <sz val="13"/>
        <color theme="1"/>
        <rFont val="Times New Roman"/>
        <family val="1"/>
      </rPr>
      <t>26/12/2025</t>
    </r>
  </si>
  <si>
    <t>Số tiền vượt KPI chia tỉ lệ 50 50 = Số tiền vượt mức KPI * 10%</t>
  </si>
  <si>
    <r>
      <t xml:space="preserve">Ngày bắt đầu làm: </t>
    </r>
    <r>
      <rPr>
        <b/>
        <sz val="13"/>
        <color theme="1"/>
        <rFont val="Times New Roman"/>
        <family val="1"/>
      </rPr>
      <t>24/12/2025</t>
    </r>
  </si>
  <si>
    <t>13/01/2026</t>
  </si>
  <si>
    <t>TRẦN HOÀI THIỆN</t>
  </si>
  <si>
    <r>
      <t>Tiền điện chia 50 50 với công ty =</t>
    </r>
    <r>
      <rPr>
        <sz val="13"/>
        <color theme="1"/>
        <rFont val="Times New Roman"/>
        <family val="1"/>
      </rPr>
      <t xml:space="preserve"> Tổng tiền điện / 2</t>
    </r>
    <r>
      <rPr>
        <b/>
        <sz val="13"/>
        <color theme="1"/>
        <rFont val="Times New Roman"/>
        <family val="1"/>
      </rPr>
      <t xml:space="preserve"> </t>
    </r>
  </si>
  <si>
    <t>Tổng tiền điện</t>
  </si>
  <si>
    <r>
      <t>Tổng chỉ tiêu phải đạt trong 13 ngày =</t>
    </r>
    <r>
      <rPr>
        <sz val="13"/>
        <color theme="1"/>
        <rFont val="Times New Roman"/>
        <family val="1"/>
      </rPr>
      <t xml:space="preserve"> KPI 1 ngày* Tổng ngày làm tháng 1</t>
    </r>
    <r>
      <rPr>
        <b/>
        <sz val="13"/>
        <color theme="1"/>
        <rFont val="Times New Roman"/>
        <family val="1"/>
      </rPr>
      <t xml:space="preserve"> </t>
    </r>
  </si>
  <si>
    <t xml:space="preserve">Số tiền vượt mức KPI = Tổng doanh thu 13 ngày - Tổng chỉ tiêu phải đạt trong 13 ngày </t>
  </si>
  <si>
    <r>
      <rPr>
        <b/>
        <sz val="18"/>
        <color theme="1"/>
        <rFont val="Times New Roman"/>
        <family val="1"/>
      </rPr>
      <t>Tổng tiền thực nhận</t>
    </r>
    <r>
      <rPr>
        <b/>
        <sz val="13"/>
        <color theme="1"/>
        <rFont val="Times New Roman"/>
        <family val="2"/>
      </rPr>
      <t xml:space="preserve"> = Số tiền vượt KPI chia tỉ lệ 5 5 + Tiền điện chia 50 50 với công ty </t>
    </r>
  </si>
  <si>
    <t xml:space="preserve">                      DOANH THU LÁI XE HÀ</t>
  </si>
  <si>
    <t>Hà</t>
  </si>
  <si>
    <r>
      <t>Tổng chỉ tiêu phải đạt trong 15 ngày =</t>
    </r>
    <r>
      <rPr>
        <sz val="13"/>
        <color theme="1"/>
        <rFont val="Times New Roman"/>
        <family val="1"/>
      </rPr>
      <t xml:space="preserve"> KPI 1 ngày* Tổng ngày làm tháng 1</t>
    </r>
    <r>
      <rPr>
        <b/>
        <sz val="13"/>
        <color theme="1"/>
        <rFont val="Times New Roman"/>
        <family val="1"/>
      </rPr>
      <t xml:space="preserve"> </t>
    </r>
  </si>
  <si>
    <r>
      <t xml:space="preserve">Ngày bắt đầu làm: </t>
    </r>
    <r>
      <rPr>
        <b/>
        <sz val="13"/>
        <color theme="1"/>
        <rFont val="Times New Roman"/>
        <family val="1"/>
      </rPr>
      <t>23/10/2025</t>
    </r>
  </si>
  <si>
    <t xml:space="preserve">Số tiền vượt mức KPI = Tổng doanh thu 15 ngày - Tổng chỉ tiêu phải đạt trong 15 ngày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</si>
</sst>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3"/>
      <color theme="1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2"/>
    </font>
    <font>
      <b/>
      <sz val="13"/>
      <color rgb="FFFA7D00"/>
      <name val="Times New Roman"/>
      <family val="2"/>
    </font>
    <font>
      <b/>
      <sz val="13"/>
      <color theme="1"/>
      <name val="Times New Roman"/>
      <family val="2"/>
    </font>
    <font>
      <sz val="13"/>
      <color theme="1"/>
      <name val="Times New Roman"/>
      <family val="1"/>
    </font>
    <font>
      <b/>
      <sz val="12"/>
      <color rgb="FFEB3A21"/>
      <name val="Times New Roman"/>
      <family val="1"/>
    </font>
    <font>
      <b/>
      <sz val="18"/>
      <color theme="1"/>
      <name val="Times New Roman"/>
      <family val="2"/>
    </font>
    <font>
      <u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2"/>
    </font>
    <font>
      <b/>
      <sz val="18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6" fillId="2" borderId="13" applyNumberFormat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3" fontId="0" fillId="0" borderId="1" xfId="0" applyNumberFormat="1" applyBorder="1"/>
    <xf numFmtId="0" fontId="1" fillId="0" borderId="0" xfId="0" applyFont="1" applyAlignment="1">
      <alignment vertical="center"/>
    </xf>
    <xf numFmtId="0" fontId="4" fillId="0" borderId="1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13" xfId="1" applyFont="1" applyAlignment="1">
      <alignment horizontal="left" vertical="center"/>
    </xf>
    <xf numFmtId="0" fontId="6" fillId="2" borderId="13" xfId="1" applyAlignment="1">
      <alignment vertical="center"/>
    </xf>
    <xf numFmtId="3" fontId="14" fillId="2" borderId="13" xfId="1" applyNumberFormat="1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3" fontId="10" fillId="2" borderId="14" xfId="1" applyNumberFormat="1" applyFont="1" applyBorder="1" applyAlignment="1">
      <alignment horizontal="right"/>
    </xf>
    <xf numFmtId="0" fontId="7" fillId="2" borderId="13" xfId="1" applyFont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0" fillId="2" borderId="1" xfId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15" xfId="1" applyFont="1" applyBorder="1" applyAlignment="1">
      <alignment horizontal="center" vertical="center"/>
    </xf>
    <xf numFmtId="0" fontId="4" fillId="2" borderId="16" xfId="1" applyFont="1" applyBorder="1" applyAlignment="1">
      <alignment horizontal="center" vertical="center"/>
    </xf>
    <xf numFmtId="0" fontId="4" fillId="2" borderId="14" xfId="1" applyFont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 wrapText="1"/>
    </xf>
    <xf numFmtId="0" fontId="12" fillId="0" borderId="4" xfId="2" applyFont="1" applyFill="1" applyBorder="1" applyAlignment="1">
      <alignment horizontal="center" vertical="center"/>
    </xf>
    <xf numFmtId="3" fontId="0" fillId="0" borderId="11" xfId="0" applyNumberFormat="1" applyBorder="1" applyAlignment="1">
      <alignment horizontal="right" vertical="center"/>
    </xf>
    <xf numFmtId="3" fontId="0" fillId="0" borderId="12" xfId="0" applyNumberFormat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5" fillId="0" borderId="0" xfId="0" applyFont="1"/>
  </cellXfs>
  <cellStyles count="4">
    <cellStyle name="20% - Accent3" xfId="2" builtinId="38"/>
    <cellStyle name="40% - Accent3" xfId="3" builtinId="39"/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E66-FC15-48EC-8C38-3E849A945973}">
  <sheetPr codeName="Sheet2"/>
  <dimension ref="A2:L23"/>
  <sheetViews>
    <sheetView showGridLines="0" workbookViewId="0">
      <selection activeCell="P14" sqref="P14"/>
    </sheetView>
  </sheetViews>
  <sheetFormatPr defaultRowHeight="16.5" x14ac:dyDescent="0.25"/>
  <cols>
    <col min="2" max="2" width="11.109375" customWidth="1"/>
    <col min="3" max="3" width="17.44140625" customWidth="1"/>
    <col min="4" max="4" width="6.6640625" customWidth="1"/>
    <col min="5" max="5" width="17.6640625" customWidth="1"/>
    <col min="6" max="6" width="19.77734375" customWidth="1"/>
    <col min="7" max="7" width="10.5546875" customWidth="1"/>
    <col min="8" max="8" width="15.109375" customWidth="1"/>
    <col min="9" max="9" width="15.21875" customWidth="1"/>
    <col min="10" max="10" width="11.6640625" bestFit="1" customWidth="1"/>
    <col min="11" max="11" width="10" customWidth="1"/>
  </cols>
  <sheetData>
    <row r="2" spans="1:12" ht="27.75" x14ac:dyDescent="0.25">
      <c r="D2" s="8" t="s">
        <v>0</v>
      </c>
      <c r="G2" s="8"/>
      <c r="H2" s="8"/>
      <c r="I2" s="8"/>
      <c r="J2" s="8"/>
      <c r="K2" s="8"/>
      <c r="L2" s="8"/>
    </row>
    <row r="3" spans="1:12" ht="30.75" x14ac:dyDescent="0.25">
      <c r="F3" s="2" t="s">
        <v>1</v>
      </c>
      <c r="J3" s="1"/>
      <c r="K3" s="1"/>
      <c r="L3" s="1"/>
    </row>
    <row r="4" spans="1:12" x14ac:dyDescent="0.25">
      <c r="H4" t="s">
        <v>32</v>
      </c>
      <c r="J4" s="18" t="s">
        <v>20</v>
      </c>
      <c r="K4" s="12" t="s">
        <v>33</v>
      </c>
    </row>
    <row r="6" spans="1:12" ht="45.75" customHeight="1" x14ac:dyDescent="0.25">
      <c r="A6" s="56" t="s">
        <v>3</v>
      </c>
      <c r="B6" s="57"/>
      <c r="C6" s="39" t="s">
        <v>34</v>
      </c>
      <c r="F6" s="18"/>
    </row>
    <row r="7" spans="1:12" x14ac:dyDescent="0.25">
      <c r="A7" s="9" t="s">
        <v>4</v>
      </c>
      <c r="B7" s="9" t="s">
        <v>5</v>
      </c>
      <c r="C7" s="13" t="s">
        <v>14</v>
      </c>
      <c r="E7" s="19" t="s">
        <v>36</v>
      </c>
      <c r="F7" s="7">
        <v>800000</v>
      </c>
    </row>
    <row r="8" spans="1:12" x14ac:dyDescent="0.25">
      <c r="A8" s="10">
        <v>1</v>
      </c>
      <c r="B8" s="11" t="s">
        <v>6</v>
      </c>
      <c r="C8" s="14">
        <v>1750000</v>
      </c>
      <c r="E8" s="19" t="s">
        <v>16</v>
      </c>
      <c r="F8" s="7">
        <v>1700000</v>
      </c>
    </row>
    <row r="9" spans="1:12" x14ac:dyDescent="0.25">
      <c r="A9" s="10">
        <f>A8+1</f>
        <v>2</v>
      </c>
      <c r="B9" s="11" t="s">
        <v>7</v>
      </c>
      <c r="C9" s="14">
        <v>1870000</v>
      </c>
      <c r="E9" s="19" t="s">
        <v>21</v>
      </c>
      <c r="F9" s="7">
        <v>13</v>
      </c>
      <c r="G9" s="3"/>
    </row>
    <row r="10" spans="1:12" x14ac:dyDescent="0.25">
      <c r="A10" s="10">
        <f t="shared" ref="A10:A20" si="0">A9+1</f>
        <v>3</v>
      </c>
      <c r="B10" s="11" t="s">
        <v>8</v>
      </c>
      <c r="C10" s="14">
        <v>1780000</v>
      </c>
      <c r="E10" s="17"/>
      <c r="F10" s="16"/>
    </row>
    <row r="11" spans="1:12" x14ac:dyDescent="0.25">
      <c r="A11" s="10">
        <f t="shared" si="0"/>
        <v>4</v>
      </c>
      <c r="B11" s="11" t="s">
        <v>9</v>
      </c>
      <c r="C11" s="14">
        <v>2410000</v>
      </c>
    </row>
    <row r="12" spans="1:12" x14ac:dyDescent="0.25">
      <c r="A12" s="10">
        <f t="shared" si="0"/>
        <v>5</v>
      </c>
      <c r="B12" s="11" t="s">
        <v>10</v>
      </c>
      <c r="C12" s="14">
        <v>1900000</v>
      </c>
      <c r="E12" s="50" t="s">
        <v>18</v>
      </c>
      <c r="F12" s="51"/>
      <c r="G12" s="51"/>
      <c r="H12" s="51"/>
      <c r="I12" s="52"/>
      <c r="J12" s="6" t="s">
        <v>17</v>
      </c>
      <c r="K12" s="6" t="s">
        <v>27</v>
      </c>
    </row>
    <row r="13" spans="1:12" ht="22.5" customHeight="1" x14ac:dyDescent="0.25">
      <c r="A13" s="10">
        <f t="shared" si="0"/>
        <v>6</v>
      </c>
      <c r="B13" s="11" t="s">
        <v>11</v>
      </c>
      <c r="C13" s="14">
        <v>1720000</v>
      </c>
      <c r="E13" s="41" t="s">
        <v>35</v>
      </c>
      <c r="F13" s="42"/>
      <c r="G13" s="42"/>
      <c r="H13" s="42"/>
      <c r="I13" s="43"/>
      <c r="J13" s="7">
        <v>400000</v>
      </c>
      <c r="K13" s="4" t="s">
        <v>28</v>
      </c>
    </row>
    <row r="14" spans="1:12" x14ac:dyDescent="0.25">
      <c r="A14" s="10">
        <f t="shared" si="0"/>
        <v>7</v>
      </c>
      <c r="B14" s="11" t="s">
        <v>12</v>
      </c>
      <c r="C14" s="14">
        <v>2400000</v>
      </c>
      <c r="E14" s="41" t="s">
        <v>37</v>
      </c>
      <c r="F14" s="42"/>
      <c r="G14" s="42"/>
      <c r="H14" s="42"/>
      <c r="I14" s="43"/>
      <c r="J14" s="7">
        <f>F9*F8</f>
        <v>22100000</v>
      </c>
      <c r="K14" s="4" t="s">
        <v>28</v>
      </c>
    </row>
    <row r="15" spans="1:12" x14ac:dyDescent="0.25">
      <c r="A15" s="10">
        <f t="shared" si="0"/>
        <v>8</v>
      </c>
      <c r="B15" s="11" t="s">
        <v>6</v>
      </c>
      <c r="C15" s="14">
        <v>1750000</v>
      </c>
      <c r="E15" s="23"/>
      <c r="F15" s="24"/>
      <c r="G15" s="24"/>
      <c r="H15" s="24"/>
      <c r="I15" s="25"/>
      <c r="J15" s="5"/>
      <c r="K15" s="4" t="s">
        <v>28</v>
      </c>
    </row>
    <row r="16" spans="1:12" x14ac:dyDescent="0.25">
      <c r="A16" s="10">
        <f t="shared" si="0"/>
        <v>9</v>
      </c>
      <c r="B16" s="11" t="s">
        <v>7</v>
      </c>
      <c r="C16" s="14">
        <v>1400000</v>
      </c>
    </row>
    <row r="17" spans="1:11" x14ac:dyDescent="0.25">
      <c r="A17" s="10">
        <f t="shared" si="0"/>
        <v>10</v>
      </c>
      <c r="B17" s="11" t="s">
        <v>8</v>
      </c>
      <c r="C17" s="14">
        <v>1800000</v>
      </c>
      <c r="E17" s="44" t="s">
        <v>38</v>
      </c>
      <c r="F17" s="45"/>
      <c r="G17" s="45"/>
      <c r="H17" s="45"/>
      <c r="I17" s="46"/>
      <c r="J17" s="58">
        <f>C23-J14</f>
        <v>2570000</v>
      </c>
      <c r="K17" s="60" t="s">
        <v>28</v>
      </c>
    </row>
    <row r="18" spans="1:11" x14ac:dyDescent="0.25">
      <c r="A18" s="10">
        <f t="shared" si="0"/>
        <v>11</v>
      </c>
      <c r="B18" s="11" t="s">
        <v>9</v>
      </c>
      <c r="C18" s="14">
        <v>1830000</v>
      </c>
      <c r="E18" s="47"/>
      <c r="F18" s="48"/>
      <c r="G18" s="48"/>
      <c r="H18" s="48"/>
      <c r="I18" s="49"/>
      <c r="J18" s="59"/>
      <c r="K18" s="61"/>
    </row>
    <row r="19" spans="1:11" x14ac:dyDescent="0.25">
      <c r="A19" s="10">
        <f t="shared" si="0"/>
        <v>12</v>
      </c>
      <c r="B19" s="11" t="s">
        <v>10</v>
      </c>
      <c r="C19" s="14">
        <v>1780000</v>
      </c>
      <c r="E19" s="50" t="s">
        <v>31</v>
      </c>
      <c r="F19" s="51"/>
      <c r="G19" s="51"/>
      <c r="H19" s="51"/>
      <c r="I19" s="52"/>
      <c r="J19" s="7">
        <f>J17*0.1</f>
        <v>257000</v>
      </c>
      <c r="K19" s="4" t="s">
        <v>28</v>
      </c>
    </row>
    <row r="20" spans="1:11" x14ac:dyDescent="0.25">
      <c r="A20" s="10">
        <f t="shared" si="0"/>
        <v>13</v>
      </c>
      <c r="B20" s="11" t="s">
        <v>11</v>
      </c>
      <c r="C20" s="38">
        <v>2280000</v>
      </c>
    </row>
    <row r="21" spans="1:11" x14ac:dyDescent="0.25">
      <c r="A21" s="10"/>
      <c r="B21" s="11"/>
      <c r="C21" s="15"/>
    </row>
    <row r="23" spans="1:11" ht="22.5" x14ac:dyDescent="0.3">
      <c r="A23" s="40" t="s">
        <v>29</v>
      </c>
      <c r="B23" s="40"/>
      <c r="C23" s="36">
        <f>SUM(C8:C21)</f>
        <v>24670000</v>
      </c>
      <c r="E23" s="53" t="s">
        <v>39</v>
      </c>
      <c r="F23" s="54"/>
      <c r="G23" s="54"/>
      <c r="H23" s="54"/>
      <c r="I23" s="55"/>
      <c r="J23" s="34">
        <f>J13+J19</f>
        <v>657000</v>
      </c>
      <c r="K23" s="37" t="s">
        <v>28</v>
      </c>
    </row>
  </sheetData>
  <mergeCells count="10">
    <mergeCell ref="A6:B6"/>
    <mergeCell ref="E12:I12"/>
    <mergeCell ref="E13:I13"/>
    <mergeCell ref="J17:J18"/>
    <mergeCell ref="K17:K18"/>
    <mergeCell ref="A23:B23"/>
    <mergeCell ref="E14:I14"/>
    <mergeCell ref="E17:I18"/>
    <mergeCell ref="E19:I19"/>
    <mergeCell ref="E23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886D-3FA5-4181-BCB6-9C8D03F8D0AD}">
  <sheetPr codeName="Sheet1"/>
  <dimension ref="A2:L23"/>
  <sheetViews>
    <sheetView showGridLines="0" workbookViewId="0">
      <selection activeCell="H15" sqref="H15"/>
    </sheetView>
  </sheetViews>
  <sheetFormatPr defaultRowHeight="16.5" x14ac:dyDescent="0.25"/>
  <cols>
    <col min="2" max="2" width="11.109375" customWidth="1"/>
    <col min="3" max="3" width="17.44140625" customWidth="1"/>
    <col min="4" max="4" width="6.6640625" customWidth="1"/>
    <col min="5" max="5" width="17.6640625" customWidth="1"/>
    <col min="6" max="6" width="19.77734375" customWidth="1"/>
    <col min="7" max="7" width="10.5546875" customWidth="1"/>
    <col min="8" max="8" width="15.109375" customWidth="1"/>
    <col min="9" max="9" width="15.21875" customWidth="1"/>
    <col min="10" max="10" width="11.6640625" bestFit="1" customWidth="1"/>
    <col min="11" max="11" width="10" customWidth="1"/>
  </cols>
  <sheetData>
    <row r="2" spans="1:12" ht="27.75" x14ac:dyDescent="0.25">
      <c r="D2" s="8" t="s">
        <v>0</v>
      </c>
      <c r="G2" s="8"/>
      <c r="H2" s="8"/>
      <c r="I2" s="8"/>
      <c r="J2" s="8"/>
      <c r="K2" s="8"/>
      <c r="L2" s="8"/>
    </row>
    <row r="3" spans="1:12" ht="30.75" x14ac:dyDescent="0.25">
      <c r="F3" s="2" t="s">
        <v>2</v>
      </c>
      <c r="J3" s="1"/>
      <c r="K3" s="1"/>
      <c r="L3" s="1"/>
    </row>
    <row r="4" spans="1:12" x14ac:dyDescent="0.25">
      <c r="H4" t="s">
        <v>30</v>
      </c>
      <c r="J4" s="18" t="s">
        <v>20</v>
      </c>
      <c r="K4" s="12" t="s">
        <v>19</v>
      </c>
    </row>
    <row r="6" spans="1:12" ht="45.75" customHeight="1" x14ac:dyDescent="0.25">
      <c r="A6" s="56" t="s">
        <v>3</v>
      </c>
      <c r="B6" s="57"/>
      <c r="C6" s="35" t="s">
        <v>13</v>
      </c>
      <c r="F6" s="18"/>
    </row>
    <row r="7" spans="1:12" x14ac:dyDescent="0.25">
      <c r="A7" s="9" t="s">
        <v>4</v>
      </c>
      <c r="B7" s="9" t="s">
        <v>5</v>
      </c>
      <c r="C7" s="13" t="s">
        <v>14</v>
      </c>
      <c r="E7" s="19" t="s">
        <v>15</v>
      </c>
      <c r="F7" s="7">
        <v>1000000</v>
      </c>
    </row>
    <row r="8" spans="1:12" x14ac:dyDescent="0.25">
      <c r="A8" s="10">
        <v>1</v>
      </c>
      <c r="B8" s="11" t="s">
        <v>6</v>
      </c>
      <c r="C8" s="14">
        <v>1955000</v>
      </c>
      <c r="E8" s="19" t="s">
        <v>16</v>
      </c>
      <c r="F8" s="7">
        <v>1700000</v>
      </c>
    </row>
    <row r="9" spans="1:12" x14ac:dyDescent="0.25">
      <c r="A9" s="10">
        <f>A8+1</f>
        <v>2</v>
      </c>
      <c r="B9" s="11" t="s">
        <v>7</v>
      </c>
      <c r="C9" s="14">
        <v>1975000</v>
      </c>
      <c r="E9" s="19" t="s">
        <v>21</v>
      </c>
      <c r="F9" s="7">
        <v>14</v>
      </c>
      <c r="G9" s="3"/>
    </row>
    <row r="10" spans="1:12" x14ac:dyDescent="0.25">
      <c r="A10" s="10">
        <f t="shared" ref="A10:A21" si="0">A9+1</f>
        <v>3</v>
      </c>
      <c r="B10" s="11" t="s">
        <v>8</v>
      </c>
      <c r="C10" s="14">
        <v>2220000</v>
      </c>
      <c r="E10" s="17"/>
      <c r="F10" s="16"/>
    </row>
    <row r="11" spans="1:12" x14ac:dyDescent="0.25">
      <c r="A11" s="10">
        <f t="shared" si="0"/>
        <v>4</v>
      </c>
      <c r="B11" s="11" t="s">
        <v>9</v>
      </c>
      <c r="C11" s="14">
        <v>2090000</v>
      </c>
    </row>
    <row r="12" spans="1:12" x14ac:dyDescent="0.25">
      <c r="A12" s="10">
        <f t="shared" si="0"/>
        <v>5</v>
      </c>
      <c r="B12" s="11" t="s">
        <v>10</v>
      </c>
      <c r="C12" s="14">
        <v>2100000</v>
      </c>
      <c r="E12" s="50" t="s">
        <v>18</v>
      </c>
      <c r="F12" s="51"/>
      <c r="G12" s="51"/>
      <c r="H12" s="51"/>
      <c r="I12" s="52"/>
      <c r="J12" s="6" t="s">
        <v>17</v>
      </c>
      <c r="K12" s="6" t="s">
        <v>27</v>
      </c>
    </row>
    <row r="13" spans="1:12" ht="22.5" customHeight="1" x14ac:dyDescent="0.25">
      <c r="A13" s="10">
        <f t="shared" si="0"/>
        <v>6</v>
      </c>
      <c r="B13" s="11" t="s">
        <v>11</v>
      </c>
      <c r="C13" s="14">
        <v>2200000</v>
      </c>
      <c r="E13" s="41" t="s">
        <v>23</v>
      </c>
      <c r="F13" s="42"/>
      <c r="G13" s="42"/>
      <c r="H13" s="42"/>
      <c r="I13" s="43"/>
      <c r="J13" s="7">
        <v>660000</v>
      </c>
      <c r="K13" s="4" t="s">
        <v>28</v>
      </c>
    </row>
    <row r="14" spans="1:12" x14ac:dyDescent="0.25">
      <c r="A14" s="10">
        <f t="shared" si="0"/>
        <v>7</v>
      </c>
      <c r="B14" s="11" t="s">
        <v>12</v>
      </c>
      <c r="C14" s="14">
        <v>1760000</v>
      </c>
      <c r="E14" s="41" t="s">
        <v>24</v>
      </c>
      <c r="F14" s="42"/>
      <c r="G14" s="42"/>
      <c r="H14" s="42"/>
      <c r="I14" s="43"/>
      <c r="J14" s="7">
        <v>330000</v>
      </c>
      <c r="K14" s="4" t="s">
        <v>28</v>
      </c>
    </row>
    <row r="15" spans="1:12" x14ac:dyDescent="0.25">
      <c r="A15" s="10">
        <f t="shared" si="0"/>
        <v>8</v>
      </c>
      <c r="B15" s="11" t="s">
        <v>6</v>
      </c>
      <c r="C15" s="14">
        <v>2010000</v>
      </c>
      <c r="E15" s="23"/>
      <c r="F15" s="24"/>
      <c r="G15" s="24"/>
      <c r="H15" s="24"/>
      <c r="I15" s="25"/>
      <c r="J15" s="5"/>
      <c r="K15" s="4" t="s">
        <v>28</v>
      </c>
    </row>
    <row r="16" spans="1:12" x14ac:dyDescent="0.25">
      <c r="A16" s="10">
        <f t="shared" si="0"/>
        <v>9</v>
      </c>
      <c r="B16" s="11" t="s">
        <v>7</v>
      </c>
      <c r="C16" s="14">
        <v>1810000</v>
      </c>
      <c r="E16" s="20" t="s">
        <v>25</v>
      </c>
      <c r="F16" s="21"/>
      <c r="G16" s="21"/>
      <c r="H16" s="21"/>
      <c r="I16" s="22"/>
      <c r="J16" s="7">
        <v>23800000</v>
      </c>
      <c r="K16" s="4" t="s">
        <v>28</v>
      </c>
    </row>
    <row r="17" spans="1:11" x14ac:dyDescent="0.25">
      <c r="A17" s="10">
        <f t="shared" si="0"/>
        <v>10</v>
      </c>
      <c r="B17" s="11" t="s">
        <v>8</v>
      </c>
      <c r="C17" s="14">
        <v>1630000</v>
      </c>
      <c r="E17" s="26" t="s">
        <v>26</v>
      </c>
      <c r="F17" s="27"/>
      <c r="G17" s="27"/>
      <c r="H17" s="27"/>
      <c r="I17" s="28"/>
      <c r="J17" s="58">
        <v>3900000</v>
      </c>
      <c r="K17" s="60" t="s">
        <v>28</v>
      </c>
    </row>
    <row r="18" spans="1:11" x14ac:dyDescent="0.25">
      <c r="A18" s="10">
        <f t="shared" si="0"/>
        <v>11</v>
      </c>
      <c r="B18" s="11" t="s">
        <v>9</v>
      </c>
      <c r="C18" s="14">
        <v>2050000</v>
      </c>
      <c r="E18" s="29"/>
      <c r="F18" s="30"/>
      <c r="G18" s="30"/>
      <c r="H18" s="30"/>
      <c r="I18" s="31"/>
      <c r="J18" s="59"/>
      <c r="K18" s="61"/>
    </row>
    <row r="19" spans="1:11" x14ac:dyDescent="0.25">
      <c r="A19" s="10">
        <f t="shared" si="0"/>
        <v>12</v>
      </c>
      <c r="B19" s="11" t="s">
        <v>10</v>
      </c>
      <c r="C19" s="14">
        <v>2140000</v>
      </c>
      <c r="E19" s="20" t="s">
        <v>31</v>
      </c>
      <c r="F19" s="21"/>
      <c r="G19" s="21"/>
      <c r="H19" s="21"/>
      <c r="I19" s="22"/>
      <c r="J19" s="7">
        <v>390000</v>
      </c>
      <c r="K19" s="4" t="s">
        <v>28</v>
      </c>
    </row>
    <row r="20" spans="1:11" x14ac:dyDescent="0.25">
      <c r="A20" s="10">
        <f t="shared" si="0"/>
        <v>13</v>
      </c>
      <c r="B20" s="11" t="s">
        <v>11</v>
      </c>
      <c r="C20" s="15">
        <v>2020000</v>
      </c>
    </row>
    <row r="21" spans="1:11" x14ac:dyDescent="0.25">
      <c r="A21" s="10">
        <f t="shared" si="0"/>
        <v>14</v>
      </c>
      <c r="B21" s="11" t="s">
        <v>12</v>
      </c>
      <c r="C21" s="15">
        <v>1740000</v>
      </c>
    </row>
    <row r="23" spans="1:11" ht="22.5" x14ac:dyDescent="0.3">
      <c r="A23" s="40" t="s">
        <v>29</v>
      </c>
      <c r="B23" s="40"/>
      <c r="C23" s="36">
        <f>SUM(C8:C21)</f>
        <v>27700000</v>
      </c>
      <c r="E23" s="32" t="s">
        <v>22</v>
      </c>
      <c r="F23" s="33"/>
      <c r="G23" s="33"/>
      <c r="H23" s="33"/>
      <c r="I23" s="33"/>
      <c r="J23" s="34">
        <v>60000</v>
      </c>
      <c r="K23" s="37" t="s">
        <v>28</v>
      </c>
    </row>
  </sheetData>
  <mergeCells count="7">
    <mergeCell ref="A6:B6"/>
    <mergeCell ref="K17:K18"/>
    <mergeCell ref="J17:J18"/>
    <mergeCell ref="E12:I12"/>
    <mergeCell ref="A23:B23"/>
    <mergeCell ref="E14:I14"/>
    <mergeCell ref="E13:I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D66-B400-4856-9981-27C628A3F609}">
  <dimension ref="A2:L25"/>
  <sheetViews>
    <sheetView showGridLines="0" tabSelected="1" workbookViewId="0">
      <selection activeCell="G7" sqref="G7"/>
    </sheetView>
  </sheetViews>
  <sheetFormatPr defaultRowHeight="16.5" x14ac:dyDescent="0.25"/>
  <cols>
    <col min="2" max="2" width="11.109375" customWidth="1"/>
    <col min="3" max="3" width="17.44140625" customWidth="1"/>
    <col min="4" max="4" width="6.6640625" customWidth="1"/>
    <col min="5" max="5" width="17.6640625" customWidth="1"/>
    <col min="6" max="6" width="19.77734375" customWidth="1"/>
    <col min="7" max="7" width="10.5546875" customWidth="1"/>
    <col min="8" max="8" width="15.109375" customWidth="1"/>
    <col min="9" max="9" width="15.21875" customWidth="1"/>
    <col min="10" max="10" width="11.6640625" bestFit="1" customWidth="1"/>
    <col min="11" max="11" width="10" customWidth="1"/>
  </cols>
  <sheetData>
    <row r="2" spans="1:12" ht="27.75" x14ac:dyDescent="0.25">
      <c r="D2" s="8" t="s">
        <v>0</v>
      </c>
      <c r="G2" s="8"/>
      <c r="H2" s="8"/>
      <c r="I2" s="8"/>
      <c r="J2" s="8"/>
      <c r="K2" s="8"/>
      <c r="L2" s="8"/>
    </row>
    <row r="3" spans="1:12" ht="30.75" x14ac:dyDescent="0.25">
      <c r="F3" s="2" t="s">
        <v>40</v>
      </c>
      <c r="J3" s="1"/>
      <c r="K3" s="1"/>
      <c r="L3" s="1"/>
    </row>
    <row r="4" spans="1:12" x14ac:dyDescent="0.25">
      <c r="H4" t="s">
        <v>43</v>
      </c>
      <c r="J4" s="18" t="s">
        <v>20</v>
      </c>
      <c r="K4" s="12" t="s">
        <v>19</v>
      </c>
    </row>
    <row r="6" spans="1:12" ht="45.75" customHeight="1" x14ac:dyDescent="0.25">
      <c r="A6" s="56" t="s">
        <v>3</v>
      </c>
      <c r="B6" s="57"/>
      <c r="C6" s="35" t="s">
        <v>41</v>
      </c>
      <c r="F6" s="18"/>
    </row>
    <row r="7" spans="1:12" x14ac:dyDescent="0.25">
      <c r="A7" s="9" t="s">
        <v>4</v>
      </c>
      <c r="B7" s="9" t="s">
        <v>5</v>
      </c>
      <c r="C7" s="13" t="s">
        <v>14</v>
      </c>
      <c r="E7" s="19" t="s">
        <v>15</v>
      </c>
      <c r="F7" s="7">
        <v>1000000</v>
      </c>
    </row>
    <row r="8" spans="1:12" x14ac:dyDescent="0.25">
      <c r="A8" s="10">
        <v>1</v>
      </c>
      <c r="B8" s="62" t="s">
        <v>6</v>
      </c>
      <c r="C8" s="14">
        <v>1940000</v>
      </c>
      <c r="E8" s="19" t="s">
        <v>16</v>
      </c>
      <c r="F8" s="7">
        <v>1800000</v>
      </c>
    </row>
    <row r="9" spans="1:12" x14ac:dyDescent="0.25">
      <c r="A9" s="10">
        <f>A8+1</f>
        <v>2</v>
      </c>
      <c r="B9" s="62" t="s">
        <v>7</v>
      </c>
      <c r="C9" s="14">
        <v>2190000</v>
      </c>
      <c r="E9" s="19" t="s">
        <v>21</v>
      </c>
      <c r="F9" s="7">
        <v>15</v>
      </c>
      <c r="G9" s="3"/>
    </row>
    <row r="10" spans="1:12" x14ac:dyDescent="0.25">
      <c r="A10" s="10">
        <f t="shared" ref="A10:A22" si="0">A9+1</f>
        <v>3</v>
      </c>
      <c r="B10" s="62" t="s">
        <v>8</v>
      </c>
      <c r="C10" s="14">
        <v>2520000</v>
      </c>
      <c r="E10" s="17"/>
      <c r="F10" s="16"/>
    </row>
    <row r="11" spans="1:12" x14ac:dyDescent="0.25">
      <c r="A11" s="10">
        <f t="shared" si="0"/>
        <v>4</v>
      </c>
      <c r="B11" s="62" t="s">
        <v>9</v>
      </c>
      <c r="C11" s="14">
        <v>1820000</v>
      </c>
    </row>
    <row r="12" spans="1:12" x14ac:dyDescent="0.25">
      <c r="A12" s="10">
        <f t="shared" si="0"/>
        <v>5</v>
      </c>
      <c r="B12" s="62" t="s">
        <v>10</v>
      </c>
      <c r="C12" s="14">
        <v>2070000</v>
      </c>
      <c r="E12" s="50" t="s">
        <v>18</v>
      </c>
      <c r="F12" s="51"/>
      <c r="G12" s="51"/>
      <c r="H12" s="51"/>
      <c r="I12" s="52"/>
      <c r="J12" s="6" t="s">
        <v>17</v>
      </c>
      <c r="K12" s="6" t="s">
        <v>27</v>
      </c>
    </row>
    <row r="13" spans="1:12" ht="22.5" customHeight="1" x14ac:dyDescent="0.25">
      <c r="A13" s="10">
        <f t="shared" si="0"/>
        <v>6</v>
      </c>
      <c r="B13" s="62" t="s">
        <v>11</v>
      </c>
      <c r="C13" s="14">
        <v>2270000</v>
      </c>
      <c r="E13" s="20" t="s">
        <v>42</v>
      </c>
      <c r="F13" s="21"/>
      <c r="G13" s="21"/>
      <c r="H13" s="21"/>
      <c r="I13" s="22"/>
      <c r="J13" s="7">
        <v>27000000</v>
      </c>
      <c r="K13" s="4" t="s">
        <v>28</v>
      </c>
    </row>
    <row r="14" spans="1:12" x14ac:dyDescent="0.25">
      <c r="A14" s="10">
        <f t="shared" si="0"/>
        <v>7</v>
      </c>
      <c r="B14" s="62" t="s">
        <v>12</v>
      </c>
      <c r="C14" s="14">
        <v>2180000</v>
      </c>
      <c r="E14" s="26" t="s">
        <v>44</v>
      </c>
      <c r="F14" s="27"/>
      <c r="G14" s="27"/>
      <c r="H14" s="27"/>
      <c r="I14" s="28"/>
      <c r="J14" s="58">
        <v>880000</v>
      </c>
      <c r="K14" s="60" t="s">
        <v>28</v>
      </c>
    </row>
    <row r="15" spans="1:12" x14ac:dyDescent="0.25">
      <c r="A15" s="10">
        <f t="shared" si="0"/>
        <v>8</v>
      </c>
      <c r="B15" s="62" t="s">
        <v>6</v>
      </c>
      <c r="C15" s="14">
        <v>2340000</v>
      </c>
      <c r="E15" s="29"/>
      <c r="F15" s="30"/>
      <c r="G15" s="30"/>
      <c r="H15" s="30"/>
      <c r="I15" s="31"/>
      <c r="J15" s="59"/>
      <c r="K15" s="61"/>
    </row>
    <row r="16" spans="1:12" x14ac:dyDescent="0.25">
      <c r="A16" s="10">
        <f t="shared" si="0"/>
        <v>9</v>
      </c>
      <c r="B16" s="62" t="s">
        <v>7</v>
      </c>
      <c r="C16" s="14">
        <v>1690000</v>
      </c>
      <c r="E16" s="20" t="s">
        <v>31</v>
      </c>
      <c r="F16" s="21"/>
      <c r="G16" s="21"/>
      <c r="H16" s="21"/>
      <c r="I16" s="22"/>
      <c r="J16" s="7">
        <v>88000</v>
      </c>
      <c r="K16" s="4" t="s">
        <v>28</v>
      </c>
    </row>
    <row r="17" spans="1:11" x14ac:dyDescent="0.25">
      <c r="A17" s="10">
        <f t="shared" si="0"/>
        <v>10</v>
      </c>
      <c r="B17" s="62" t="s">
        <v>8</v>
      </c>
      <c r="C17" s="14">
        <v>1550000</v>
      </c>
    </row>
    <row r="18" spans="1:11" x14ac:dyDescent="0.25">
      <c r="A18" s="10">
        <f t="shared" si="0"/>
        <v>11</v>
      </c>
      <c r="B18" s="62" t="s">
        <v>9</v>
      </c>
      <c r="C18" s="15">
        <v>1860000</v>
      </c>
    </row>
    <row r="19" spans="1:11" x14ac:dyDescent="0.25">
      <c r="A19" s="10">
        <f t="shared" si="0"/>
        <v>12</v>
      </c>
      <c r="B19" s="62" t="s">
        <v>10</v>
      </c>
      <c r="C19" s="15">
        <v>1850000</v>
      </c>
    </row>
    <row r="20" spans="1:11" x14ac:dyDescent="0.25">
      <c r="A20" s="10">
        <f t="shared" si="0"/>
        <v>13</v>
      </c>
      <c r="B20" s="62" t="s">
        <v>11</v>
      </c>
      <c r="C20" s="15">
        <v>1200000</v>
      </c>
    </row>
    <row r="21" spans="1:11" x14ac:dyDescent="0.25">
      <c r="A21" s="10">
        <f t="shared" si="0"/>
        <v>14</v>
      </c>
      <c r="B21" s="62" t="s">
        <v>12</v>
      </c>
      <c r="C21" s="15">
        <v>2300000</v>
      </c>
    </row>
    <row r="22" spans="1:11" x14ac:dyDescent="0.25">
      <c r="A22" s="10">
        <f t="shared" si="0"/>
        <v>15</v>
      </c>
      <c r="B22" s="62" t="s">
        <v>6</v>
      </c>
      <c r="C22" s="38">
        <v>100000</v>
      </c>
    </row>
    <row r="23" spans="1:11" ht="22.5" x14ac:dyDescent="0.3">
      <c r="A23" s="40" t="s">
        <v>29</v>
      </c>
      <c r="B23" s="40"/>
      <c r="C23" s="36">
        <f>SUM(C8:C22)</f>
        <v>27880000</v>
      </c>
      <c r="E23" s="32" t="s">
        <v>22</v>
      </c>
      <c r="F23" s="33"/>
      <c r="G23" s="33"/>
      <c r="H23" s="33"/>
      <c r="I23" s="33"/>
      <c r="J23" s="34">
        <v>88000</v>
      </c>
      <c r="K23" s="37" t="s">
        <v>28</v>
      </c>
    </row>
    <row r="25" spans="1:11" ht="22.5" x14ac:dyDescent="0.3">
      <c r="J25" s="63"/>
    </row>
  </sheetData>
  <mergeCells count="5">
    <mergeCell ref="A23:B23"/>
    <mergeCell ref="A6:B6"/>
    <mergeCell ref="E12:I12"/>
    <mergeCell ref="J14:J15"/>
    <mergeCell ref="K14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Thiện</vt:lpstr>
      <vt:lpstr>Nam Đỗ</vt:lpstr>
      <vt:lpstr>Hà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2026-01-14T11:22:54Z</dcterms:created>
  <dcterms:modified xsi:type="dcterms:W3CDTF">2026-01-15T12:54:06Z</dcterms:modified>
</cp:coreProperties>
</file>