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1A28721-2D03-4A7A-B5E5-3A723E1D21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H LINH" sheetId="1" r:id="rId1"/>
  </sheets>
  <definedNames>
    <definedName name="ColumnTitle1">Invoice[[#Headers],[NỘI DUNG]]</definedName>
    <definedName name="ColumnTitleRegion1..B11.1">'ANH LINH'!$B$8</definedName>
    <definedName name="Company_Name">'ANH LINH'!$B$1</definedName>
    <definedName name="_xlnm.Print_Titles" localSheetId="0">'ANH LINH'!$12:$12</definedName>
    <definedName name="RowTitleRegion1..D5">'ANH LINH'!$C$3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18" i="1"/>
  <c r="B19" i="1"/>
</calcChain>
</file>

<file path=xl/sharedStrings.xml><?xml version="1.0" encoding="utf-8"?>
<sst xmlns="http://schemas.openxmlformats.org/spreadsheetml/2006/main" count="27" uniqueCount="26">
  <si>
    <t>CÔNG TY TNHH MTV VẬN TẢI VÀ DU LỊCH MINH HẢI</t>
  </si>
  <si>
    <t>HÓA ĐƠN</t>
  </si>
  <si>
    <t>NỘI DUNG</t>
  </si>
  <si>
    <t>TỔNG SỐ</t>
  </si>
  <si>
    <t>TIỀN CỌC XE</t>
  </si>
  <si>
    <t>GHI CHÚ</t>
  </si>
  <si>
    <t>NGÀY BẮT ĐẦU LÀM</t>
  </si>
  <si>
    <t>NGÀY LÀM ĐƠN:</t>
  </si>
  <si>
    <t>TỔNG SỐ NGÀY LÀM</t>
  </si>
  <si>
    <t xml:space="preserve">SỐ LƯỢNG </t>
  </si>
  <si>
    <t>TIỀN ĐIỆN 1 THÁNG</t>
  </si>
  <si>
    <t>TIỀN ĐIỆN TRỪ VÀO TIỀN CỌC</t>
  </si>
  <si>
    <t xml:space="preserve"> TỔNG CHI PHÍ TRỪ </t>
  </si>
  <si>
    <t>SỐ TIỀN HOÀN TRẢ</t>
  </si>
  <si>
    <t>500,000 vnđ</t>
  </si>
  <si>
    <t>13 tháng 11 2025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</si>
  <si>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08 tháng 02 2026</t>
    </r>
  </si>
  <si>
    <t>88 NGÀY</t>
  </si>
  <si>
    <t>TIỀN ĐIỆN (88 NGÀY)</t>
  </si>
  <si>
    <t>1,93 tháng</t>
  </si>
  <si>
    <t>-1,550,000</t>
  </si>
  <si>
    <t>DOANH THU NGÀY 08-02-2026 PHẢI NỘP CHO CTY</t>
  </si>
  <si>
    <t>TIỀN DOANH THU NGÀY 08-02 PHẢI NỘP CHO CÔNG TY</t>
  </si>
  <si>
    <t>Đến: TRƯƠNG VŨ CA (ANH LINH)</t>
  </si>
  <si>
    <t>Phone: 0915 192 340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</si>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</sst>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1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0" fontId="8" fillId="0" borderId="0" xfId="0" applyFont="1">
      <alignment wrapText="1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" formatCode="#,##0"/>
      <alignment horizontal="right" vertical="center" textRotation="0" wrapText="0" indent="0" justifyLastLine="0" shrinkToFit="0" readingOrder="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2" dataCellStyle="Description"/>
    <tableColumn id="3" xr3:uid="{00000000-0010-0000-0000-000003000000}" name="TỔNG SỐ" totalsRowLabel="-1,550,000" dataDxfId="1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K25"/>
  <sheetViews>
    <sheetView showGridLines="0" tabSelected="1" workbookViewId="0">
      <selection activeCell="K6" sqref="K6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11" ht="34.5" customHeight="1" x14ac:dyDescent="0.2">
      <c r="B1" s="23" t="s">
        <v>0</v>
      </c>
      <c r="C1" s="24" t="s">
        <v>1</v>
      </c>
      <c r="D1" s="24"/>
    </row>
    <row r="2" spans="2:11" ht="30" customHeight="1" x14ac:dyDescent="0.2">
      <c r="B2" s="23"/>
      <c r="C2" s="24"/>
      <c r="D2" s="24"/>
    </row>
    <row r="3" spans="2:11" ht="30" customHeight="1" x14ac:dyDescent="0.25">
      <c r="C3" s="5" t="s">
        <v>7</v>
      </c>
      <c r="D3" s="7">
        <f ca="1">TODAY()</f>
        <v>46062</v>
      </c>
    </row>
    <row r="4" spans="2:11" ht="15" customHeight="1" x14ac:dyDescent="0.25">
      <c r="C4" s="17" t="s">
        <v>6</v>
      </c>
      <c r="D4" s="19" t="s">
        <v>15</v>
      </c>
      <c r="F4" s="18" t="s">
        <v>16</v>
      </c>
    </row>
    <row r="5" spans="2:11" ht="15.75" customHeight="1" x14ac:dyDescent="0.2">
      <c r="B5" s="3"/>
      <c r="C5" s="4" t="s">
        <v>8</v>
      </c>
      <c r="D5" s="6" t="s">
        <v>17</v>
      </c>
    </row>
    <row r="6" spans="2:11" ht="16.5" customHeight="1" x14ac:dyDescent="0.25">
      <c r="C6" s="13" t="s">
        <v>10</v>
      </c>
      <c r="D6" s="14" t="s">
        <v>14</v>
      </c>
      <c r="K6" t="s">
        <v>25</v>
      </c>
    </row>
    <row r="7" spans="2:11" ht="15" customHeight="1" x14ac:dyDescent="0.2"/>
    <row r="8" spans="2:11" ht="15" customHeight="1" x14ac:dyDescent="0.25">
      <c r="B8" s="2" t="s">
        <v>23</v>
      </c>
    </row>
    <row r="9" spans="2:11" ht="15" customHeight="1" x14ac:dyDescent="0.2">
      <c r="B9" s="3" t="s">
        <v>24</v>
      </c>
    </row>
    <row r="10" spans="2:11" ht="15" customHeight="1" x14ac:dyDescent="0.2"/>
    <row r="12" spans="2:11" ht="30" customHeight="1" x14ac:dyDescent="0.2">
      <c r="B12" s="1" t="s">
        <v>2</v>
      </c>
      <c r="C12" s="1" t="s">
        <v>9</v>
      </c>
      <c r="D12" s="1" t="s">
        <v>3</v>
      </c>
      <c r="F12" s="11" t="s">
        <v>5</v>
      </c>
    </row>
    <row r="13" spans="2:11" ht="30" customHeight="1" x14ac:dyDescent="0.2">
      <c r="B13" s="8" t="s">
        <v>4</v>
      </c>
      <c r="C13" s="8">
        <v>1</v>
      </c>
      <c r="D13" s="9">
        <v>3000000</v>
      </c>
      <c r="F13" s="12" t="s">
        <v>4</v>
      </c>
    </row>
    <row r="14" spans="2:11" ht="30" customHeight="1" x14ac:dyDescent="0.2">
      <c r="B14" s="8" t="s">
        <v>18</v>
      </c>
      <c r="C14" s="8" t="s">
        <v>19</v>
      </c>
      <c r="D14" s="9">
        <v>-950000</v>
      </c>
      <c r="F14" s="12" t="s">
        <v>11</v>
      </c>
    </row>
    <row r="15" spans="2:11" ht="30" customHeight="1" x14ac:dyDescent="0.2">
      <c r="B15" s="8" t="s">
        <v>21</v>
      </c>
      <c r="C15" s="8">
        <v>1</v>
      </c>
      <c r="D15" s="9">
        <v>-600000</v>
      </c>
      <c r="F15" s="20" t="s">
        <v>22</v>
      </c>
    </row>
    <row r="16" spans="2:11" ht="30" customHeight="1" x14ac:dyDescent="0.2">
      <c r="B16" s="8"/>
      <c r="C16" s="8"/>
      <c r="D16" s="9"/>
      <c r="F16" s="12"/>
    </row>
    <row r="17" spans="2:4" ht="30" customHeight="1" x14ac:dyDescent="0.2">
      <c r="C17" s="15" t="s">
        <v>12</v>
      </c>
      <c r="D17" s="16" t="s">
        <v>20</v>
      </c>
    </row>
    <row r="18" spans="2:4" ht="30" customHeight="1" x14ac:dyDescent="0.2">
      <c r="C18" s="15" t="s">
        <v>13</v>
      </c>
      <c r="D18" s="10">
        <f>SUBTOTAL(109,Invoice[TỔNG SỐ])</f>
        <v>1450000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D2"/>
  </mergeCells>
  <phoneticPr fontId="0" type="noConversion"/>
  <dataValidations xWindow="691" yWindow="457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ANH LINH</vt:lpstr>
      <vt:lpstr>ColumnTitle1</vt:lpstr>
      <vt:lpstr>ColumnTitleRegion1..B11.1</vt:lpstr>
      <vt:lpstr>Company_Name</vt:lpstr>
      <vt:lpstr>'ANH LINH'!Print_Titles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2026-02-09T16:45:47Z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