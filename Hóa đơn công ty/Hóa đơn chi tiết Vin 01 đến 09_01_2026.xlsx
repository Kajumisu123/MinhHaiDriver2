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Hóa đơn công ty\"/>
    </mc:Choice>
  </mc:AlternateContent>
  <xr:revisionPtr revIDLastSave="0" documentId="8_{58B7DD25-E35D-430B-9131-D16989D2FCDB}" xr6:coauthVersionLast="47" xr6:coauthVersionMax="47" xr10:uidLastSave="{00000000-0000-0000-0000-000000000000}"/>
  <bookViews>
    <workbookView xWindow="-120" yWindow="-120" windowWidth="29040" windowHeight="15840" xr2:uid="{DFEB8AA1-BDA4-47FF-A913-67C9283CD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H14" i="1"/>
  <c r="F14" i="1"/>
  <c r="D14" i="1"/>
  <c r="N13" i="1"/>
  <c r="L13" i="1"/>
  <c r="H13" i="1"/>
  <c r="F13" i="1"/>
  <c r="D13" i="1"/>
  <c r="H12" i="1"/>
  <c r="F12" i="1"/>
  <c r="D12" i="1"/>
  <c r="H11" i="1"/>
  <c r="F11" i="1"/>
  <c r="D11" i="1"/>
  <c r="F10" i="1"/>
  <c r="D10" i="1"/>
  <c r="H9" i="1"/>
  <c r="F9" i="1"/>
  <c r="F8" i="1"/>
  <c r="F7" i="1"/>
  <c r="D7" i="1"/>
  <c r="A7" i="1"/>
  <c r="A8" i="1" s="1"/>
  <c r="A9" i="1" s="1"/>
  <c r="A10" i="1" s="1"/>
  <c r="A11" i="1" s="1"/>
  <c r="A12" i="1" s="1"/>
  <c r="A13" i="1" s="1"/>
  <c r="A14" i="1" s="1"/>
  <c r="H6" i="1"/>
  <c r="F6" i="1"/>
</calcChain>
</file>

<file path=xl/sharedStrings.xml><?xml version="1.0" encoding="utf-8"?>
<sst xmlns="http://schemas.openxmlformats.org/spreadsheetml/2006/main" count="37" uniqueCount="25">
  <si>
    <t>CÔNG TY TNHH MTV VẬN TẢI VÀ DU LỊCH MINH HẢI</t>
  </si>
  <si>
    <t>KẾT TOÁN TIỀN MẶT 01 - 09/01/2026</t>
  </si>
  <si>
    <t>THÁNG 01
NĂM 2026</t>
  </si>
  <si>
    <t>TRƯƠNG VŨ CA</t>
  </si>
  <si>
    <t>NGUYỄN CHÍ BÌNH</t>
  </si>
  <si>
    <t>QUANG HÀ</t>
  </si>
  <si>
    <t>LÊ VĨNH NHÂM</t>
  </si>
  <si>
    <t>MAI BÁ ĐẠT</t>
  </si>
  <si>
    <t>NGUYỄN VĂN THẠO</t>
  </si>
  <si>
    <t>NGÀY</t>
  </si>
  <si>
    <t>THỨ</t>
  </si>
  <si>
    <t>DOANH THU</t>
  </si>
  <si>
    <t>THỰC LÃNH</t>
  </si>
  <si>
    <t>T5</t>
  </si>
  <si>
    <t>T6</t>
  </si>
  <si>
    <t>T7</t>
  </si>
  <si>
    <t>CN</t>
  </si>
  <si>
    <t>T2</t>
  </si>
  <si>
    <t>T3</t>
  </si>
  <si>
    <t>T4</t>
  </si>
  <si>
    <t>TỶ LỆ</t>
  </si>
  <si>
    <t>Tổng thực lãnh</t>
  </si>
  <si>
    <t>Tổng doanh thu</t>
  </si>
  <si>
    <t>Phí giao dịch</t>
  </si>
  <si>
    <t>Bác Kim trả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</si>
</sst>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22"/>
      <color theme="1"/>
      <name val="Times New Roman"/>
      <family val="1"/>
    </font>
    <font>
      <b/>
      <sz val="24"/>
      <color theme="1"/>
      <name val="Times New Roman"/>
      <family val="1"/>
    </font>
    <font>
      <sz val="2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rgb="FFEB3A2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1" applyFont="1" applyBorder="1" applyAlignment="1">
      <alignment horizontal="center" vertical="center" wrapText="1"/>
    </xf>
    <xf numFmtId="0" fontId="5" fillId="2" borderId="2" xfId="1" applyFont="1" applyBorder="1" applyAlignment="1">
      <alignment horizontal="center" vertical="center"/>
    </xf>
    <xf numFmtId="0" fontId="6" fillId="3" borderId="3" xfId="2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4" borderId="3" xfId="0" applyFont="1" applyFill="1" applyBorder="1" applyAlignment="1">
      <alignment horizontal="center" vertical="center" wrapText="1"/>
    </xf>
    <xf numFmtId="3" fontId="6" fillId="5" borderId="3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3" fontId="6" fillId="0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3">
    <cellStyle name="20% - Accent3" xfId="1" builtinId="38"/>
    <cellStyle name="40% - Accent3" xfId="2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42FD-F51D-4D88-8A97-8F18B16F647A}">
  <dimension ref="A1:N45"/>
  <sheetViews>
    <sheetView tabSelected="1" workbookViewId="0">
      <selection sqref="A1:J1"/>
    </sheetView>
  </sheetViews>
  <sheetFormatPr defaultRowHeight="16.5" x14ac:dyDescent="0.25"/>
  <cols>
    <col min="3" max="3" width="13.109375" customWidth="1"/>
    <col min="4" max="4" width="14" customWidth="1"/>
    <col min="5" max="5" width="12.44140625" customWidth="1"/>
    <col min="6" max="6" width="12.6640625" customWidth="1"/>
    <col min="7" max="7" width="14.6640625" customWidth="1"/>
    <col min="8" max="8" width="12.5546875" customWidth="1"/>
    <col min="9" max="9" width="13" customWidth="1"/>
    <col min="10" max="10" width="12.33203125" customWidth="1"/>
    <col min="11" max="11" width="13.109375" customWidth="1"/>
    <col min="12" max="12" width="12.5546875" customWidth="1"/>
    <col min="13" max="13" width="13.109375" customWidth="1"/>
    <col min="14" max="14" width="12.5546875" customWidth="1"/>
  </cols>
  <sheetData>
    <row r="1" spans="1:14" ht="27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4" ht="30.75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4" spans="1:14" ht="18.75" x14ac:dyDescent="0.25">
      <c r="A4" s="4" t="s">
        <v>2</v>
      </c>
      <c r="B4" s="5"/>
      <c r="C4" s="10" t="s">
        <v>3</v>
      </c>
      <c r="D4" s="11"/>
      <c r="E4" s="10" t="s">
        <v>4</v>
      </c>
      <c r="F4" s="11"/>
      <c r="G4" s="10" t="s">
        <v>5</v>
      </c>
      <c r="H4" s="11"/>
      <c r="I4" s="10" t="s">
        <v>6</v>
      </c>
      <c r="J4" s="11"/>
      <c r="K4" s="10" t="s">
        <v>7</v>
      </c>
      <c r="L4" s="11"/>
      <c r="M4" s="10" t="s">
        <v>8</v>
      </c>
      <c r="N4" s="11"/>
    </row>
    <row r="5" spans="1:14" x14ac:dyDescent="0.25">
      <c r="A5" s="6" t="s">
        <v>9</v>
      </c>
      <c r="B5" s="6" t="s">
        <v>10</v>
      </c>
      <c r="C5" s="13" t="s">
        <v>11</v>
      </c>
      <c r="D5" s="13" t="s">
        <v>12</v>
      </c>
      <c r="E5" s="13" t="s">
        <v>11</v>
      </c>
      <c r="F5" s="13" t="s">
        <v>12</v>
      </c>
      <c r="G5" s="13" t="s">
        <v>11</v>
      </c>
      <c r="H5" s="13" t="s">
        <v>12</v>
      </c>
      <c r="I5" s="13" t="s">
        <v>11</v>
      </c>
      <c r="J5" s="13" t="s">
        <v>12</v>
      </c>
      <c r="K5" s="13" t="s">
        <v>11</v>
      </c>
      <c r="L5" s="13" t="s">
        <v>12</v>
      </c>
      <c r="M5" s="13" t="s">
        <v>11</v>
      </c>
      <c r="N5" s="13" t="s">
        <v>12</v>
      </c>
    </row>
    <row r="6" spans="1:14" x14ac:dyDescent="0.25">
      <c r="A6" s="7">
        <v>1</v>
      </c>
      <c r="B6" s="8" t="s">
        <v>13</v>
      </c>
      <c r="C6" s="12">
        <v>1960000</v>
      </c>
      <c r="D6" s="12">
        <v>1180000</v>
      </c>
      <c r="E6" s="12">
        <v>1950000</v>
      </c>
      <c r="F6" s="12">
        <f t="shared" ref="F6:F14" si="0">E6*$E$45</f>
        <v>1170000</v>
      </c>
      <c r="G6" s="12">
        <v>1940000</v>
      </c>
      <c r="H6" s="12">
        <f>G6*$E$45</f>
        <v>1164000</v>
      </c>
      <c r="I6" s="9"/>
      <c r="J6" s="9"/>
      <c r="K6" s="9"/>
      <c r="L6" s="9"/>
      <c r="M6" s="9"/>
      <c r="N6" s="9"/>
    </row>
    <row r="7" spans="1:14" x14ac:dyDescent="0.25">
      <c r="A7" s="7">
        <f>A6+1</f>
        <v>2</v>
      </c>
      <c r="B7" s="8" t="s">
        <v>14</v>
      </c>
      <c r="C7" s="12">
        <v>2500000</v>
      </c>
      <c r="D7" s="12">
        <f>C7*$E$45</f>
        <v>1500000</v>
      </c>
      <c r="E7" s="12">
        <v>1950000</v>
      </c>
      <c r="F7" s="12">
        <f t="shared" si="0"/>
        <v>1170000</v>
      </c>
      <c r="G7" s="12">
        <v>2190000</v>
      </c>
      <c r="H7" s="12">
        <v>1315000</v>
      </c>
      <c r="I7" s="12">
        <v>1750000</v>
      </c>
      <c r="J7" s="12">
        <v>880000</v>
      </c>
      <c r="K7" s="9"/>
      <c r="L7" s="9"/>
      <c r="M7" s="9"/>
      <c r="N7" s="9"/>
    </row>
    <row r="8" spans="1:14" x14ac:dyDescent="0.25">
      <c r="A8" s="7">
        <f t="shared" ref="A8:A14" si="1">A7+1</f>
        <v>3</v>
      </c>
      <c r="B8" s="8" t="s">
        <v>15</v>
      </c>
      <c r="C8" s="12">
        <v>2610000</v>
      </c>
      <c r="D8" s="12">
        <v>1570000</v>
      </c>
      <c r="E8" s="12">
        <v>2500000</v>
      </c>
      <c r="F8" s="12">
        <f t="shared" si="0"/>
        <v>1500000</v>
      </c>
      <c r="G8" s="12">
        <v>2520000</v>
      </c>
      <c r="H8" s="12">
        <v>1510000</v>
      </c>
      <c r="I8" s="12">
        <v>2100000</v>
      </c>
      <c r="J8" s="12">
        <v>1050000</v>
      </c>
      <c r="K8" s="9"/>
      <c r="L8" s="9"/>
      <c r="M8" s="9"/>
      <c r="N8" s="9"/>
    </row>
    <row r="9" spans="1:14" x14ac:dyDescent="0.25">
      <c r="A9" s="7">
        <f t="shared" si="1"/>
        <v>4</v>
      </c>
      <c r="B9" s="8" t="s">
        <v>16</v>
      </c>
      <c r="C9" s="12">
        <v>2550000</v>
      </c>
      <c r="D9" s="12">
        <v>1530000</v>
      </c>
      <c r="E9" s="12">
        <v>1400000</v>
      </c>
      <c r="F9" s="12">
        <f t="shared" si="0"/>
        <v>840000</v>
      </c>
      <c r="G9" s="12">
        <v>1820000</v>
      </c>
      <c r="H9" s="12">
        <f>G9*$E$45</f>
        <v>1092000</v>
      </c>
      <c r="I9" s="12">
        <v>2300000</v>
      </c>
      <c r="J9" s="12">
        <v>1150000</v>
      </c>
      <c r="K9" s="9"/>
      <c r="L9" s="9"/>
      <c r="M9" s="9"/>
      <c r="N9" s="9"/>
    </row>
    <row r="10" spans="1:14" x14ac:dyDescent="0.25">
      <c r="A10" s="7">
        <f t="shared" si="1"/>
        <v>5</v>
      </c>
      <c r="B10" s="8" t="s">
        <v>17</v>
      </c>
      <c r="C10" s="12">
        <v>1950000</v>
      </c>
      <c r="D10" s="12">
        <f>C10*$E$45</f>
        <v>1170000</v>
      </c>
      <c r="E10" s="12">
        <v>1850000</v>
      </c>
      <c r="F10" s="12">
        <f t="shared" si="0"/>
        <v>1110000</v>
      </c>
      <c r="G10" s="12">
        <v>2070000</v>
      </c>
      <c r="H10" s="12">
        <v>1244000</v>
      </c>
      <c r="I10" s="12">
        <v>1800000</v>
      </c>
      <c r="J10" s="12">
        <v>900000</v>
      </c>
      <c r="K10" s="9"/>
      <c r="L10" s="9"/>
      <c r="M10" s="9"/>
      <c r="N10" s="9"/>
    </row>
    <row r="11" spans="1:14" x14ac:dyDescent="0.25">
      <c r="A11" s="7">
        <f t="shared" si="1"/>
        <v>6</v>
      </c>
      <c r="B11" s="8" t="s">
        <v>18</v>
      </c>
      <c r="C11" s="12">
        <v>2000000</v>
      </c>
      <c r="D11" s="12">
        <f>C11*$E$45</f>
        <v>1200000</v>
      </c>
      <c r="E11" s="12">
        <v>1800000</v>
      </c>
      <c r="F11" s="12">
        <f t="shared" si="0"/>
        <v>1080000</v>
      </c>
      <c r="G11" s="12">
        <v>2270000</v>
      </c>
      <c r="H11" s="12">
        <f>G11*$E$45</f>
        <v>1362000</v>
      </c>
      <c r="I11" s="12">
        <v>2000000</v>
      </c>
      <c r="J11" s="12">
        <v>1000000</v>
      </c>
      <c r="K11" s="9"/>
      <c r="L11" s="9"/>
      <c r="M11" s="9"/>
      <c r="N11" s="9"/>
    </row>
    <row r="12" spans="1:14" x14ac:dyDescent="0.25">
      <c r="A12" s="7">
        <f t="shared" si="1"/>
        <v>7</v>
      </c>
      <c r="B12" s="8" t="s">
        <v>19</v>
      </c>
      <c r="C12" s="12">
        <v>2040000</v>
      </c>
      <c r="D12" s="12">
        <f>C12*$E$45</f>
        <v>1224000</v>
      </c>
      <c r="E12" s="12">
        <v>1900000</v>
      </c>
      <c r="F12" s="12">
        <f t="shared" si="0"/>
        <v>1140000</v>
      </c>
      <c r="G12" s="12">
        <v>2180000</v>
      </c>
      <c r="H12" s="12">
        <f>G12*$E$45</f>
        <v>1308000</v>
      </c>
      <c r="I12" s="12">
        <v>2700000</v>
      </c>
      <c r="J12" s="12">
        <v>1350000</v>
      </c>
      <c r="K12" s="12">
        <v>930000</v>
      </c>
      <c r="L12" s="12">
        <v>540000</v>
      </c>
      <c r="M12" s="9"/>
      <c r="N12" s="9"/>
    </row>
    <row r="13" spans="1:14" x14ac:dyDescent="0.25">
      <c r="A13" s="7">
        <f t="shared" si="1"/>
        <v>8</v>
      </c>
      <c r="B13" s="8" t="s">
        <v>13</v>
      </c>
      <c r="C13" s="12">
        <v>2400000</v>
      </c>
      <c r="D13" s="12">
        <f>C13*$E$45</f>
        <v>1440000</v>
      </c>
      <c r="E13" s="12">
        <v>1850000</v>
      </c>
      <c r="F13" s="12">
        <f t="shared" si="0"/>
        <v>1110000</v>
      </c>
      <c r="G13" s="12">
        <v>2340000</v>
      </c>
      <c r="H13" s="12">
        <f>G13*$E$45</f>
        <v>1404000</v>
      </c>
      <c r="I13" s="12">
        <v>1800000</v>
      </c>
      <c r="J13" s="12">
        <v>900000</v>
      </c>
      <c r="K13" s="12">
        <v>900000</v>
      </c>
      <c r="L13" s="12">
        <f>K13*$E$45</f>
        <v>540000</v>
      </c>
      <c r="M13" s="12">
        <v>1100000</v>
      </c>
      <c r="N13" s="12">
        <f>M13*$E$45</f>
        <v>660000</v>
      </c>
    </row>
    <row r="14" spans="1:14" x14ac:dyDescent="0.25">
      <c r="A14" s="7">
        <f t="shared" si="1"/>
        <v>9</v>
      </c>
      <c r="B14" s="8" t="s">
        <v>14</v>
      </c>
      <c r="C14" s="12">
        <v>1850000</v>
      </c>
      <c r="D14" s="12">
        <f>C14*$E$45</f>
        <v>1110000</v>
      </c>
      <c r="E14" s="12">
        <v>1900000</v>
      </c>
      <c r="F14" s="12">
        <f t="shared" si="0"/>
        <v>1140000</v>
      </c>
      <c r="G14" s="12">
        <v>1690000</v>
      </c>
      <c r="H14" s="12">
        <f>G14*$E$45</f>
        <v>1014000</v>
      </c>
      <c r="I14" s="12">
        <v>1750000</v>
      </c>
      <c r="J14" s="12">
        <v>875000</v>
      </c>
      <c r="K14" s="12">
        <v>1360000</v>
      </c>
      <c r="L14" s="12">
        <v>817000</v>
      </c>
      <c r="M14" s="12">
        <v>1350000</v>
      </c>
      <c r="N14" s="12">
        <f>M14*$E$45</f>
        <v>810000</v>
      </c>
    </row>
    <row r="17" spans="2:4" x14ac:dyDescent="0.25">
      <c r="B17" s="16" t="s">
        <v>22</v>
      </c>
      <c r="C17" s="16"/>
      <c r="D17" s="14">
        <v>77820000</v>
      </c>
    </row>
    <row r="18" spans="2:4" x14ac:dyDescent="0.25">
      <c r="B18" s="16" t="s">
        <v>21</v>
      </c>
      <c r="C18" s="16"/>
      <c r="D18" s="14">
        <v>45069000</v>
      </c>
    </row>
    <row r="21" spans="2:4" x14ac:dyDescent="0.25">
      <c r="B21" s="15" t="s">
        <v>24</v>
      </c>
      <c r="C21" s="15"/>
      <c r="D21" s="14">
        <v>20000000</v>
      </c>
    </row>
    <row r="25" spans="2:4" x14ac:dyDescent="0.25">
      <c r="B25" s="15" t="s">
        <v>23</v>
      </c>
      <c r="C25" s="15"/>
      <c r="D25" s="14">
        <v>40000</v>
      </c>
    </row>
    <row r="45" spans="4:5" x14ac:dyDescent="0.25">
      <c r="D45" t="s">
        <v>20</v>
      </c>
      <c r="E45">
        <v>0.6</v>
      </c>
    </row>
  </sheetData>
  <mergeCells count="13">
    <mergeCell ref="K4:L4"/>
    <mergeCell ref="M4:N4"/>
    <mergeCell ref="B17:C17"/>
    <mergeCell ref="B18:C18"/>
    <mergeCell ref="B25:C25"/>
    <mergeCell ref="B21:C21"/>
    <mergeCell ref="A1:J1"/>
    <mergeCell ref="A2:J2"/>
    <mergeCell ref="A4:B4"/>
    <mergeCell ref="C4:D4"/>
    <mergeCell ref="E4:F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2026-01-11T03:37:41Z</dcterms:created>
  <dcterms:modified xsi:type="dcterms:W3CDTF">2026-01-11T05:57:21Z</dcterms:modified>
</cp:coreProperties>
</file>