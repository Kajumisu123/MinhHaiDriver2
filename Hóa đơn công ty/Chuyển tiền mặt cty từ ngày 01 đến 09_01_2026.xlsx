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1_{F84159CD-2299-47C4-907B-CC089641D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mercial Invoice" sheetId="1" r:id="rId1"/>
  </sheets>
  <definedNames>
    <definedName name="BillName">'Commercial Invoice'!$C$4</definedName>
    <definedName name="ColumnTitle1">InvoiceItems[[#Headers],[NGÀY]]</definedName>
    <definedName name="CompanyName">'Commercial Invoice'!$B$1</definedName>
    <definedName name="CustomerLookup">#REF!</definedName>
    <definedName name="Deposit">'Commercial Invoice'!$G$18</definedName>
    <definedName name="InvoiceSubtotal">'Commercial Invoice'!$G$14</definedName>
    <definedName name="_xlnm.Print_Area" localSheetId="0">'Commercial Invoice'!$A:$I</definedName>
    <definedName name="_xlnm.Print_Titles" localSheetId="0">'Commercial Invoice'!$8:$8</definedName>
    <definedName name="RowTitleRegion1..C6">'Commercial Invoice'!$B$4</definedName>
    <definedName name="RowTitleRegion2..E5">'Commercial Invoice'!$D$4</definedName>
    <definedName name="RowTitleRegion3..H5">'Commercial Invoice'!$F$4</definedName>
    <definedName name="RowTitleRegion4..H20">'Commercial Invoice'!$F$14</definedName>
    <definedName name="SalesTax">'Commercial Invoice'!$G$16</definedName>
    <definedName name="SalesTaxRate">'Commercial Invoice'!$G$15</definedName>
    <definedName name="Shipping">'Commercial Invoice'!$G$17</definedName>
    <definedName name="Title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B18" i="1"/>
  <c r="E6" i="1"/>
  <c r="E5" i="1"/>
  <c r="E4" i="1"/>
  <c r="B9" i="1" l="1"/>
  <c r="G6" i="1" l="1"/>
  <c r="C5" i="1"/>
  <c r="G9" i="1" l="1"/>
  <c r="G10" i="1"/>
  <c r="G11" i="1"/>
  <c r="G12" i="1"/>
  <c r="G13" i="1"/>
  <c r="G14" i="1" l="1"/>
</calcChain>
</file>

<file path=xl/sharedStrings.xml><?xml version="1.0" encoding="utf-8"?>
<sst xmlns="http://schemas.openxmlformats.org/spreadsheetml/2006/main" count="24" uniqueCount="24">
  <si>
    <t>Customers</t>
  </si>
  <si>
    <t>Fax:</t>
  </si>
  <si>
    <t>Email:</t>
  </si>
  <si>
    <t>Cô Thanh</t>
  </si>
  <si>
    <t>Gửi tới:</t>
  </si>
  <si>
    <t>Địa chỉ:</t>
  </si>
  <si>
    <t>SDT:</t>
  </si>
  <si>
    <t>Hóa đơn#:</t>
  </si>
  <si>
    <t>Ngày gửi</t>
  </si>
  <si>
    <t xml:space="preserve">Liên hệ: </t>
  </si>
  <si>
    <t>CÔNG TY TNHH MTV VẬN TẢI VÀ DU LỊCH MINH HẢI</t>
  </si>
  <si>
    <t>NGÀY</t>
  </si>
  <si>
    <t>KẾT TOÁN TIỀN MẶT</t>
  </si>
  <si>
    <t>MÔ TẢ</t>
  </si>
  <si>
    <t>SỐ LƯỢNG</t>
  </si>
  <si>
    <t>TIỀN</t>
  </si>
  <si>
    <t>PHÍ</t>
  </si>
  <si>
    <t>TỔNG</t>
  </si>
  <si>
    <t>Tổng hóa đơn</t>
  </si>
  <si>
    <t>Bác Kim gửi</t>
  </si>
  <si>
    <t>Tổng tiền 01-09/01/2026</t>
  </si>
  <si>
    <t>Phí giao dịch</t>
  </si>
  <si>
    <t>Bác Nhâm CK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</si>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</sst>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0;0;;@"/>
    <numFmt numFmtId="166" formatCode="[&lt;=9999999]###\-####;###\-###\-####"/>
  </numFmts>
  <fonts count="25" x14ac:knownFonts="1"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2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"/>
      <family val="2"/>
      <scheme val="major"/>
    </font>
    <font>
      <sz val="11"/>
      <color theme="0"/>
      <name val="Calibri"/>
      <family val="2"/>
      <scheme val="minor"/>
    </font>
    <font>
      <sz val="11"/>
      <color rgb="FF707070"/>
      <name val="Source Sans Pro"/>
      <family val="2"/>
    </font>
    <font>
      <sz val="11"/>
      <color theme="3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sz val="11"/>
      <color theme="0"/>
      <name val="Source Sans Pro"/>
      <family val="2"/>
    </font>
    <font>
      <b/>
      <sz val="11"/>
      <color theme="0"/>
      <name val="Source Sans Pro"/>
      <family val="2"/>
    </font>
    <font>
      <sz val="11"/>
      <color theme="3" tint="-0.249977111117893"/>
      <name val="Source Sans Pro"/>
      <family val="2"/>
    </font>
    <font>
      <sz val="10"/>
      <color theme="2" tint="-0.749992370372631"/>
      <name val="Calibri"/>
      <family val="2"/>
      <scheme val="minor"/>
    </font>
    <font>
      <sz val="10"/>
      <color theme="2" tint="-0.749992370372631"/>
      <name val="Source Sans Pro"/>
      <family val="2"/>
    </font>
    <font>
      <sz val="11"/>
      <color theme="2" tint="-0.749992370372631"/>
      <name val="Source Sans Pro"/>
      <family val="2"/>
    </font>
    <font>
      <b/>
      <sz val="11"/>
      <color theme="2" tint="-0.749992370372631"/>
      <name val="Source Sans Pro"/>
      <family val="2"/>
    </font>
    <font>
      <sz val="9"/>
      <color theme="2" tint="-0.749992370372631"/>
      <name val="Source Sans Pro"/>
      <family val="2"/>
    </font>
    <font>
      <b/>
      <sz val="28"/>
      <color theme="4" tint="-0.499984740745262"/>
      <name val="Trebuchet MS"/>
      <family val="2"/>
    </font>
    <font>
      <b/>
      <sz val="11"/>
      <color theme="0"/>
      <name val="Source Sans Pro"/>
    </font>
    <font>
      <b/>
      <sz val="11"/>
      <color theme="3" tint="-0.249977111117893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theme="3" tint="0.59996337778862885"/>
      </bottom>
      <diagonal/>
    </border>
  </borders>
  <cellStyleXfs count="24">
    <xf numFmtId="0" fontId="0" fillId="0" borderId="0">
      <alignment horizontal="left" vertical="center" wrapText="1"/>
    </xf>
    <xf numFmtId="0" fontId="7" fillId="0" borderId="0" applyNumberFormat="0" applyFill="0" applyBorder="0" applyAlignment="0" applyProtection="0">
      <alignment vertical="center" wrapText="1"/>
    </xf>
    <xf numFmtId="0" fontId="8" fillId="0" borderId="0" applyNumberFormat="0" applyFill="0" applyBorder="0" applyProtection="0">
      <alignment horizontal="left" wrapText="1" indent="2"/>
    </xf>
    <xf numFmtId="0" fontId="8" fillId="0" borderId="0" applyNumberFormat="0" applyFill="0" applyBorder="0" applyProtection="0">
      <alignment horizontal="left" vertical="top" wrapText="1" indent="2"/>
    </xf>
    <xf numFmtId="9" fontId="1" fillId="0" borderId="0" applyFill="0" applyBorder="0" applyProtection="0">
      <alignment horizontal="right" vertical="center" indent="1"/>
    </xf>
    <xf numFmtId="0" fontId="7" fillId="0" borderId="0" applyNumberFormat="0" applyFill="0" applyBorder="0" applyAlignment="0" applyProtection="0">
      <alignment vertical="center" wrapText="1"/>
    </xf>
    <xf numFmtId="2" fontId="4" fillId="0" borderId="0" applyFill="0" applyBorder="0" applyProtection="0">
      <alignment horizontal="left" vertical="center"/>
    </xf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7" fillId="0" borderId="0" applyFont="0" applyFill="0" applyBorder="0" applyProtection="0">
      <alignment horizontal="right" vertical="center"/>
    </xf>
    <xf numFmtId="164" fontId="1" fillId="0" borderId="0" applyFill="0" applyBorder="0" applyProtection="0">
      <alignment horizontal="right" vertical="center" indent="1"/>
    </xf>
    <xf numFmtId="0" fontId="7" fillId="0" borderId="0" applyNumberFormat="0" applyFill="0" applyProtection="0">
      <alignment horizontal="right" vertical="top" indent="2"/>
    </xf>
    <xf numFmtId="0" fontId="7" fillId="0" borderId="0" applyNumberFormat="0" applyFill="0" applyBorder="0" applyProtection="0">
      <alignment horizontal="right" indent="2"/>
    </xf>
    <xf numFmtId="0" fontId="7" fillId="2" borderId="2" applyNumberFormat="0" applyFont="0" applyAlignment="0" applyProtection="0"/>
    <xf numFmtId="0" fontId="6" fillId="0" borderId="3" applyNumberFormat="0" applyFill="0" applyAlignment="0" applyProtection="0"/>
    <xf numFmtId="0" fontId="7" fillId="0" borderId="1" applyNumberFormat="0" applyFont="0" applyFill="0" applyAlignment="0">
      <alignment vertical="center"/>
    </xf>
    <xf numFmtId="14" fontId="7" fillId="0" borderId="0" applyFont="0" applyFill="0" applyBorder="0" applyAlignment="0" applyProtection="0">
      <alignment horizontal="left" vertical="center"/>
    </xf>
    <xf numFmtId="1" fontId="7" fillId="0" borderId="0" applyFont="0" applyFill="0" applyBorder="0" applyProtection="0">
      <alignment vertical="center"/>
    </xf>
    <xf numFmtId="166" fontId="7" fillId="0" borderId="0" applyFont="0" applyFill="0" applyBorder="0" applyAlignment="0" applyProtection="0">
      <alignment vertical="center"/>
    </xf>
    <xf numFmtId="0" fontId="7" fillId="0" borderId="0" applyNumberFormat="0" applyFill="0" applyBorder="0" applyProtection="0"/>
    <xf numFmtId="165" fontId="5" fillId="0" borderId="0" applyNumberFormat="0">
      <alignment horizontal="left" vertical="top" wrapText="1"/>
    </xf>
    <xf numFmtId="0" fontId="5" fillId="0" borderId="0" applyNumberFormat="0" applyFill="0" applyBorder="0">
      <alignment horizontal="right" vertical="center" wrapText="1"/>
    </xf>
    <xf numFmtId="0" fontId="7" fillId="0" borderId="0" applyNumberFormat="0" applyFont="0" applyFill="0" applyBorder="0">
      <alignment horizontal="left" vertical="center" wrapText="1"/>
    </xf>
    <xf numFmtId="0" fontId="9" fillId="0" borderId="0" applyNumberFormat="0" applyFill="0" applyBorder="0">
      <alignment horizontal="center" vertical="center" wrapText="1"/>
    </xf>
  </cellStyleXfs>
  <cellXfs count="47">
    <xf numFmtId="0" fontId="0" fillId="0" borderId="0" xfId="0">
      <alignment horizontal="left" vertical="center" wrapText="1"/>
    </xf>
    <xf numFmtId="0" fontId="3" fillId="0" borderId="0" xfId="0" applyFont="1">
      <alignment horizontal="left" vertical="center" wrapText="1"/>
    </xf>
    <xf numFmtId="0" fontId="11" fillId="0" borderId="0" xfId="0" applyFont="1" applyAlignment="1">
      <alignment horizontal="left" vertical="center" wrapText="1" indent="1"/>
    </xf>
    <xf numFmtId="0" fontId="10" fillId="0" borderId="0" xfId="19" applyFont="1" applyAlignment="1">
      <alignment horizontal="left" indent="1"/>
    </xf>
    <xf numFmtId="0" fontId="11" fillId="0" borderId="0" xfId="0" applyFont="1">
      <alignment horizontal="left" vertical="center" wrapText="1"/>
    </xf>
    <xf numFmtId="0" fontId="14" fillId="0" borderId="0" xfId="23" applyFont="1" applyFill="1" applyAlignment="1">
      <alignment horizontal="center" vertical="top" wrapText="1"/>
    </xf>
    <xf numFmtId="0" fontId="12" fillId="0" borderId="5" xfId="14" applyFont="1" applyFill="1" applyBorder="1" applyAlignment="1" applyProtection="1">
      <alignment horizontal="left" vertical="center" indent="1"/>
    </xf>
    <xf numFmtId="0" fontId="12" fillId="0" borderId="3" xfId="14" applyFont="1" applyFill="1" applyAlignment="1" applyProtection="1">
      <alignment horizontal="left" vertical="center" indent="1"/>
    </xf>
    <xf numFmtId="0" fontId="12" fillId="0" borderId="4" xfId="14" applyFont="1" applyFill="1" applyBorder="1" applyAlignment="1" applyProtection="1">
      <alignment horizontal="left" vertical="center" indent="1"/>
    </xf>
    <xf numFmtId="0" fontId="12" fillId="0" borderId="0" xfId="14" applyFont="1" applyFill="1" applyBorder="1" applyAlignment="1" applyProtection="1">
      <alignment horizontal="left" vertical="center" indent="1"/>
    </xf>
    <xf numFmtId="0" fontId="15" fillId="3" borderId="0" xfId="21" applyFont="1" applyFill="1" applyBorder="1" applyAlignment="1">
      <alignment horizontal="center" vertical="center" wrapText="1"/>
    </xf>
    <xf numFmtId="0" fontId="15" fillId="3" borderId="0" xfId="21" applyFont="1" applyFill="1" applyBorder="1" applyAlignment="1">
      <alignment horizontal="right" vertical="center" wrapText="1" indent="1"/>
    </xf>
    <xf numFmtId="0" fontId="15" fillId="3" borderId="0" xfId="14" applyFont="1" applyFill="1" applyBorder="1" applyAlignment="1" applyProtection="1">
      <alignment horizontal="left" vertical="center" indent="1"/>
    </xf>
    <xf numFmtId="1" fontId="16" fillId="0" borderId="0" xfId="17" applyFont="1" applyFill="1" applyBorder="1" applyAlignment="1">
      <alignment horizontal="center" vertical="center"/>
    </xf>
    <xf numFmtId="164" fontId="16" fillId="0" borderId="0" xfId="9" applyFont="1" applyFill="1" applyBorder="1" applyAlignment="1">
      <alignment horizontal="center" vertical="center"/>
    </xf>
    <xf numFmtId="164" fontId="16" fillId="0" borderId="0" xfId="10" applyFont="1" applyFill="1" applyBorder="1">
      <alignment horizontal="right" vertical="center" indent="1"/>
    </xf>
    <xf numFmtId="0" fontId="17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>
      <alignment horizontal="left" vertical="center" wrapText="1"/>
    </xf>
    <xf numFmtId="0" fontId="19" fillId="0" borderId="0" xfId="11" applyFont="1" applyAlignment="1">
      <alignment horizontal="left" vertical="top" indent="1"/>
    </xf>
    <xf numFmtId="165" fontId="20" fillId="0" borderId="0" xfId="20" applyNumberFormat="1" applyFont="1" applyAlignment="1">
      <alignment horizontal="left" vertical="top" wrapText="1" indent="1"/>
    </xf>
    <xf numFmtId="166" fontId="20" fillId="0" borderId="0" xfId="18" applyFont="1" applyAlignment="1">
      <alignment horizontal="left" vertical="top" wrapText="1" indent="1"/>
    </xf>
    <xf numFmtId="0" fontId="19" fillId="0" borderId="0" xfId="11" applyFont="1" applyAlignment="1">
      <alignment horizontal="left" vertical="top" indent="2"/>
    </xf>
    <xf numFmtId="0" fontId="20" fillId="0" borderId="0" xfId="20" applyNumberFormat="1" applyFont="1">
      <alignment horizontal="left" vertical="top" wrapText="1"/>
    </xf>
    <xf numFmtId="166" fontId="20" fillId="0" borderId="0" xfId="18" applyFont="1" applyBorder="1" applyAlignment="1">
      <alignment horizontal="left" vertical="top" wrapText="1" indent="1"/>
    </xf>
    <xf numFmtId="14" fontId="20" fillId="0" borderId="0" xfId="20" applyNumberFormat="1" applyFont="1">
      <alignment horizontal="left" vertical="top" wrapText="1"/>
    </xf>
    <xf numFmtId="165" fontId="20" fillId="0" borderId="0" xfId="20" applyNumberFormat="1" applyFont="1">
      <alignment horizontal="left" vertical="top" wrapText="1"/>
    </xf>
    <xf numFmtId="0" fontId="21" fillId="0" borderId="0" xfId="0" applyFont="1" applyAlignment="1">
      <alignment horizontal="left" vertical="top" indent="1"/>
    </xf>
    <xf numFmtId="0" fontId="18" fillId="0" borderId="0" xfId="0" applyFont="1" applyAlignment="1">
      <alignment horizontal="left" vertical="top" wrapText="1"/>
    </xf>
    <xf numFmtId="0" fontId="15" fillId="0" borderId="0" xfId="22" applyFont="1" applyFill="1" applyBorder="1" applyAlignment="1">
      <alignment horizontal="left" vertical="center" wrapText="1" indent="1"/>
    </xf>
    <xf numFmtId="0" fontId="15" fillId="0" borderId="0" xfId="22" applyFont="1" applyFill="1" applyBorder="1" applyAlignment="1">
      <alignment horizontal="center" vertical="center" wrapText="1"/>
    </xf>
    <xf numFmtId="0" fontId="15" fillId="0" borderId="0" xfId="21" applyFont="1" applyFill="1" applyBorder="1" applyAlignment="1">
      <alignment horizontal="center" vertical="center" wrapText="1"/>
    </xf>
    <xf numFmtId="14" fontId="16" fillId="0" borderId="0" xfId="16" applyFont="1" applyFill="1" applyBorder="1" applyAlignment="1">
      <alignment horizontal="left" vertical="center" wrapText="1" indent="1"/>
    </xf>
    <xf numFmtId="0" fontId="16" fillId="0" borderId="0" xfId="22" applyFont="1" applyFill="1" applyBorder="1" applyAlignment="1">
      <alignment horizontal="center" vertical="center" wrapText="1"/>
    </xf>
    <xf numFmtId="165" fontId="20" fillId="0" borderId="0" xfId="20" applyNumberFormat="1" applyFont="1" applyAlignment="1">
      <alignment horizontal="left" vertical="top" indent="1"/>
    </xf>
    <xf numFmtId="2" fontId="22" fillId="0" borderId="0" xfId="6" applyFont="1" applyBorder="1" applyAlignment="1">
      <alignment horizontal="left" vertical="center"/>
    </xf>
    <xf numFmtId="3" fontId="16" fillId="0" borderId="0" xfId="9" applyNumberFormat="1" applyFont="1" applyFill="1" applyBorder="1" applyAlignment="1">
      <alignment horizontal="center" vertical="center"/>
    </xf>
    <xf numFmtId="3" fontId="13" fillId="0" borderId="5" xfId="10" applyNumberFormat="1" applyFont="1" applyFill="1" applyBorder="1" applyProtection="1">
      <alignment horizontal="right" vertical="center" indent="1"/>
    </xf>
    <xf numFmtId="3" fontId="13" fillId="0" borderId="3" xfId="4" applyNumberFormat="1" applyFont="1" applyFill="1" applyBorder="1" applyProtection="1">
      <alignment horizontal="right" vertical="center" indent="1"/>
    </xf>
    <xf numFmtId="3" fontId="13" fillId="0" borderId="3" xfId="10" applyNumberFormat="1" applyFont="1" applyFill="1" applyBorder="1" applyProtection="1">
      <alignment horizontal="right" vertical="center" indent="1"/>
    </xf>
    <xf numFmtId="3" fontId="13" fillId="0" borderId="4" xfId="10" applyNumberFormat="1" applyFont="1" applyFill="1" applyBorder="1" applyProtection="1">
      <alignment horizontal="right" vertical="center" indent="1"/>
    </xf>
    <xf numFmtId="3" fontId="13" fillId="0" borderId="0" xfId="10" applyNumberFormat="1" applyFont="1" applyFill="1" applyBorder="1" applyProtection="1">
      <alignment horizontal="right" vertical="center" indent="1"/>
    </xf>
    <xf numFmtId="3" fontId="23" fillId="3" borderId="0" xfId="10" applyNumberFormat="1" applyFont="1" applyFill="1" applyBorder="1" applyProtection="1">
      <alignment horizontal="right" vertical="center" indent="1"/>
    </xf>
    <xf numFmtId="3" fontId="24" fillId="0" borderId="0" xfId="9" applyNumberFormat="1" applyFont="1" applyFill="1" applyBorder="1" applyAlignment="1">
      <alignment horizontal="center" vertical="center"/>
    </xf>
    <xf numFmtId="3" fontId="24" fillId="0" borderId="0" xfId="10" applyNumberFormat="1" applyFont="1" applyFill="1" applyBorder="1">
      <alignment horizontal="right" vertical="center" indent="1"/>
    </xf>
    <xf numFmtId="0" fontId="24" fillId="0" borderId="0" xfId="22" applyFont="1" applyFill="1" applyBorder="1" applyAlignment="1">
      <alignment horizontal="center" vertical="center" wrapText="1"/>
    </xf>
    <xf numFmtId="14" fontId="24" fillId="0" borderId="0" xfId="16" applyFont="1" applyFill="1" applyBorder="1" applyAlignment="1">
      <alignment horizontal="left" vertical="center" wrapText="1" indent="1"/>
    </xf>
  </cellXfs>
  <cellStyles count="24"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Date" xfId="16" xr:uid="{00000000-0005-0000-0000-000004000000}"/>
    <cellStyle name="Explanatory Text" xfId="19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11" builtinId="18" customBuiltin="1"/>
    <cellStyle name="Heading 4" xfId="12" builtinId="19" customBuiltin="1"/>
    <cellStyle name="Hyperlink" xfId="1" builtinId="8" customBuiltin="1"/>
    <cellStyle name="Invoice details" xfId="20" xr:uid="{00000000-0005-0000-0000-00000C000000}"/>
    <cellStyle name="Normal" xfId="0" builtinId="0" customBuiltin="1"/>
    <cellStyle name="Note" xfId="13" builtinId="10" customBuiltin="1"/>
    <cellStyle name="Percent" xfId="4" builtinId="5" customBuiltin="1"/>
    <cellStyle name="Phone" xfId="18" xr:uid="{00000000-0005-0000-0000-000010000000}"/>
    <cellStyle name="Quantity" xfId="17" xr:uid="{00000000-0005-0000-0000-000011000000}"/>
    <cellStyle name="Right Border" xfId="15" xr:uid="{00000000-0005-0000-0000-000012000000}"/>
    <cellStyle name="Table details left aligned" xfId="22" xr:uid="{00000000-0005-0000-0000-000013000000}"/>
    <cellStyle name="Table Heading right alignment" xfId="21" xr:uid="{00000000-0005-0000-0000-000014000000}"/>
    <cellStyle name="Title" xfId="6" builtinId="15" customBuiltin="1"/>
    <cellStyle name="Total" xfId="14" builtinId="25" customBuiltin="1"/>
    <cellStyle name="znavigation cell" xfId="23" xr:uid="{00000000-0005-0000-0000-000017000000}"/>
  </cellStyles>
  <dxfs count="23">
    <dxf>
      <font>
        <b/>
        <i val="0"/>
        <color theme="3"/>
      </font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alignment horizontal="righ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Source Sans Pro"/>
        <scheme val="none"/>
      </font>
      <alignment horizontal="left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Source Sans Pro"/>
        <scheme val="none"/>
      </font>
      <fill>
        <patternFill patternType="solid">
          <fgColor indexed="64"/>
          <bgColor theme="1" tint="0.34998626667073579"/>
        </patternFill>
      </fill>
      <alignment horizontal="general" vertical="center" textRotation="0" indent="0" justifyLastLine="0" shrinkToFit="0" readingOrder="0"/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4" tint="0.79998168889431442"/>
        </patternFill>
      </fill>
    </dxf>
    <dxf>
      <fill>
        <patternFill>
          <bgColor theme="2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3"/>
          <bgColor theme="2"/>
        </patternFill>
      </fill>
    </dxf>
    <dxf>
      <fill>
        <patternFill patternType="solid">
          <fgColor theme="4" tint="0.79995117038483843"/>
          <bgColor theme="2"/>
        </patternFill>
      </fill>
    </dxf>
    <dxf>
      <font>
        <b/>
        <i val="0"/>
      </font>
      <border>
        <bottom style="double">
          <color theme="4" tint="-0.24994659260841701"/>
        </bottom>
      </border>
    </dxf>
    <dxf>
      <font>
        <b/>
        <i val="0"/>
        <color theme="3"/>
      </font>
      <fill>
        <patternFill patternType="none">
          <bgColor auto="1"/>
        </patternFill>
      </fill>
      <border>
        <left/>
        <right/>
        <top style="thick">
          <color theme="4" tint="-0.24994659260841701"/>
        </top>
        <bottom style="thick">
          <color theme="4" tint="-0.24994659260841701"/>
        </bottom>
        <vertical/>
        <horizontal/>
      </border>
    </dxf>
    <dxf>
      <border diagonalUp="0" diagonalDown="0">
        <left/>
        <right/>
        <top/>
        <bottom style="thick">
          <color theme="4" tint="-0.24994659260841701"/>
        </bottom>
        <vertical/>
        <horizontal/>
      </border>
    </dxf>
  </dxfs>
  <tableStyles count="5" defaultTableStyle="Commercial Invoice" defaultPivotStyle="PivotStyleLight16">
    <tableStyle name="Commercial Invoice" pivot="0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firstColumnStripe" dxfId="18"/>
    </tableStyle>
    <tableStyle name="Table Style 1" pivot="0" count="3" xr9:uid="{AA9AF6CC-74EC-A548-910A-2CEC5057D9FB}">
      <tableStyleElement type="firstRowStripe" dxfId="17"/>
      <tableStyleElement type="secondRowStripe" dxfId="16"/>
      <tableStyleElement type="firstColumnStripe" dxfId="15"/>
    </tableStyle>
    <tableStyle name="Table Style 2" pivot="0" count="1" xr9:uid="{AAC86889-926A-9644-9E30-E6BC94208819}">
      <tableStyleElement type="firstRowStripe" dxfId="14"/>
    </tableStyle>
    <tableStyle name="Table Style 3" pivot="0" count="1" xr9:uid="{5A480686-C0EA-C14B-997D-F309FB808E8A}">
      <tableStyleElement type="firstRowStripe" dxfId="13"/>
    </tableStyle>
    <tableStyle name="Table Style 4" pivot="0" count="2" xr9:uid="{125EA417-284A-6046-8AD9-209A0A64DD89}">
      <tableStyleElement type="headerRow" dxfId="12"/>
      <tableStyleElement type="firstRowStripe" dxfId="11"/>
    </tableStyle>
  </tableStyles>
  <colors>
    <mruColors>
      <color rgb="FF7070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voiceItems" displayName="InvoiceItems" ref="B8:G13" headerRowDxfId="10" dataDxfId="9" totalsRowDxfId="8" tableBorderDxfId="7">
  <autoFilter ref="B8:G1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8" xr3:uid="{00000000-0010-0000-0000-000008000000}" name="NGÀY" totalsRowLabel="Total" dataDxfId="6" dataCellStyle="Date"/>
    <tableColumn id="2" xr3:uid="{00000000-0010-0000-0000-000002000000}" name="MÔ TẢ" dataDxfId="5" dataCellStyle="Table details left aligned"/>
    <tableColumn id="3" xr3:uid="{00000000-0010-0000-0000-000003000000}" name="SỐ LƯỢNG" dataDxfId="4"/>
    <tableColumn id="4" xr3:uid="{00000000-0010-0000-0000-000004000000}" name="TIỀN" dataDxfId="3"/>
    <tableColumn id="5" xr3:uid="{00000000-0010-0000-0000-000005000000}" name="PHÍ" dataDxfId="2"/>
    <tableColumn id="6" xr3:uid="{00000000-0010-0000-0000-000006000000}" name="TỔNG" dataDxfId="1">
      <calculatedColumnFormula>IF(AND(InvoiceItems[[#This Row],[SỐ LƯỢNG]]&lt;&gt;"",InvoiceItems[[#This Row],[TIỀN]]&lt;&gt;""),(InvoiceItems[[#This Row],[SỐ LƯỢNG]]*InvoiceItems[[#This Row],[TIỀN]])-InvoiceItems[[#This Row],[PHÍ]],"")</calculatedColumnFormula>
    </tableColumn>
  </tableColumns>
  <tableStyleInfo name="Table Style 4" showFirstColumn="0" showLastColumn="0" showRowStripes="1" showColumnStripes="0"/>
  <extLst>
    <ext xmlns:x14="http://schemas.microsoft.com/office/spreadsheetml/2009/9/main" uri="{504A1905-F514-4f6f-8877-14C23A59335A}">
      <x14:table altTextSummary="Enter Date, Item #, Description, Quantity, Unit Price, &amp; Discou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B1:J19"/>
  <sheetViews>
    <sheetView showGridLines="0" tabSelected="1" zoomScale="85" zoomScaleNormal="85" workbookViewId="0">
      <selection activeCell="L10" sqref="L10"/>
    </sheetView>
  </sheetViews>
  <sheetFormatPr defaultColWidth="9.28515625" defaultRowHeight="30" customHeight="1" x14ac:dyDescent="0.25"/>
  <cols>
    <col min="1" max="1" width="2.7109375" customWidth="1"/>
    <col min="2" max="4" width="19.28515625" style="1" customWidth="1"/>
    <col min="5" max="5" width="22.140625" style="1" customWidth="1"/>
    <col min="6" max="8" width="19.28515625" style="1" customWidth="1"/>
    <col min="9" max="9" width="2.7109375" customWidth="1"/>
    <col min="10" max="10" width="22.7109375" customWidth="1"/>
  </cols>
  <sheetData>
    <row r="1" spans="2:10" ht="22.15" customHeight="1" x14ac:dyDescent="0.25">
      <c r="B1" s="35" t="s">
        <v>10</v>
      </c>
      <c r="C1" s="35"/>
      <c r="D1" s="35"/>
      <c r="E1" s="35"/>
      <c r="F1" s="35"/>
      <c r="G1" s="35"/>
      <c r="H1" s="35"/>
      <c r="I1" s="4"/>
      <c r="J1" s="5" t="s">
        <v>0</v>
      </c>
    </row>
    <row r="2" spans="2:10" ht="29.1" customHeight="1" x14ac:dyDescent="0.25">
      <c r="B2" s="35"/>
      <c r="C2" s="35"/>
      <c r="D2" s="35"/>
      <c r="E2" s="35"/>
      <c r="F2" s="35"/>
      <c r="G2" s="35"/>
      <c r="H2" s="35"/>
      <c r="I2" s="4"/>
      <c r="J2" s="4"/>
    </row>
    <row r="3" spans="2:10" ht="30" customHeight="1" x14ac:dyDescent="0.25">
      <c r="B3" s="16"/>
      <c r="C3" s="16"/>
      <c r="D3" s="16"/>
      <c r="E3" s="17"/>
      <c r="F3" s="17"/>
      <c r="G3" s="18"/>
      <c r="H3" s="18"/>
      <c r="I3" s="4"/>
      <c r="J3" s="4"/>
    </row>
    <row r="4" spans="2:10" ht="30" customHeight="1" x14ac:dyDescent="0.25">
      <c r="B4" s="19" t="s">
        <v>4</v>
      </c>
      <c r="C4" s="20" t="s">
        <v>3</v>
      </c>
      <c r="D4" s="19" t="s">
        <v>6</v>
      </c>
      <c r="E4" s="21" t="str">
        <f>IFERROR(VLOOKUP(BillName,#REF!,8,FALSE),"")</f>
        <v/>
      </c>
      <c r="F4" s="22" t="s">
        <v>7</v>
      </c>
      <c r="G4" s="23" t="s">
        <v>12</v>
      </c>
    </row>
    <row r="5" spans="2:10" ht="30" customHeight="1" x14ac:dyDescent="0.25">
      <c r="B5" s="19" t="s">
        <v>5</v>
      </c>
      <c r="C5" s="20" t="str">
        <f>IFERROR(VLOOKUP(BillName,#REF!,3,FALSE),"")</f>
        <v/>
      </c>
      <c r="D5" s="19" t="s">
        <v>1</v>
      </c>
      <c r="E5" s="24" t="str">
        <f>IFERROR(VLOOKUP(BillName,#REF!,10,FALSE),"")</f>
        <v/>
      </c>
      <c r="F5" s="22" t="s">
        <v>8</v>
      </c>
      <c r="G5" s="25">
        <v>46327</v>
      </c>
    </row>
    <row r="6" spans="2:10" ht="30" customHeight="1" x14ac:dyDescent="0.25">
      <c r="B6" s="19"/>
      <c r="C6" s="20"/>
      <c r="D6" s="19" t="s">
        <v>2</v>
      </c>
      <c r="E6" s="34" t="str">
        <f>IFERROR(VLOOKUP(BillName,#REF!,9,FALSE),"")</f>
        <v/>
      </c>
      <c r="F6" s="22" t="s">
        <v>9</v>
      </c>
      <c r="G6" s="26" t="str">
        <f>IFERROR(VLOOKUP(BillName,#REF!,2,FALSE),"")</f>
        <v/>
      </c>
    </row>
    <row r="7" spans="2:10" ht="30" customHeight="1" x14ac:dyDescent="0.25">
      <c r="B7" s="19"/>
      <c r="C7" s="20"/>
      <c r="D7" s="17"/>
      <c r="E7" s="17"/>
      <c r="F7" s="27"/>
      <c r="G7" s="28"/>
      <c r="H7" s="18"/>
    </row>
    <row r="8" spans="2:10" ht="30" customHeight="1" x14ac:dyDescent="0.25">
      <c r="B8" s="29" t="s">
        <v>11</v>
      </c>
      <c r="C8" s="30" t="s">
        <v>13</v>
      </c>
      <c r="D8" s="31" t="s">
        <v>14</v>
      </c>
      <c r="E8" s="10" t="s">
        <v>15</v>
      </c>
      <c r="F8" s="10" t="s">
        <v>16</v>
      </c>
      <c r="G8" s="11" t="s">
        <v>17</v>
      </c>
      <c r="H8"/>
    </row>
    <row r="9" spans="2:10" ht="30" customHeight="1" x14ac:dyDescent="0.25">
      <c r="B9" s="46">
        <f ca="1">TODAY()</f>
        <v>46033</v>
      </c>
      <c r="C9" s="45" t="s">
        <v>20</v>
      </c>
      <c r="D9" s="13">
        <v>1</v>
      </c>
      <c r="E9" s="43">
        <v>45069000</v>
      </c>
      <c r="F9" s="36">
        <v>0</v>
      </c>
      <c r="G9" s="44">
        <f>IF(AND(InvoiceItems[[#This Row],[SỐ LƯỢNG]]&lt;&gt;"",InvoiceItems[[#This Row],[TIỀN]]&lt;&gt;""),(InvoiceItems[[#This Row],[SỐ LƯỢNG]]*InvoiceItems[[#This Row],[TIỀN]])-InvoiceItems[[#This Row],[PHÍ]],"")</f>
        <v>45069000</v>
      </c>
      <c r="H9"/>
    </row>
    <row r="10" spans="2:10" ht="30" customHeight="1" x14ac:dyDescent="0.25">
      <c r="B10" s="32"/>
      <c r="C10" s="33"/>
      <c r="D10" s="13"/>
      <c r="E10" s="14"/>
      <c r="F10" s="14"/>
      <c r="G10" s="15" t="str">
        <f>IF(AND(InvoiceItems[[#This Row],[SỐ LƯỢNG]]&lt;&gt;"",InvoiceItems[[#This Row],[TIỀN]]&lt;&gt;""),(InvoiceItems[[#This Row],[SỐ LƯỢNG]]*InvoiceItems[[#This Row],[TIỀN]])-InvoiceItems[[#This Row],[PHÍ]],"")</f>
        <v/>
      </c>
      <c r="H10"/>
    </row>
    <row r="11" spans="2:10" ht="30" customHeight="1" x14ac:dyDescent="0.25">
      <c r="B11" s="32"/>
      <c r="C11" s="33"/>
      <c r="D11" s="13"/>
      <c r="E11" s="14"/>
      <c r="F11" s="14"/>
      <c r="G11" s="15" t="str">
        <f>IF(AND(InvoiceItems[[#This Row],[SỐ LƯỢNG]]&lt;&gt;"",InvoiceItems[[#This Row],[TIỀN]]&lt;&gt;""),(InvoiceItems[[#This Row],[SỐ LƯỢNG]]*InvoiceItems[[#This Row],[TIỀN]])-InvoiceItems[[#This Row],[PHÍ]],"")</f>
        <v/>
      </c>
      <c r="H11"/>
    </row>
    <row r="12" spans="2:10" ht="30" customHeight="1" x14ac:dyDescent="0.25">
      <c r="B12" s="32"/>
      <c r="C12" s="33"/>
      <c r="D12" s="13"/>
      <c r="E12" s="14"/>
      <c r="F12" s="14"/>
      <c r="G12" s="15" t="str">
        <f>IF(AND(InvoiceItems[[#This Row],[SỐ LƯỢNG]]&lt;&gt;"",InvoiceItems[[#This Row],[TIỀN]]&lt;&gt;""),(InvoiceItems[[#This Row],[SỐ LƯỢNG]]*InvoiceItems[[#This Row],[TIỀN]])-InvoiceItems[[#This Row],[PHÍ]],"")</f>
        <v/>
      </c>
      <c r="H12"/>
    </row>
    <row r="13" spans="2:10" ht="30" customHeight="1" x14ac:dyDescent="0.25">
      <c r="B13" s="32"/>
      <c r="C13" s="33"/>
      <c r="D13" s="13"/>
      <c r="E13" s="14"/>
      <c r="F13" s="14"/>
      <c r="G13" s="15" t="str">
        <f>IF(AND(InvoiceItems[[#This Row],[SỐ LƯỢNG]]&lt;&gt;"",InvoiceItems[[#This Row],[TIỀN]]&lt;&gt;""),(InvoiceItems[[#This Row],[SỐ LƯỢNG]]*InvoiceItems[[#This Row],[TIỀN]])-InvoiceItems[[#This Row],[PHÍ]],"")</f>
        <v/>
      </c>
      <c r="H13"/>
    </row>
    <row r="14" spans="2:10" ht="30" customHeight="1" x14ac:dyDescent="0.25">
      <c r="B14" s="2"/>
      <c r="C14" s="2"/>
      <c r="D14" s="2"/>
      <c r="E14" s="2"/>
      <c r="F14" s="6" t="s">
        <v>18</v>
      </c>
      <c r="G14" s="37">
        <f>SUM(InvoiceItems[TỔNG])</f>
        <v>45069000</v>
      </c>
    </row>
    <row r="15" spans="2:10" ht="30" customHeight="1" x14ac:dyDescent="0.25">
      <c r="B15" s="2"/>
      <c r="C15" s="2"/>
      <c r="D15" s="2"/>
      <c r="E15" s="2"/>
      <c r="F15" s="7" t="s">
        <v>19</v>
      </c>
      <c r="G15" s="38">
        <v>20000000</v>
      </c>
    </row>
    <row r="16" spans="2:10" ht="30" customHeight="1" x14ac:dyDescent="0.25">
      <c r="B16" s="2"/>
      <c r="C16" s="2"/>
      <c r="D16" s="2"/>
      <c r="E16" s="2"/>
      <c r="F16" s="7" t="s">
        <v>21</v>
      </c>
      <c r="G16" s="39">
        <v>40000</v>
      </c>
    </row>
    <row r="17" spans="2:7" ht="30" customHeight="1" x14ac:dyDescent="0.25">
      <c r="B17" s="2"/>
      <c r="C17" s="2"/>
      <c r="D17" s="2"/>
      <c r="E17" s="2"/>
      <c r="F17" s="8" t="s">
        <v>22</v>
      </c>
      <c r="G17" s="40">
        <v>875000</v>
      </c>
    </row>
    <row r="18" spans="2:7" ht="30" customHeight="1" x14ac:dyDescent="0.25">
      <c r="B18" s="3" t="str">
        <f>""&amp;UPPER(CompanyName)&amp;"."</f>
        <v>CÔNG TY TNHH MTV VẬN TẢI VÀ DU LỊCH MINH HẢI.</v>
      </c>
      <c r="C18" s="3"/>
      <c r="D18" s="3"/>
      <c r="E18" s="3"/>
      <c r="F18" s="9"/>
      <c r="G18" s="41"/>
    </row>
    <row r="19" spans="2:7" ht="30" customHeight="1" x14ac:dyDescent="0.25">
      <c r="B19" s="3"/>
      <c r="C19" s="3"/>
      <c r="D19" s="3"/>
      <c r="E19" s="3"/>
      <c r="F19" s="12" t="s">
        <v>23</v>
      </c>
      <c r="G19" s="42">
        <f>InvoiceSubtotal-SalesTax-Shipping-SalesTaxRate</f>
        <v>24154000</v>
      </c>
    </row>
  </sheetData>
  <sheetProtection formatCells="0" formatColumns="0" formatRows="0" selectLockedCells="1" sort="0"/>
  <mergeCells count="1">
    <mergeCell ref="B1:H2"/>
  </mergeCells>
  <phoneticPr fontId="2" type="noConversion"/>
  <conditionalFormatting sqref="E6">
    <cfRule type="expression" dxfId="0" priority="1">
      <formula>$E$6&lt;&gt;""</formula>
    </cfRule>
  </conditionalFormatting>
  <dataValidations xWindow="956" yWindow="463" count="41">
    <dataValidation type="list" allowBlank="1" showInputMessage="1" prompt="Select customer name in this cell. Press ALT+DOWN ARROW to open drop-down list, then ENTER to make selection. Add more customers to Customer worksheet to expand selection list" sqref="C4" xr:uid="{00000000-0002-0000-0000-000000000000}">
      <formula1>CustomerLookup</formula1>
    </dataValidation>
    <dataValidation allowBlank="1" showInputMessage="1" showErrorMessage="1" prompt="Bill To information is automatically updated in rows 3 to 6, based on selection made in cell at right. Enter Invoice Number &amp; Invoice Date in cells H3 &amp; H4" sqref="B4" xr:uid="{00000000-0002-0000-0000-000007000000}"/>
    <dataValidation allowBlank="1" showInputMessage="1" showErrorMessage="1" prompt="Customer Phone number is automatically updated in cell at right" sqref="D4" xr:uid="{00000000-0002-0000-0000-000008000000}"/>
    <dataValidation allowBlank="1" showInputMessage="1" showErrorMessage="1" prompt="Customer Phone number is automatically updated in this cell " sqref="E4" xr:uid="{00000000-0002-0000-0000-000009000000}"/>
    <dataValidation allowBlank="1" showInputMessage="1" showErrorMessage="1" prompt="Customer Fax number is automatically updated in cell at right" sqref="D5" xr:uid="{00000000-0002-0000-0000-00000A000000}"/>
    <dataValidation allowBlank="1" showInputMessage="1" showErrorMessage="1" prompt="Customer Fax number is automatically updated in this cell" sqref="E5" xr:uid="{00000000-0002-0000-0000-00000B000000}"/>
    <dataValidation allowBlank="1" showInputMessage="1" showErrorMessage="1" prompt="Customer Email address is automatically updated in cell at right" sqref="D6" xr:uid="{00000000-0002-0000-0000-00000C000000}"/>
    <dataValidation allowBlank="1" showInputMessage="1" showErrorMessage="1" prompt="Enter Invoice number in cell at right" sqref="F4" xr:uid="{00000000-0002-0000-0000-00000D000000}"/>
    <dataValidation allowBlank="1" showInputMessage="1" showErrorMessage="1" prompt="Enter Invoice number in this cell" sqref="G4" xr:uid="{00000000-0002-0000-0000-00000E000000}"/>
    <dataValidation allowBlank="1" showInputMessage="1" showErrorMessage="1" prompt="Enter Invoice Date in cell at right" sqref="F5" xr:uid="{00000000-0002-0000-0000-00000F000000}"/>
    <dataValidation allowBlank="1" showInputMessage="1" showErrorMessage="1" prompt="Enter Invoice Date in this cell" sqref="G5" xr:uid="{00000000-0002-0000-0000-000010000000}"/>
    <dataValidation allowBlank="1" showInputMessage="1" showErrorMessage="1" prompt="Customer Contact name is automatically updated in cell at right " sqref="F6" xr:uid="{00000000-0002-0000-0000-000011000000}"/>
    <dataValidation allowBlank="1" showInputMessage="1" showErrorMessage="1" prompt="Customer Contact name is automatically updated in this cell" sqref="G6" xr:uid="{00000000-0002-0000-0000-000012000000}"/>
    <dataValidation allowBlank="1" showInputMessage="1" showErrorMessage="1" prompt="Enter Date in this column under this heading" sqref="B8" xr:uid="{00000000-0002-0000-0000-000013000000}"/>
    <dataValidation allowBlank="1" showInputMessage="1" showErrorMessage="1" prompt="Enter Description of item in this column under this heading" sqref="C8" xr:uid="{00000000-0002-0000-0000-000015000000}"/>
    <dataValidation allowBlank="1" showInputMessage="1" showErrorMessage="1" prompt="Enter Quantity in this column under this heading" sqref="D8" xr:uid="{00000000-0002-0000-0000-000016000000}"/>
    <dataValidation allowBlank="1" showInputMessage="1" showErrorMessage="1" prompt="Enter Unit Price in this column under this heading" sqref="E8" xr:uid="{00000000-0002-0000-0000-000017000000}"/>
    <dataValidation allowBlank="1" showInputMessage="1" showErrorMessage="1" prompt="Enter Discount in this column under this heading" sqref="F8" xr:uid="{00000000-0002-0000-0000-000018000000}"/>
    <dataValidation allowBlank="1" showInputMessage="1" showErrorMessage="1" prompt="Total is automatically calculated in this column under this heading" sqref="G8" xr:uid="{00000000-0002-0000-0000-000019000000}"/>
    <dataValidation allowBlank="1" showInputMessage="1" showErrorMessage="1" prompt="Invoice Subtotal is automatically calculated in cell at right" sqref="F14" xr:uid="{00000000-0002-0000-0000-00001A000000}"/>
    <dataValidation allowBlank="1" showInputMessage="1" showErrorMessage="1" prompt="Invoice Subtotal is automatically calculated in this cell" sqref="G14" xr:uid="{00000000-0002-0000-0000-00001B000000}"/>
    <dataValidation allowBlank="1" showInputMessage="1" showErrorMessage="1" prompt="Enter Tax Rate in cell at right" sqref="F15" xr:uid="{00000000-0002-0000-0000-00001C000000}"/>
    <dataValidation allowBlank="1" showInputMessage="1" showErrorMessage="1" prompt="Enter Tax Rate in this cell" sqref="G15" xr:uid="{00000000-0002-0000-0000-00001D000000}"/>
    <dataValidation allowBlank="1" showInputMessage="1" showErrorMessage="1" prompt="Sales Tax is automatically calculated in cell at right" sqref="F16" xr:uid="{00000000-0002-0000-0000-00001E000000}"/>
    <dataValidation allowBlank="1" showInputMessage="1" showErrorMessage="1" prompt="Sales Tax is automatically calculated in this cell" sqref="G16" xr:uid="{00000000-0002-0000-0000-00001F000000}"/>
    <dataValidation allowBlank="1" showInputMessage="1" showErrorMessage="1" prompt="Enter Shipping amount in cell at right" sqref="F17" xr:uid="{00000000-0002-0000-0000-000020000000}"/>
    <dataValidation allowBlank="1" showInputMessage="1" showErrorMessage="1" prompt="Enter Shipping amount in this cell" sqref="G17" xr:uid="{00000000-0002-0000-0000-000021000000}"/>
    <dataValidation allowBlank="1" showInputMessage="1" showErrorMessage="1" prompt="Enter amount of Deposit Received in cell at right" sqref="F18" xr:uid="{00000000-0002-0000-0000-000022000000}"/>
    <dataValidation allowBlank="1" showInputMessage="1" showErrorMessage="1" prompt="Enter amount of Deposit Received in this cell" sqref="G18" xr:uid="{00000000-0002-0000-0000-000023000000}"/>
    <dataValidation allowBlank="1" showInputMessage="1" showErrorMessage="1" prompt="Total is automatically calculated in cell at right" sqref="F19" xr:uid="{00000000-0002-0000-0000-000024000000}"/>
    <dataValidation allowBlank="1" showInputMessage="1" showErrorMessage="1" prompt="Total is automatically calculated in this cell" sqref="G19" xr:uid="{00000000-0002-0000-0000-000025000000}"/>
    <dataValidation allowBlank="1" showInputMessage="1" showErrorMessage="1" prompt="Company name is automatically appended in this cell" sqref="B18" xr:uid="{00000000-0002-0000-0000-000026000000}"/>
    <dataValidation allowBlank="1" showInputMessage="1" showErrorMessage="1" prompt="Enter number of days in which the Total is due and the interest charge percent within the text in this cell. Sample data is provided in the default template" sqref="B19" xr:uid="{00000000-0002-0000-0000-000027000000}"/>
    <dataValidation allowBlank="1" showInputMessage="1" showErrorMessage="1" prompt="Customer address is automatically updated in this cell" sqref="C5" xr:uid="{00000000-0002-0000-0000-000028000000}"/>
    <dataValidation allowBlank="1" showInputMessage="1" showErrorMessage="1" prompt="Customer address 2 is automatically updated in this cell" sqref="C6" xr:uid="{00000000-0002-0000-0000-000029000000}"/>
    <dataValidation allowBlank="1" showInputMessage="1" showErrorMessage="1" prompt="Customer city, state, and zip code are automatically updated in this cell" sqref="C7" xr:uid="{00000000-0002-0000-0000-00002A000000}"/>
    <dataValidation allowBlank="1" showInputMessage="1" showErrorMessage="1" prompt="Customer Email address is automatically updated in this cell" sqref="E6" xr:uid="{00000000-0002-0000-0000-00002B000000}"/>
    <dataValidation allowBlank="1" showInputMessage="1" showErrorMessage="1" prompt="Create a Commercial Invoice in this workbook. Enter company details in this worksheet and customer details in Customers worksheet. Select cell J1 to navigate to Customers worksheet" sqref="A1" xr:uid="{00000000-0002-0000-0000-00002C000000}"/>
    <dataValidation allowBlank="1" showInputMessage="1" showErrorMessage="1" prompt="Customer Address is automatically updated in cells C3:C6" sqref="B5:B7" xr:uid="{00000000-0002-0000-0000-00002F000000}"/>
    <dataValidation allowBlank="1" showInputMessage="1" showErrorMessage="1" prompt="Enter invoicing company name in this cell. Enter invoicing company details in cells D1 to G2 &amp; billing details in cells B3 to H5. Enter Invoice details in table starting in cell B7" sqref="B1" xr:uid="{00000000-0002-0000-0000-000030000000}"/>
    <dataValidation allowBlank="1" showInputMessage="1" showErrorMessage="1" prompt="Navigation link to Customers worksheet. This cell will not print" sqref="J1" xr:uid="{00000000-0002-0000-0000-000031000000}"/>
  </dataValidations>
  <hyperlinks>
    <hyperlink ref="J1" location="Customers!A1" tooltip="Select to navigate to Customers worksheet" display="Customers" xr:uid="{00000000-0004-0000-0000-000003000000}"/>
  </hyperlinks>
  <printOptions horizontalCentered="1"/>
  <pageMargins left="0.25" right="0.25" top="0.75" bottom="0.75" header="0.3" footer="0.3"/>
  <pageSetup scale="70" fitToHeight="0" orientation="portrait" horizontalDpi="300" verticalDpi="300" r:id="rId1"/>
  <headerFooter differentFirst="1">
    <oddFooter>Page &amp;P of &amp;N</oddFooter>
  </headerFooter>
  <ignoredErrors>
    <ignoredError sqref="G10:G13" emptyCellReference="1"/>
  </ignoredErrors>
  <tableParts count="1">
    <tablePart r:id="rId2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TM00000028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Commercial Invoice</vt:lpstr>
      <vt:lpstr>BillName</vt:lpstr>
      <vt:lpstr>ColumnTitle1</vt:lpstr>
      <vt:lpstr>CompanyName</vt:lpstr>
      <vt:lpstr>Deposit</vt:lpstr>
      <vt:lpstr>InvoiceSubtotal</vt:lpstr>
      <vt:lpstr>'Commercial Invoice'!Print_Area</vt:lpstr>
      <vt:lpstr>'Commercial Invoice'!Print_Titles</vt:lpstr>
      <vt:lpstr>RowTitleRegion1..C6</vt:lpstr>
      <vt:lpstr>RowTitleRegion2..E5</vt:lpstr>
      <vt:lpstr>RowTitleRegion3..H5</vt:lpstr>
      <vt:lpstr>RowTitleRegion4..H20</vt:lpstr>
      <vt:lpstr>SalesTax</vt:lpstr>
      <vt:lpstr>SalesTaxRate</vt:lpstr>
      <vt:lpstr>Shipping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2022-12-20T22:35:41Z</dcterms:created>
  <dcterms:modified xsi:type="dcterms:W3CDTF">2026-01-11T04:58:28Z</dcterms:modified>
  <cp:category/>
  <cp:contentStatus/>
</cp:coreProperties>
</file>