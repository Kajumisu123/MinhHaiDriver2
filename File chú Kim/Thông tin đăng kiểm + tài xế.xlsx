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/>
  <xr:revisionPtr revIDLastSave="0" documentId="13_ncr:1_{D77EA258-974A-4BFE-8136-C92829DF9C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 Tracker" sheetId="1" r:id="rId1"/>
  </sheets>
  <definedNames>
    <definedName name="ColumnTitle1">Invoices[[#Headers],[STT]]</definedName>
    <definedName name="_xlnm.Print_Area" localSheetId="0">'Invoice Tracker'!$E$1:$L$28</definedName>
    <definedName name="_xlnm.Print_Titles" localSheetId="0">'Invoice Tracker'!$2:$2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</calcChain>
</file>

<file path=xl/sharedStrings.xml><?xml version="1.0" encoding="utf-8"?>
<sst xmlns="http://schemas.openxmlformats.org/spreadsheetml/2006/main" count="69" uniqueCount="60">
  <si>
    <t>STT</t>
  </si>
  <si>
    <t>BIỂN SỐ XE</t>
  </si>
  <si>
    <t xml:space="preserve">THỜI GIAN ĐĂNG KIỂM </t>
  </si>
  <si>
    <t>HỌ TÊN LÁI XE</t>
  </si>
  <si>
    <t>GPLX</t>
  </si>
  <si>
    <t>CCCD</t>
  </si>
  <si>
    <t>68HC 001.92</t>
  </si>
  <si>
    <t>68HC 001.84</t>
  </si>
  <si>
    <t>68HC 001.81</t>
  </si>
  <si>
    <t xml:space="preserve">68HC 001.93 </t>
  </si>
  <si>
    <t xml:space="preserve">68HC 001.89 </t>
  </si>
  <si>
    <t>68HC 001.34</t>
  </si>
  <si>
    <t>68HC 001.63</t>
  </si>
  <si>
    <t xml:space="preserve">68HC 001.78 </t>
  </si>
  <si>
    <t>68HC 001.71</t>
  </si>
  <si>
    <t>68HC 001.33</t>
  </si>
  <si>
    <t>68HC 001.36</t>
  </si>
  <si>
    <t>68HC 001.98</t>
  </si>
  <si>
    <t xml:space="preserve">68HC 001.70 </t>
  </si>
  <si>
    <t>68HC 001.86</t>
  </si>
  <si>
    <t>68HC 001.68</t>
  </si>
  <si>
    <t>chưa được cấp</t>
  </si>
  <si>
    <t>68HC 001.30</t>
  </si>
  <si>
    <t>Xe đang làm biển</t>
  </si>
  <si>
    <t>01009104110</t>
  </si>
  <si>
    <t xml:space="preserve">LÊ VĂN TÙNG </t>
  </si>
  <si>
    <t>TRƯƠNG VŨ CA</t>
  </si>
  <si>
    <t>ĐỖ VĂN CHUNG</t>
  </si>
  <si>
    <t xml:space="preserve">LÊ THÀNH LẬP </t>
  </si>
  <si>
    <t>NGUYỄN CHÍ BÌNH</t>
  </si>
  <si>
    <t xml:space="preserve">ĐỖ VĂN NAM </t>
  </si>
  <si>
    <t xml:space="preserve">NGUYỄN QUỐC NAM </t>
  </si>
  <si>
    <t xml:space="preserve">NGUYỄN DUY NHẤT </t>
  </si>
  <si>
    <t xml:space="preserve">TRẦN HOÀI THIỆN </t>
  </si>
  <si>
    <t xml:space="preserve">TRẦN THANH THANH  </t>
  </si>
  <si>
    <t xml:space="preserve">NGUYỄN QUANG HÀ </t>
  </si>
  <si>
    <t xml:space="preserve">TRẦN VIẾT HÙNG </t>
  </si>
  <si>
    <t xml:space="preserve">LÊ VĨNH NHÂM </t>
  </si>
  <si>
    <t xml:space="preserve">NGUYỄN VĂN THÁI </t>
  </si>
  <si>
    <t>68HC 001.91</t>
  </si>
  <si>
    <t>THỜI GIAN ĐĂNG KIỂM HẾT HẠN</t>
  </si>
  <si>
    <t>THỜI GIAN ĐĂNG KÝ</t>
  </si>
  <si>
    <t>16/12/2025</t>
  </si>
  <si>
    <t>31/10/2025</t>
  </si>
  <si>
    <t>28/11/2025</t>
  </si>
  <si>
    <t>BÙI VĂN HẬN</t>
  </si>
  <si>
    <t>HUỲNH HOÀNG VŨ</t>
  </si>
  <si>
    <t>89201007075</t>
  </si>
  <si>
    <t>010248636288</t>
  </si>
  <si>
    <t>17</t>
  </si>
  <si>
    <t>23/12/2025</t>
  </si>
  <si>
    <t>06/22/2027</t>
  </si>
  <si>
    <t>LÊ HỒNG ANH</t>
  </si>
  <si>
    <t>89078002596</t>
  </si>
  <si>
    <t>790201186963</t>
  </si>
  <si>
    <t>TÔ THANH TUẤN</t>
  </si>
  <si>
    <t>660935000038</t>
  </si>
  <si>
    <t xml:space="preserve">    Người đại diện công ty
        (Ký và đóng dấu)</t>
  </si>
  <si>
    <t xml:space="preserve">            Phú Quốc, ngày 05 tháng 01 năm 2026</t>
  </si>
  <si>
    <t>CÔNG TY TNHH MTV VẬN TẢI VÀ DU LỊCH MINH HẢI
DANH SÁCH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</si>
</sst>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dd/mm/yyyy"/>
    <numFmt numFmtId="167" formatCode="d/mm/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4" tint="-0.24994659260841701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7" tint="-0.499984740745262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36"/>
      <color rgb="FF000000"/>
      <name val="Calibri"/>
      <family val="2"/>
      <scheme val="major"/>
    </font>
    <font>
      <b/>
      <sz val="45"/>
      <color theme="1"/>
      <name val="Calibri"/>
      <family val="2"/>
      <scheme val="major"/>
    </font>
    <font>
      <sz val="18"/>
      <name val="Calibri"/>
      <family val="2"/>
      <scheme val="major"/>
    </font>
    <font>
      <b/>
      <sz val="18"/>
      <color theme="1"/>
      <name val="Calibri"/>
      <family val="2"/>
      <scheme val="major"/>
    </font>
    <font>
      <sz val="18"/>
      <color theme="1"/>
      <name val="Calibri"/>
      <family val="2"/>
      <scheme val="major"/>
    </font>
    <font>
      <sz val="11"/>
      <name val="Calibri"/>
      <family val="2"/>
      <scheme val="major"/>
    </font>
    <font>
      <sz val="18"/>
      <color rgb="FF000000"/>
      <name val="Calibri"/>
      <family val="2"/>
      <scheme val="major"/>
    </font>
    <font>
      <b/>
      <sz val="18"/>
      <name val="Calibri"/>
      <family val="2"/>
      <scheme val="major"/>
    </font>
    <font>
      <b/>
      <sz val="13"/>
      <color theme="1"/>
      <name val="Calibri"/>
      <family val="2"/>
      <scheme val="major"/>
    </font>
    <font>
      <sz val="24"/>
      <color theme="1"/>
      <name val="Calibri"/>
      <family val="2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C0DA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7" tint="0.5999938962981048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48">
    <xf numFmtId="0" fontId="0" fillId="0" borderId="0">
      <alignment wrapText="1"/>
    </xf>
    <xf numFmtId="165" fontId="1" fillId="0" borderId="0" applyFont="0" applyFill="0" applyBorder="0" applyAlignment="0" applyProtection="0"/>
    <xf numFmtId="0" fontId="2" fillId="0" borderId="0" applyNumberFormat="0" applyFill="0" applyBorder="0" applyProtection="0"/>
    <xf numFmtId="14" fontId="1" fillId="0" borderId="0" applyFont="0" applyFill="0" applyBorder="0" applyAlignment="0">
      <alignment wrapText="1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>
      <alignment wrapText="1"/>
    </xf>
    <xf numFmtId="0" fontId="22" fillId="0" borderId="0" xfId="2" applyFont="1" applyBorder="1" applyAlignment="1">
      <alignment vertical="center"/>
    </xf>
    <xf numFmtId="0" fontId="20" fillId="33" borderId="0" xfId="0" applyFont="1" applyFill="1">
      <alignment wrapText="1"/>
    </xf>
    <xf numFmtId="0" fontId="19" fillId="33" borderId="0" xfId="0" applyFont="1" applyFill="1" applyAlignment="1">
      <alignment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166" fontId="25" fillId="33" borderId="10" xfId="3" applyNumberFormat="1" applyFont="1" applyFill="1" applyBorder="1" applyAlignment="1">
      <alignment horizontal="center" vertical="center"/>
    </xf>
    <xf numFmtId="167" fontId="23" fillId="33" borderId="10" xfId="3" applyNumberFormat="1" applyFont="1" applyFill="1" applyBorder="1" applyAlignment="1">
      <alignment horizontal="center" vertical="center"/>
    </xf>
    <xf numFmtId="1" fontId="25" fillId="33" borderId="10" xfId="0" applyNumberFormat="1" applyFont="1" applyFill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26" fillId="33" borderId="0" xfId="0" applyFont="1" applyFill="1" applyAlignment="1">
      <alignment horizontal="left" vertical="center" wrapText="1"/>
    </xf>
    <xf numFmtId="166" fontId="27" fillId="34" borderId="10" xfId="3" applyNumberFormat="1" applyFont="1" applyFill="1" applyBorder="1" applyAlignment="1">
      <alignment horizontal="center" vertical="center"/>
    </xf>
    <xf numFmtId="167" fontId="23" fillId="34" borderId="10" xfId="0" applyNumberFormat="1" applyFont="1" applyFill="1" applyBorder="1" applyAlignment="1">
      <alignment horizontal="center" vertical="center"/>
    </xf>
    <xf numFmtId="0" fontId="28" fillId="33" borderId="10" xfId="0" applyFont="1" applyFill="1" applyBorder="1" applyAlignment="1">
      <alignment horizontal="center" vertical="center"/>
    </xf>
    <xf numFmtId="14" fontId="23" fillId="33" borderId="1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5" fontId="26" fillId="0" borderId="0" xfId="1" applyFont="1" applyBorder="1" applyAlignment="1">
      <alignment horizontal="center" vertical="center" wrapText="1"/>
    </xf>
    <xf numFmtId="49" fontId="25" fillId="33" borderId="10" xfId="0" applyNumberFormat="1" applyFont="1" applyFill="1" applyBorder="1" applyAlignment="1">
      <alignment horizontal="center" vertical="center"/>
    </xf>
    <xf numFmtId="49" fontId="25" fillId="33" borderId="15" xfId="0" applyNumberFormat="1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/>
    </xf>
    <xf numFmtId="14" fontId="23" fillId="36" borderId="10" xfId="0" applyNumberFormat="1" applyFont="1" applyFill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1" fontId="23" fillId="35" borderId="10" xfId="1" applyNumberFormat="1" applyFont="1" applyFill="1" applyBorder="1" applyAlignment="1">
      <alignment horizontal="center" vertical="center"/>
    </xf>
    <xf numFmtId="49" fontId="23" fillId="35" borderId="15" xfId="1" applyNumberFormat="1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/>
    </xf>
    <xf numFmtId="166" fontId="25" fillId="35" borderId="10" xfId="0" applyNumberFormat="1" applyFont="1" applyFill="1" applyBorder="1" applyAlignment="1">
      <alignment horizontal="center" vertical="center"/>
    </xf>
    <xf numFmtId="167" fontId="23" fillId="35" borderId="10" xfId="0" applyNumberFormat="1" applyFont="1" applyFill="1" applyBorder="1" applyAlignment="1">
      <alignment horizontal="center" vertical="center"/>
    </xf>
    <xf numFmtId="0" fontId="23" fillId="36" borderId="16" xfId="0" applyFont="1" applyFill="1" applyBorder="1" applyAlignment="1">
      <alignment horizontal="center" vertical="center"/>
    </xf>
    <xf numFmtId="0" fontId="24" fillId="35" borderId="17" xfId="0" applyFont="1" applyFill="1" applyBorder="1" applyAlignment="1">
      <alignment horizontal="center" vertical="center"/>
    </xf>
    <xf numFmtId="0" fontId="25" fillId="35" borderId="17" xfId="0" applyFont="1" applyFill="1" applyBorder="1" applyAlignment="1">
      <alignment horizontal="center" vertical="center"/>
    </xf>
    <xf numFmtId="166" fontId="23" fillId="35" borderId="17" xfId="3" applyNumberFormat="1" applyFont="1" applyFill="1" applyBorder="1" applyAlignment="1">
      <alignment horizontal="left" vertical="center"/>
    </xf>
    <xf numFmtId="167" fontId="23" fillId="35" borderId="17" xfId="3" applyNumberFormat="1" applyFont="1" applyFill="1" applyBorder="1" applyAlignment="1">
      <alignment horizontal="right" vertical="center"/>
    </xf>
    <xf numFmtId="0" fontId="24" fillId="33" borderId="17" xfId="0" applyFont="1" applyFill="1" applyBorder="1" applyAlignment="1">
      <alignment horizontal="center" vertical="center"/>
    </xf>
    <xf numFmtId="1" fontId="25" fillId="33" borderId="17" xfId="0" applyNumberFormat="1" applyFont="1" applyFill="1" applyBorder="1" applyAlignment="1">
      <alignment horizontal="center" vertical="center"/>
    </xf>
    <xf numFmtId="49" fontId="25" fillId="33" borderId="1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</cellXfs>
  <cellStyles count="48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4" builtinId="3" customBuiltin="1"/>
    <cellStyle name="Comma [0]" xfId="5" builtinId="6" customBuiltin="1"/>
    <cellStyle name="Currency" xfId="1" builtinId="4" customBuiltin="1"/>
    <cellStyle name="Currency [0]" xfId="6" builtinId="7" customBuiltin="1"/>
    <cellStyle name="Date" xfId="3" xr:uid="{00000000-0005-0000-0000-000001000000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 customBuiltin="1"/>
    <cellStyle name="Note" xfId="21" builtinId="10" customBuiltin="1"/>
    <cellStyle name="Output" xfId="16" builtinId="21" customBuiltin="1"/>
    <cellStyle name="Percent" xfId="7" builtinId="5" customBuiltin="1"/>
    <cellStyle name="Title" xfId="2" builtinId="15" customBuiltin="1"/>
    <cellStyle name="Total" xfId="23" builtinId="25" customBuiltin="1"/>
    <cellStyle name="Warning Text" xfId="20" builtinId="11" customBuiltin="1"/>
  </cellStyles>
  <dxfs count="29"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numFmt numFmtId="1" formatCode="0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numFmt numFmtId="167" formatCode="d/mm/yy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numFmt numFmtId="166" formatCode="dd/mm/yyyy"/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aj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auto="1"/>
        <name val="Calibri"/>
        <family val="2"/>
        <scheme val="maj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indexed="64"/>
        </top>
        <bottom style="thick">
          <color indexed="64"/>
        </bottom>
      </border>
    </dxf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mm/dd/yyyy"/>
      <fill>
        <patternFill patternType="solid">
          <fgColor theme="7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66" formatCode="dd/mm/yyyy"/>
      <fill>
        <patternFill patternType="solid">
          <fgColor theme="7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theme="7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theme="7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theme="7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border>
        <top style="thick">
          <color indexed="64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>
          <bgColor theme="0"/>
        </patternFill>
      </fill>
      <alignment horizontal="center" textRotation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ck">
          <color indexed="64"/>
        </bottom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7"/>
        </top>
      </border>
    </dxf>
    <dxf>
      <font>
        <b/>
        <color theme="1"/>
      </font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</dxfs>
  <tableStyles count="1" defaultTableStyle="TableStyleMedium9" defaultPivotStyle="PivotStyleLight16">
    <tableStyle name="TableStyleMedium26 Edited" pivot="0" count="7" xr9:uid="{8823C602-B3DC-6141-B7C1-3DA1586F3AEB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s" displayName="Invoices" ref="E7:L25" totalsRowShown="0" headerRowDxfId="1" dataDxfId="0" totalsRowDxfId="19" headerRowBorderDxfId="21" tableBorderDxfId="20" totalsRowBorderDxfId="18">
  <autoFilter ref="E7:L25" xr:uid="{00000000-0009-0000-0100-000001000000}"/>
  <sortState xmlns:xlrd2="http://schemas.microsoft.com/office/spreadsheetml/2017/richdata2" ref="E8:L13">
    <sortCondition ref="E7:E13"/>
  </sortState>
  <tableColumns count="8">
    <tableColumn id="1" xr3:uid="{00000000-0010-0000-0000-000001000000}" name="STT" dataDxfId="9" totalsRowDxfId="17"/>
    <tableColumn id="2" xr3:uid="{00000000-0010-0000-0000-000002000000}" name="BIỂN SỐ XE" dataDxfId="8" totalsRowDxfId="16" dataCellStyle="Date"/>
    <tableColumn id="11" xr3:uid="{DF5525C5-045C-419B-930C-6A4088FC624D}" name="THỜI GIAN ĐĂNG KÝ" dataDxfId="7" totalsRowDxfId="15"/>
    <tableColumn id="3" xr3:uid="{00000000-0010-0000-0000-000003000000}" name="THỜI GIAN ĐĂNG KIỂM " dataDxfId="6" totalsRowDxfId="14" dataCellStyle="Date"/>
    <tableColumn id="8" xr3:uid="{00000000-0010-0000-0000-000008000000}" name="THỜI GIAN ĐĂNG KIỂM HẾT HẠN" dataDxfId="5" totalsRowDxfId="13" dataCellStyle="Date"/>
    <tableColumn id="4" xr3:uid="{00000000-0010-0000-0000-000004000000}" name="HỌ TÊN LÁI XE" dataDxfId="4" totalsRowDxfId="12" dataCellStyle="Normal"/>
    <tableColumn id="5" xr3:uid="{00000000-0010-0000-0000-000005000000}" name="GPLX" dataDxfId="3" totalsRowDxfId="11" dataCellStyle="Currency"/>
    <tableColumn id="6" xr3:uid="{00000000-0010-0000-0000-000006000000}" name="CCCD" dataDxfId="2" dataCellStyle="Currency">
      <calculatedColumnFormula>IFERROR(IF(Invoices[[#This Row],[THỜI GIAN ĐĂNG KIỂM ]]&gt;=Invoices[[#This Row],[THỜI GIAN ĐĂNG KIỂM HẾT HẠN]],,5), "")</calculatedColumnFormula>
    </tableColumn>
  </tableColumns>
  <tableStyleInfo name="TableStyleMedium26 Edited" showFirstColumn="0" showLastColumn="0" showRowStripes="1" showColumnStripes="0"/>
  <extLst>
    <ext xmlns:x14="http://schemas.microsoft.com/office/spreadsheetml/2009/9/main" uri="{504A1905-F514-4f6f-8877-14C23A59335A}">
      <x14:table altTextSummary="Enter Invoice number, Date, Payment Due, Customer Name, Amount, Total Paid, and Date Paid. Late Fee and Outstanding amount are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"/>
  <sheetViews>
    <sheetView showGridLines="0" tabSelected="1" view="pageBreakPreview" zoomScale="60" zoomScaleNormal="55" workbookViewId="0">
      <selection activeCell="E2" sqref="A1:XFD1048576"/>
    </sheetView>
  </sheetViews>
  <sheetFormatPr defaultColWidth="8.7109375" defaultRowHeight="30" customHeight="1" x14ac:dyDescent="0.25"/>
  <cols>
    <col min="1" max="1" width="2.7109375" style="6" customWidth="1"/>
    <col min="2" max="2" width="10.7109375" style="6" customWidth="1"/>
    <col min="3" max="4" width="15.7109375" style="6" hidden="1" customWidth="1"/>
    <col min="5" max="5" width="14.28515625" style="6" customWidth="1"/>
    <col min="6" max="6" width="26.28515625" style="6" customWidth="1"/>
    <col min="7" max="7" width="22" style="6" customWidth="1"/>
    <col min="8" max="8" width="24.85546875" style="6" customWidth="1"/>
    <col min="9" max="9" width="25.5703125" style="6" customWidth="1"/>
    <col min="10" max="10" width="40.28515625" style="6" customWidth="1"/>
    <col min="11" max="11" width="34.42578125" style="6" customWidth="1"/>
    <col min="12" max="12" width="31.140625" style="6" customWidth="1"/>
    <col min="13" max="13" width="22.5703125" style="6" customWidth="1"/>
    <col min="14" max="20" width="8.7109375" style="6"/>
    <col min="21" max="23" width="8.7109375" style="6" customWidth="1"/>
    <col min="24" max="16384" width="8.7109375" style="6"/>
  </cols>
  <sheetData>
    <row r="1" spans="1:18" s="3" customFormat="1" ht="0.75" customHeight="1" x14ac:dyDescent="0.25">
      <c r="A1" s="1"/>
      <c r="B1" s="2"/>
      <c r="C1" s="2"/>
      <c r="D1" s="2"/>
    </row>
    <row r="2" spans="1:18" s="4" customFormat="1" ht="126" customHeight="1" x14ac:dyDescent="0.25">
      <c r="B2" s="2"/>
      <c r="C2" s="2"/>
      <c r="D2" s="2"/>
      <c r="E2" s="5" t="s">
        <v>59</v>
      </c>
      <c r="F2" s="5"/>
      <c r="G2" s="5"/>
      <c r="H2" s="5"/>
      <c r="I2" s="5"/>
      <c r="J2" s="5"/>
      <c r="K2" s="5"/>
      <c r="L2" s="5"/>
      <c r="M2" s="5"/>
    </row>
    <row r="3" spans="1:18" ht="21.75" hidden="1" customHeight="1" x14ac:dyDescent="0.25">
      <c r="B3" s="2"/>
      <c r="C3" s="2"/>
      <c r="D3" s="2"/>
    </row>
    <row r="4" spans="1:18" ht="21.75" hidden="1" customHeight="1" x14ac:dyDescent="0.25">
      <c r="B4" s="2"/>
      <c r="C4" s="2"/>
      <c r="D4" s="2"/>
    </row>
    <row r="5" spans="1:18" ht="3" hidden="1" customHeight="1" x14ac:dyDescent="0.25">
      <c r="B5" s="2"/>
      <c r="C5" s="2"/>
      <c r="D5" s="2"/>
      <c r="I5" s="7"/>
    </row>
    <row r="6" spans="1:18" ht="8.25" customHeight="1" x14ac:dyDescent="0.25">
      <c r="B6" s="2"/>
      <c r="C6" s="2"/>
      <c r="D6" s="2"/>
      <c r="E6" s="8"/>
      <c r="F6" s="9"/>
      <c r="G6" s="9"/>
      <c r="H6" s="9"/>
      <c r="I6" s="9"/>
      <c r="J6" s="9"/>
      <c r="K6" s="9"/>
      <c r="L6" s="9"/>
      <c r="M6" s="9"/>
    </row>
    <row r="7" spans="1:18" ht="97.5" customHeight="1" thickBot="1" x14ac:dyDescent="0.3">
      <c r="B7" s="2"/>
      <c r="C7" s="2"/>
      <c r="D7" s="2"/>
      <c r="E7" s="10" t="s">
        <v>0</v>
      </c>
      <c r="F7" s="11" t="s">
        <v>1</v>
      </c>
      <c r="G7" s="11" t="s">
        <v>41</v>
      </c>
      <c r="H7" s="11" t="s">
        <v>2</v>
      </c>
      <c r="I7" s="11" t="s">
        <v>40</v>
      </c>
      <c r="J7" s="11" t="s">
        <v>3</v>
      </c>
      <c r="K7" s="11" t="s">
        <v>4</v>
      </c>
      <c r="L7" s="12" t="s">
        <v>5</v>
      </c>
      <c r="M7" s="8"/>
    </row>
    <row r="8" spans="1:18" ht="30" customHeight="1" thickTop="1" thickBot="1" x14ac:dyDescent="0.3">
      <c r="B8" s="2"/>
      <c r="C8" s="2"/>
      <c r="D8" s="2"/>
      <c r="E8" s="13">
        <v>1</v>
      </c>
      <c r="F8" s="14" t="s">
        <v>6</v>
      </c>
      <c r="G8" s="15" t="s">
        <v>43</v>
      </c>
      <c r="H8" s="16">
        <v>46016</v>
      </c>
      <c r="I8" s="17">
        <v>46529</v>
      </c>
      <c r="J8" s="14" t="s">
        <v>25</v>
      </c>
      <c r="K8" s="18">
        <v>260200002422</v>
      </c>
      <c r="L8" s="19">
        <v>38096003688</v>
      </c>
      <c r="M8" s="8"/>
    </row>
    <row r="9" spans="1:18" s="20" customFormat="1" ht="38.25" customHeight="1" thickTop="1" thickBot="1" x14ac:dyDescent="0.3">
      <c r="B9" s="2"/>
      <c r="C9" s="2"/>
      <c r="D9" s="2"/>
      <c r="E9" s="13">
        <f>E8 + 1</f>
        <v>2</v>
      </c>
      <c r="F9" s="14" t="s">
        <v>7</v>
      </c>
      <c r="G9" s="15" t="s">
        <v>43</v>
      </c>
      <c r="H9" s="16">
        <v>46016</v>
      </c>
      <c r="I9" s="17">
        <v>46529</v>
      </c>
      <c r="J9" s="14" t="s">
        <v>26</v>
      </c>
      <c r="K9" s="18">
        <v>920194005279</v>
      </c>
      <c r="L9" s="19">
        <v>91203011680</v>
      </c>
      <c r="M9" s="21"/>
    </row>
    <row r="10" spans="1:18" ht="30" customHeight="1" thickTop="1" thickBot="1" x14ac:dyDescent="0.3">
      <c r="B10" s="2"/>
      <c r="C10" s="2"/>
      <c r="D10" s="2"/>
      <c r="E10" s="13">
        <f t="shared" ref="E10:E22" si="0">E9 + 1</f>
        <v>3</v>
      </c>
      <c r="F10" s="14" t="s">
        <v>8</v>
      </c>
      <c r="G10" s="15" t="s">
        <v>44</v>
      </c>
      <c r="H10" s="16">
        <v>46014</v>
      </c>
      <c r="I10" s="17">
        <v>46560</v>
      </c>
      <c r="J10" s="14" t="s">
        <v>27</v>
      </c>
      <c r="K10" s="18">
        <v>890156010480</v>
      </c>
      <c r="L10" s="19">
        <v>89078016404</v>
      </c>
      <c r="M10" s="8"/>
    </row>
    <row r="11" spans="1:18" ht="30" customHeight="1" thickTop="1" thickBot="1" x14ac:dyDescent="0.3">
      <c r="B11" s="2"/>
      <c r="C11" s="2"/>
      <c r="D11" s="2"/>
      <c r="E11" s="13">
        <f t="shared" si="0"/>
        <v>4</v>
      </c>
      <c r="F11" s="14" t="s">
        <v>9</v>
      </c>
      <c r="G11" s="15" t="s">
        <v>43</v>
      </c>
      <c r="H11" s="22">
        <v>46016</v>
      </c>
      <c r="I11" s="23">
        <v>46529</v>
      </c>
      <c r="J11" s="14" t="s">
        <v>28</v>
      </c>
      <c r="K11" s="18">
        <v>890248002809</v>
      </c>
      <c r="L11" s="19">
        <v>89099008054</v>
      </c>
      <c r="M11" s="8"/>
    </row>
    <row r="12" spans="1:18" ht="30" customHeight="1" thickTop="1" thickBot="1" x14ac:dyDescent="0.3">
      <c r="B12" s="2"/>
      <c r="C12" s="2"/>
      <c r="D12" s="2"/>
      <c r="E12" s="13">
        <f t="shared" si="0"/>
        <v>5</v>
      </c>
      <c r="F12" s="14" t="s">
        <v>10</v>
      </c>
      <c r="G12" s="15" t="s">
        <v>42</v>
      </c>
      <c r="H12" s="16">
        <v>46014</v>
      </c>
      <c r="I12" s="17">
        <v>46560</v>
      </c>
      <c r="J12" s="14" t="s">
        <v>29</v>
      </c>
      <c r="K12" s="18">
        <v>930190004941</v>
      </c>
      <c r="L12" s="19">
        <v>91088020664</v>
      </c>
      <c r="M12" s="8"/>
    </row>
    <row r="13" spans="1:18" ht="30" customHeight="1" thickTop="1" thickBot="1" x14ac:dyDescent="0.3">
      <c r="B13" s="2"/>
      <c r="C13" s="2"/>
      <c r="D13" s="2"/>
      <c r="E13" s="13">
        <f t="shared" si="0"/>
        <v>6</v>
      </c>
      <c r="F13" s="24" t="s">
        <v>11</v>
      </c>
      <c r="G13" s="25">
        <v>45665</v>
      </c>
      <c r="H13" s="16">
        <v>46016</v>
      </c>
      <c r="I13" s="17">
        <v>46529</v>
      </c>
      <c r="J13" s="14" t="s">
        <v>30</v>
      </c>
      <c r="K13" s="18">
        <v>930212007569</v>
      </c>
      <c r="L13" s="19">
        <v>89082022656</v>
      </c>
      <c r="M13" s="8"/>
    </row>
    <row r="14" spans="1:18" ht="30" customHeight="1" thickTop="1" thickBot="1" x14ac:dyDescent="0.3">
      <c r="B14" s="2"/>
      <c r="C14" s="2"/>
      <c r="D14" s="2"/>
      <c r="E14" s="13">
        <f t="shared" si="0"/>
        <v>7</v>
      </c>
      <c r="F14" s="24" t="s">
        <v>12</v>
      </c>
      <c r="G14" s="15" t="s">
        <v>43</v>
      </c>
      <c r="H14" s="22">
        <v>46016</v>
      </c>
      <c r="I14" s="23">
        <v>46529</v>
      </c>
      <c r="J14" s="14" t="s">
        <v>31</v>
      </c>
      <c r="K14" s="18">
        <v>420212005774</v>
      </c>
      <c r="L14" s="19">
        <v>42088019031</v>
      </c>
      <c r="M14" s="8"/>
    </row>
    <row r="15" spans="1:18" ht="30" customHeight="1" thickTop="1" thickBot="1" x14ac:dyDescent="0.3">
      <c r="B15" s="2"/>
      <c r="C15" s="2"/>
      <c r="D15" s="2"/>
      <c r="E15" s="13">
        <f t="shared" si="0"/>
        <v>8</v>
      </c>
      <c r="F15" s="24" t="s">
        <v>13</v>
      </c>
      <c r="G15" s="15" t="s">
        <v>43</v>
      </c>
      <c r="H15" s="22">
        <v>46016</v>
      </c>
      <c r="I15" s="23">
        <v>46529</v>
      </c>
      <c r="J15" s="14" t="s">
        <v>32</v>
      </c>
      <c r="K15" s="18">
        <v>790249066456</v>
      </c>
      <c r="L15" s="19">
        <v>49202008987</v>
      </c>
      <c r="M15" s="8"/>
    </row>
    <row r="16" spans="1:18" ht="30" customHeight="1" thickTop="1" thickBot="1" x14ac:dyDescent="0.3">
      <c r="B16" s="2"/>
      <c r="C16" s="2"/>
      <c r="D16" s="2"/>
      <c r="E16" s="13">
        <f t="shared" si="0"/>
        <v>9</v>
      </c>
      <c r="F16" s="24" t="s">
        <v>14</v>
      </c>
      <c r="G16" s="15" t="s">
        <v>43</v>
      </c>
      <c r="H16" s="16">
        <v>46016</v>
      </c>
      <c r="I16" s="17">
        <v>46529</v>
      </c>
      <c r="J16" s="14" t="s">
        <v>33</v>
      </c>
      <c r="K16" s="18">
        <v>960150004014</v>
      </c>
      <c r="L16" s="19">
        <v>93097001330</v>
      </c>
      <c r="M16" s="8"/>
      <c r="Q16" s="26"/>
      <c r="R16" s="26"/>
    </row>
    <row r="17" spans="2:18" ht="30" customHeight="1" thickTop="1" thickBot="1" x14ac:dyDescent="0.3">
      <c r="B17" s="2"/>
      <c r="C17" s="2"/>
      <c r="D17" s="2"/>
      <c r="E17" s="13">
        <f t="shared" si="0"/>
        <v>10</v>
      </c>
      <c r="F17" s="24" t="s">
        <v>15</v>
      </c>
      <c r="G17" s="25">
        <v>45665</v>
      </c>
      <c r="H17" s="22">
        <v>46016</v>
      </c>
      <c r="I17" s="23">
        <v>46529</v>
      </c>
      <c r="J17" s="14" t="s">
        <v>34</v>
      </c>
      <c r="K17" s="18">
        <v>950149000271</v>
      </c>
      <c r="L17" s="19">
        <v>95095009661</v>
      </c>
      <c r="M17" s="8"/>
      <c r="Q17" s="27"/>
      <c r="R17" s="28"/>
    </row>
    <row r="18" spans="2:18" ht="30" customHeight="1" thickTop="1" thickBot="1" x14ac:dyDescent="0.3">
      <c r="B18" s="2"/>
      <c r="C18" s="2"/>
      <c r="D18" s="2"/>
      <c r="E18" s="13">
        <f t="shared" si="0"/>
        <v>11</v>
      </c>
      <c r="F18" s="24" t="s">
        <v>16</v>
      </c>
      <c r="G18" s="25">
        <v>45665</v>
      </c>
      <c r="H18" s="22">
        <v>46016</v>
      </c>
      <c r="I18" s="23">
        <v>46529</v>
      </c>
      <c r="J18" s="14" t="s">
        <v>45</v>
      </c>
      <c r="K18" s="18">
        <v>800217001688</v>
      </c>
      <c r="L18" s="19">
        <v>80083017871</v>
      </c>
      <c r="M18" s="8"/>
      <c r="Q18" s="27"/>
      <c r="R18" s="28"/>
    </row>
    <row r="19" spans="2:18" ht="30" customHeight="1" thickTop="1" thickBot="1" x14ac:dyDescent="0.3">
      <c r="B19" s="2"/>
      <c r="C19" s="2"/>
      <c r="D19" s="2"/>
      <c r="E19" s="13">
        <f t="shared" si="0"/>
        <v>12</v>
      </c>
      <c r="F19" s="24" t="s">
        <v>17</v>
      </c>
      <c r="G19" s="15" t="s">
        <v>43</v>
      </c>
      <c r="H19" s="16">
        <v>46016</v>
      </c>
      <c r="I19" s="17">
        <v>46529</v>
      </c>
      <c r="J19" s="14" t="s">
        <v>35</v>
      </c>
      <c r="K19" s="18">
        <v>380129393334</v>
      </c>
      <c r="L19" s="19">
        <v>42094001136</v>
      </c>
      <c r="M19" s="8"/>
    </row>
    <row r="20" spans="2:18" ht="30" customHeight="1" thickTop="1" thickBot="1" x14ac:dyDescent="0.3">
      <c r="B20" s="2"/>
      <c r="C20" s="2"/>
      <c r="D20" s="2"/>
      <c r="E20" s="13">
        <f t="shared" si="0"/>
        <v>13</v>
      </c>
      <c r="F20" s="14" t="s">
        <v>18</v>
      </c>
      <c r="G20" s="15" t="s">
        <v>43</v>
      </c>
      <c r="H20" s="16">
        <v>46016</v>
      </c>
      <c r="I20" s="17">
        <v>46529</v>
      </c>
      <c r="J20" s="24" t="s">
        <v>36</v>
      </c>
      <c r="K20" s="18">
        <v>380111389260</v>
      </c>
      <c r="L20" s="19" t="s">
        <v>21</v>
      </c>
      <c r="M20" s="8"/>
    </row>
    <row r="21" spans="2:18" ht="30" customHeight="1" thickTop="1" thickBot="1" x14ac:dyDescent="0.3">
      <c r="B21" s="2"/>
      <c r="C21" s="2"/>
      <c r="D21" s="2"/>
      <c r="E21" s="13">
        <f t="shared" si="0"/>
        <v>14</v>
      </c>
      <c r="F21" s="14" t="s">
        <v>19</v>
      </c>
      <c r="G21" s="15" t="s">
        <v>44</v>
      </c>
      <c r="H21" s="16">
        <v>46014</v>
      </c>
      <c r="I21" s="17">
        <v>46560</v>
      </c>
      <c r="J21" s="14" t="s">
        <v>37</v>
      </c>
      <c r="K21" s="18">
        <v>790206098966</v>
      </c>
      <c r="L21" s="19">
        <v>38085004911</v>
      </c>
      <c r="M21" s="8"/>
    </row>
    <row r="22" spans="2:18" ht="30" customHeight="1" thickTop="1" thickBot="1" x14ac:dyDescent="0.3">
      <c r="B22" s="2"/>
      <c r="C22" s="2"/>
      <c r="D22" s="2"/>
      <c r="E22" s="13">
        <f t="shared" si="0"/>
        <v>15</v>
      </c>
      <c r="F22" s="14" t="s">
        <v>23</v>
      </c>
      <c r="G22" s="15"/>
      <c r="H22" s="16"/>
      <c r="I22" s="17"/>
      <c r="J22" s="14" t="s">
        <v>38</v>
      </c>
      <c r="K22" s="29" t="s">
        <v>48</v>
      </c>
      <c r="L22" s="30" t="s">
        <v>24</v>
      </c>
      <c r="M22" s="8"/>
    </row>
    <row r="23" spans="2:18" ht="30" customHeight="1" thickTop="1" thickBot="1" x14ac:dyDescent="0.3">
      <c r="B23" s="2"/>
      <c r="C23" s="2"/>
      <c r="D23" s="2"/>
      <c r="E23" s="13">
        <f>E22 + 1</f>
        <v>16</v>
      </c>
      <c r="F23" s="31" t="s">
        <v>22</v>
      </c>
      <c r="G23" s="32">
        <v>45665</v>
      </c>
      <c r="H23" s="22">
        <v>46016</v>
      </c>
      <c r="I23" s="23">
        <v>46529</v>
      </c>
      <c r="J23" s="33" t="s">
        <v>55</v>
      </c>
      <c r="K23" s="34">
        <v>910242105831</v>
      </c>
      <c r="L23" s="35">
        <v>31067009836</v>
      </c>
      <c r="M23" s="8"/>
    </row>
    <row r="24" spans="2:18" ht="30" customHeight="1" thickTop="1" thickBot="1" x14ac:dyDescent="0.3">
      <c r="B24" s="2"/>
      <c r="C24" s="2"/>
      <c r="D24" s="2"/>
      <c r="E24" s="36" t="s">
        <v>49</v>
      </c>
      <c r="F24" s="33" t="s">
        <v>20</v>
      </c>
      <c r="G24" s="37" t="s">
        <v>44</v>
      </c>
      <c r="H24" s="38" t="s">
        <v>50</v>
      </c>
      <c r="I24" s="39" t="s">
        <v>51</v>
      </c>
      <c r="J24" s="14" t="s">
        <v>52</v>
      </c>
      <c r="K24" s="18" t="s">
        <v>54</v>
      </c>
      <c r="L24" s="19" t="s">
        <v>53</v>
      </c>
      <c r="M24" s="8"/>
    </row>
    <row r="25" spans="2:18" ht="28.5" customHeight="1" thickTop="1" x14ac:dyDescent="0.25">
      <c r="B25" s="2"/>
      <c r="C25" s="2"/>
      <c r="D25" s="2"/>
      <c r="E25" s="40">
        <v>18</v>
      </c>
      <c r="F25" s="41" t="s">
        <v>39</v>
      </c>
      <c r="G25" s="42"/>
      <c r="H25" s="43"/>
      <c r="I25" s="44"/>
      <c r="J25" s="45" t="s">
        <v>46</v>
      </c>
      <c r="K25" s="46" t="s">
        <v>56</v>
      </c>
      <c r="L25" s="47" t="s">
        <v>47</v>
      </c>
      <c r="M25" s="8"/>
    </row>
    <row r="26" spans="2:18" ht="28.5" hidden="1" customHeight="1" x14ac:dyDescent="0.25">
      <c r="D26" s="8"/>
    </row>
    <row r="27" spans="2:18" ht="63" customHeight="1" x14ac:dyDescent="0.5">
      <c r="D27" s="8"/>
      <c r="I27" s="48"/>
      <c r="J27" s="49" t="s">
        <v>58</v>
      </c>
    </row>
    <row r="28" spans="2:18" ht="71.25" customHeight="1" x14ac:dyDescent="0.25">
      <c r="J28" s="50" t="s">
        <v>57</v>
      </c>
      <c r="K28" s="50"/>
    </row>
  </sheetData>
  <mergeCells count="3">
    <mergeCell ref="B1:D25"/>
    <mergeCell ref="J28:K28"/>
    <mergeCell ref="E2:M2"/>
  </mergeCells>
  <phoneticPr fontId="18" type="noConversion"/>
  <conditionalFormatting sqref="E7:L24 E25:I25">
    <cfRule type="colorScale" priority="8">
      <colorScale>
        <cfvo type="min"/>
        <cfvo type="max"/>
        <color theme="0"/>
        <color theme="0"/>
      </colorScale>
    </cfRule>
  </conditionalFormatting>
  <conditionalFormatting sqref="J25:L25">
    <cfRule type="colorScale" priority="1">
      <colorScale>
        <cfvo type="min"/>
        <cfvo type="max"/>
        <color theme="0"/>
        <color theme="0"/>
      </colorScale>
    </cfRule>
  </conditionalFormatting>
  <conditionalFormatting sqref="R17:R18">
    <cfRule type="cellIs" dxfId="10" priority="7" operator="greaterThan">
      <formula>0</formula>
    </cfRule>
  </conditionalFormatting>
  <dataValidations count="10">
    <dataValidation allowBlank="1" showInputMessage="1" showErrorMessage="1" prompt="Create an Invoice Tracker in this worksheet. Enter details in Invoices table" sqref="A1" xr:uid="{00000000-0002-0000-0000-000000000000}"/>
    <dataValidation allowBlank="1" showInputMessage="1" showErrorMessage="1" prompt="Title of this worksheet is in this cell" sqref="I5" xr:uid="{00000000-0002-0000-0000-000001000000}"/>
    <dataValidation allowBlank="1" showInputMessage="1" showErrorMessage="1" prompt="Enter Invoice number in this column under this heading. Use heading filters to find specific enteries" sqref="E7" xr:uid="{00000000-0002-0000-0000-000002000000}"/>
    <dataValidation allowBlank="1" showInputMessage="1" showErrorMessage="1" prompt="Enter Date in this column under this heading" sqref="F7:G7" xr:uid="{00000000-0002-0000-0000-000003000000}"/>
    <dataValidation allowBlank="1" showInputMessage="1" showErrorMessage="1" prompt="Enter Payment Due date in this column under this heading" sqref="H7:I7" xr:uid="{00000000-0002-0000-0000-000004000000}"/>
    <dataValidation allowBlank="1" showInputMessage="1" showErrorMessage="1" prompt="Enter Customer Name in this column under this heading" sqref="J7" xr:uid="{00000000-0002-0000-0000-000005000000}"/>
    <dataValidation allowBlank="1" showInputMessage="1" showErrorMessage="1" prompt="Enter Amount in this column under this heading" sqref="K7" xr:uid="{00000000-0002-0000-0000-000006000000}"/>
    <dataValidation allowBlank="1" showInputMessage="1" showErrorMessage="1" prompt="Late Fee is automatically updated in this column under this heading" sqref="L7" xr:uid="{00000000-0002-0000-0000-000007000000}"/>
    <dataValidation allowBlank="1" showInputMessage="1" showErrorMessage="1" prompt="Enter Total Paid amount in this column under this heading" sqref="Q16" xr:uid="{00000000-0002-0000-0000-000008000000}"/>
    <dataValidation allowBlank="1" showInputMessage="1" showErrorMessage="1" prompt="Outstanding amount is automatically updated in this column under this heading" sqref="R16" xr:uid="{00000000-0002-0000-0000-00000A000000}"/>
  </dataValidations>
  <printOptions horizontalCentered="1"/>
  <pageMargins left="1.25" right="1.25" top="0.25" bottom="0.25" header="0.25" footer="0.25"/>
  <pageSetup paperSize="9" scale="53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E88215-6BDA-4294-AFFE-578867E235B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DD628C7-E929-4CFA-A361-F92AFBE3D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ACCF3-191B-43F7-9EF7-BFF1DDC263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TM16400626</Template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Invoice Tracker</vt:lpstr>
      <vt:lpstr>ColumnTitle1</vt:lpstr>
      <vt:lpstr>'Invoice Tracker'!Print_Area</vt:lpstr>
      <vt:lpstr>'Invoice Tracker'!Print_Titles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2022-11-12T06:19:01Z</dcterms:created>
  <dcterms:modified xsi:type="dcterms:W3CDTF">2026-01-05T02:08:08Z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