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1A9A1444-3FB6-404A-ABAF-8ABB3320FB75}" xr6:coauthVersionLast="47" xr6:coauthVersionMax="47" xr10:uidLastSave="{00000000-0000-0000-0000-000000000000}"/>
  <bookViews>
    <workbookView xWindow="-120" yWindow="-120" windowWidth="29040" windowHeight="15840" tabRatio="579" firstSheet="1" activeTab="1" xr2:uid="{00000000-000D-0000-FFFF-FFFF00000000}"/>
  </bookViews>
  <sheets>
    <sheet name="10-01" sheetId="14" state="hidden" r:id="rId1"/>
    <sheet name="31-01" sheetId="37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" i="37" l="1"/>
  <c r="I13" i="37"/>
  <c r="G12" i="37"/>
  <c r="G13" i="37"/>
  <c r="G14" i="37"/>
  <c r="I14" i="37" s="1"/>
  <c r="G15" i="37"/>
  <c r="I15" i="37" s="1"/>
  <c r="G16" i="37"/>
  <c r="I16" i="37" s="1"/>
  <c r="G17" i="37"/>
  <c r="I17" i="37" s="1"/>
  <c r="G18" i="37"/>
  <c r="I18" i="37" s="1"/>
  <c r="G11" i="37"/>
  <c r="I11" i="37" s="1"/>
  <c r="G45" i="37"/>
  <c r="I45" i="37" s="1"/>
  <c r="G46" i="37"/>
  <c r="I46" i="37" s="1"/>
  <c r="G47" i="37"/>
  <c r="I47" i="37" s="1"/>
  <c r="G43" i="37"/>
  <c r="I43" i="37" s="1"/>
  <c r="G44" i="37"/>
  <c r="I44" i="37" s="1"/>
  <c r="G41" i="37"/>
  <c r="I41" i="37" s="1"/>
  <c r="G42" i="37"/>
  <c r="I42" i="37" s="1"/>
  <c r="G40" i="37"/>
  <c r="I40" i="37" s="1"/>
  <c r="G38" i="37"/>
  <c r="I38" i="37" s="1"/>
  <c r="G39" i="37"/>
  <c r="I39" i="37" s="1"/>
  <c r="G35" i="37"/>
  <c r="I35" i="37" s="1"/>
  <c r="G36" i="37"/>
  <c r="I36" i="37" s="1"/>
  <c r="G37" i="37"/>
  <c r="I37" i="37" s="1"/>
  <c r="G34" i="37"/>
  <c r="I34" i="37" s="1"/>
  <c r="G33" i="37"/>
  <c r="I33" i="37" s="1"/>
  <c r="G32" i="37"/>
  <c r="I32" i="37" s="1"/>
  <c r="G31" i="37"/>
  <c r="I31" i="37" s="1"/>
  <c r="G30" i="37"/>
  <c r="I30" i="37" s="1"/>
  <c r="G29" i="37"/>
  <c r="I29" i="37" s="1"/>
  <c r="G28" i="37"/>
  <c r="I28" i="37" s="1"/>
  <c r="G27" i="37"/>
  <c r="I27" i="37" s="1"/>
  <c r="G26" i="37"/>
  <c r="I26" i="37" s="1"/>
  <c r="G25" i="37"/>
  <c r="I25" i="37" s="1"/>
  <c r="G24" i="37"/>
  <c r="I24" i="37" s="1"/>
  <c r="G23" i="37"/>
  <c r="I23" i="37" s="1"/>
  <c r="P15" i="37"/>
  <c r="G22" i="37"/>
  <c r="I22" i="37" s="1"/>
  <c r="G21" i="37"/>
  <c r="I21" i="37" s="1"/>
  <c r="B21" i="37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G20" i="37"/>
  <c r="I20" i="37" s="1"/>
  <c r="P10" i="37"/>
  <c r="G10" i="37"/>
  <c r="I10" i="37" s="1"/>
  <c r="G9" i="37"/>
  <c r="G8" i="37"/>
  <c r="I8" i="37" s="1"/>
  <c r="B8" i="37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G7" i="37"/>
  <c r="I7" i="37" s="1"/>
  <c r="P12" i="37" l="1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J26" i="14" l="1"/>
  <c r="I24" i="14"/>
  <c r="J27" i="14" s="1"/>
  <c r="B8" i="14"/>
  <c r="B9" i="14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</calcChain>
</file>

<file path=xl/sharedStrings.xml><?xml version="1.0" encoding="utf-8"?>
<sst xmlns="http://schemas.openxmlformats.org/spreadsheetml/2006/main" count="230" uniqueCount="114">
  <si>
    <t>STT</t>
  </si>
  <si>
    <t>HỌ TÊN</t>
  </si>
  <si>
    <t>CCCD</t>
  </si>
  <si>
    <t>ĐỊA CHỈ</t>
  </si>
  <si>
    <t>DOANH THU</t>
  </si>
  <si>
    <t>BILL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</si>
  <si>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</si>
  <si>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</si>
  <si>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</si>
  <si>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</si>
  <si>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</si>
  <si>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</si>
  <si>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</si>
  <si>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</si>
  <si>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</si>
  <si>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</si>
  <si>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</si>
  <si>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</si>
  <si>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</si>
  <si>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</si>
  <si>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</si>
  <si>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</si>
  <si>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</si>
  <si>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</si>
  <si>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</si>
  <si>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</si>
  <si>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</si>
  <si>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</si>
  <si>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</si>
  <si>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</si>
  <si>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</si>
  <si>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</si>
  <si>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</si>
  <si>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</si>
  <si>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</si>
  <si>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</si>
  <si>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</si>
  <si>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</si>
  <si>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</si>
  <si>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</si>
  <si>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</si>
  <si>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</si>
  <si>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</si>
  <si>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</si>
  <si>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</si>
  <si>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</si>
  <si>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</si>
  <si>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</si>
  <si>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</si>
  <si>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</si>
  <si>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</si>
  <si>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</si>
  <si>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</si>
  <si>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</si>
  <si>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</si>
  <si>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</si>
  <si>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</si>
  <si>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</si>
  <si>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</si>
  <si>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</si>
  <si>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 xml:space="preserve">Tỉ lệ: </t>
  </si>
  <si>
    <t>6;4</t>
  </si>
  <si>
    <t xml:space="preserve">LÊ THÀNH LẬP (Hiếu) (Sun) </t>
  </si>
  <si>
    <t>CK</t>
  </si>
  <si>
    <t>Chưa TT</t>
  </si>
  <si>
    <t>68HC 001.86</t>
  </si>
  <si>
    <t>0912 285 485</t>
  </si>
  <si>
    <t>Lê Văn Tùng 12k*</t>
  </si>
  <si>
    <t>TRẦN THANH THANH  (Sun)</t>
  </si>
  <si>
    <t>LÊ VĨNH NHÂM (Vin)</t>
  </si>
  <si>
    <t>68HC 001.91</t>
  </si>
  <si>
    <t>68HC 001.68</t>
  </si>
  <si>
    <t>0329 461 991</t>
  </si>
  <si>
    <t>01091004110</t>
  </si>
  <si>
    <t>HÀ NỘI</t>
  </si>
  <si>
    <t>NGUYỄN VĂN THÁI (Sun)</t>
  </si>
  <si>
    <t>đang làm biển</t>
  </si>
  <si>
    <t>đang cấp</t>
  </si>
  <si>
    <t>THỪA ĐỖ (Sun)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</si>
  <si>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</si>
  <si>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</si>
  <si>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</si>
  <si>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</si>
  <si>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</si>
  <si>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</si>
  <si>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10/01/2026</t>
  </si>
  <si>
    <t>THỰC NHẬN</t>
  </si>
  <si>
    <t>CÒN THIẾU</t>
  </si>
  <si>
    <t>TỔNG THỰC NHẬN</t>
  </si>
  <si>
    <t>NAM ĐẢO</t>
  </si>
  <si>
    <t>BẮC ĐẢO</t>
  </si>
  <si>
    <t xml:space="preserve">TRƯƠNG VŨ CA (VŨ LINH) </t>
  </si>
  <si>
    <t xml:space="preserve">NGUYỄN VĂN THẠO </t>
  </si>
  <si>
    <t>VŨ ĐỨC HẠNH (HUY)</t>
  </si>
  <si>
    <t>DỰ KIẾN CTY NHẬN</t>
  </si>
  <si>
    <t>TỔNG DỰ KIẾN CTY NHẬN</t>
  </si>
  <si>
    <t>-</t>
  </si>
  <si>
    <t>NGUYỄN ĐĂNG KHÁNH</t>
  </si>
  <si>
    <t>68HC 001.78</t>
  </si>
  <si>
    <t>Dưới 1 triệu 700</t>
  </si>
  <si>
    <t>Trên 1 triệu 700</t>
  </si>
  <si>
    <t>Đức Anh</t>
  </si>
  <si>
    <t>Trọng Tính</t>
  </si>
  <si>
    <t>HUỲNH VIỆT CHƯƠNG</t>
  </si>
  <si>
    <t>68HC 001.70</t>
  </si>
  <si>
    <t>68HC 001.93</t>
  </si>
  <si>
    <t>68HC 001.89</t>
  </si>
  <si>
    <t>LƯ HỚN VINH</t>
  </si>
  <si>
    <t>VÕ ĐẸP</t>
  </si>
  <si>
    <t>DOANH THU 31/01/2026</t>
  </si>
  <si>
    <t>ĐỖ VIẾT BÌNH</t>
  </si>
  <si>
    <t>NGỌC TỈNH</t>
  </si>
  <si>
    <t>NGUYỄN TẤN THÀNH</t>
  </si>
  <si>
    <t>NGUYỄN THANH LIÊM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</si>
</sst>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6"/>
      <color theme="1"/>
      <name val="Times New Roman"/>
      <family val="1"/>
    </font>
    <font>
      <b/>
      <sz val="18"/>
      <color rgb="FFFA7D00"/>
      <name val="Times New Roman"/>
      <family val="1"/>
    </font>
    <font>
      <b/>
      <sz val="16"/>
      <color theme="1"/>
      <name val="Times New Roman"/>
      <family val="1"/>
    </font>
    <font>
      <b/>
      <sz val="18"/>
      <color rgb="FF3F3F3F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name val="Times New Roman"/>
      <family val="1"/>
    </font>
    <font>
      <b/>
      <sz val="14"/>
      <color rgb="FFFFFF00"/>
      <name val="Times New Roman"/>
      <family val="1"/>
    </font>
    <font>
      <b/>
      <sz val="14"/>
      <color rgb="FFFF0000"/>
      <name val="Times New Roman"/>
      <family val="1"/>
    </font>
    <font>
      <sz val="14"/>
      <color rgb="FFFFFF00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22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0" xfId="1" applyFont="1" applyAlignment="1">
      <alignment horizontal="center"/>
    </xf>
    <xf numFmtId="3" fontId="12" fillId="3" borderId="2" xfId="2" applyNumberFormat="1" applyFont="1"/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1" fillId="3" borderId="1" xfId="3" applyFont="1"/>
    <xf numFmtId="0" fontId="2" fillId="3" borderId="2" xfId="2"/>
    <xf numFmtId="20" fontId="15" fillId="0" borderId="0" xfId="0" applyNumberFormat="1" applyFont="1" applyAlignment="1">
      <alignment horizontal="right"/>
    </xf>
    <xf numFmtId="3" fontId="4" fillId="0" borderId="0" xfId="0" applyNumberFormat="1" applyFont="1"/>
    <xf numFmtId="0" fontId="17" fillId="7" borderId="0" xfId="0" applyFont="1" applyFill="1" applyAlignment="1">
      <alignment horizontal="center" vertical="center" wrapText="1"/>
    </xf>
    <xf numFmtId="0" fontId="15" fillId="5" borderId="0" xfId="0" applyFont="1" applyFill="1"/>
    <xf numFmtId="0" fontId="17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0" fillId="7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13" fillId="9" borderId="6" xfId="0" applyFont="1" applyFill="1" applyBorder="1" applyAlignment="1">
      <alignment horizontal="left" vertical="center"/>
    </xf>
    <xf numFmtId="49" fontId="5" fillId="9" borderId="6" xfId="0" applyNumberFormat="1" applyFont="1" applyFill="1" applyBorder="1" applyAlignment="1">
      <alignment horizontal="center" vertical="center"/>
    </xf>
    <xf numFmtId="3" fontId="13" fillId="9" borderId="6" xfId="0" applyNumberFormat="1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left" vertical="center"/>
    </xf>
    <xf numFmtId="49" fontId="5" fillId="10" borderId="6" xfId="0" applyNumberFormat="1" applyFont="1" applyFill="1" applyBorder="1" applyAlignment="1">
      <alignment horizontal="center" vertical="center"/>
    </xf>
    <xf numFmtId="3" fontId="13" fillId="10" borderId="6" xfId="0" applyNumberFormat="1" applyFont="1" applyFill="1" applyBorder="1" applyAlignment="1">
      <alignment horizontal="center" vertical="center"/>
    </xf>
    <xf numFmtId="49" fontId="10" fillId="9" borderId="6" xfId="0" applyNumberFormat="1" applyFont="1" applyFill="1" applyBorder="1" applyAlignment="1">
      <alignment horizontal="center" vertical="center"/>
    </xf>
    <xf numFmtId="0" fontId="15" fillId="9" borderId="6" xfId="0" applyFont="1" applyFill="1" applyBorder="1" applyAlignment="1">
      <alignment horizontal="center" vertical="center"/>
    </xf>
    <xf numFmtId="0" fontId="15" fillId="10" borderId="6" xfId="0" applyFont="1" applyFill="1" applyBorder="1" applyAlignment="1">
      <alignment horizontal="center" vertical="center"/>
    </xf>
    <xf numFmtId="0" fontId="20" fillId="7" borderId="6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5" fillId="11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left" vertical="center"/>
    </xf>
    <xf numFmtId="49" fontId="22" fillId="11" borderId="6" xfId="0" applyNumberFormat="1" applyFont="1" applyFill="1" applyBorder="1" applyAlignment="1">
      <alignment horizontal="center" vertical="center"/>
    </xf>
    <xf numFmtId="3" fontId="13" fillId="11" borderId="6" xfId="0" applyNumberFormat="1" applyFont="1" applyFill="1" applyBorder="1" applyAlignment="1">
      <alignment horizontal="center" vertical="center"/>
    </xf>
    <xf numFmtId="0" fontId="20" fillId="11" borderId="6" xfId="0" applyFont="1" applyFill="1" applyBorder="1" applyAlignment="1">
      <alignment horizontal="center" vertical="center"/>
    </xf>
    <xf numFmtId="0" fontId="15" fillId="11" borderId="6" xfId="0" applyFont="1" applyFill="1" applyBorder="1" applyAlignment="1">
      <alignment horizontal="center" vertical="center"/>
    </xf>
    <xf numFmtId="0" fontId="4" fillId="0" borderId="6" xfId="0" applyFont="1" applyBorder="1"/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9" borderId="6" xfId="0" applyFont="1" applyFill="1" applyBorder="1" applyAlignment="1">
      <alignment horizontal="center" vertical="center"/>
    </xf>
    <xf numFmtId="3" fontId="13" fillId="12" borderId="6" xfId="0" applyNumberFormat="1" applyFont="1" applyFill="1" applyBorder="1" applyAlignment="1">
      <alignment horizontal="center" vertical="center"/>
    </xf>
    <xf numFmtId="0" fontId="20" fillId="10" borderId="6" xfId="0" applyFont="1" applyFill="1" applyBorder="1" applyAlignment="1">
      <alignment horizontal="center" vertical="center"/>
    </xf>
    <xf numFmtId="3" fontId="15" fillId="11" borderId="6" xfId="0" applyNumberFormat="1" applyFont="1" applyFill="1" applyBorder="1" applyAlignment="1">
      <alignment horizontal="center" vertical="center"/>
    </xf>
    <xf numFmtId="0" fontId="24" fillId="3" borderId="1" xfId="3" applyFont="1"/>
    <xf numFmtId="0" fontId="25" fillId="6" borderId="6" xfId="1" applyFont="1" applyFill="1" applyBorder="1" applyAlignment="1">
      <alignment horizontal="center" vertical="center"/>
    </xf>
    <xf numFmtId="0" fontId="25" fillId="6" borderId="6" xfId="1" applyFont="1" applyFill="1" applyBorder="1" applyAlignment="1">
      <alignment horizontal="center" vertical="center" wrapText="1"/>
    </xf>
    <xf numFmtId="3" fontId="26" fillId="3" borderId="6" xfId="2" applyNumberFormat="1" applyFont="1" applyBorder="1" applyAlignment="1">
      <alignment horizontal="right"/>
    </xf>
    <xf numFmtId="0" fontId="19" fillId="3" borderId="2" xfId="2" applyFont="1"/>
    <xf numFmtId="0" fontId="19" fillId="3" borderId="1" xfId="3" applyFont="1"/>
    <xf numFmtId="0" fontId="16" fillId="0" borderId="0" xfId="0" applyFont="1"/>
    <xf numFmtId="49" fontId="13" fillId="9" borderId="6" xfId="0" applyNumberFormat="1" applyFont="1" applyFill="1" applyBorder="1" applyAlignment="1">
      <alignment horizontal="center" vertical="center"/>
    </xf>
    <xf numFmtId="49" fontId="19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vertical="center"/>
    </xf>
    <xf numFmtId="49" fontId="27" fillId="9" borderId="6" xfId="0" applyNumberFormat="1" applyFont="1" applyFill="1" applyBorder="1" applyAlignment="1">
      <alignment horizontal="center" vertical="center"/>
    </xf>
    <xf numFmtId="3" fontId="27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vertical="center"/>
    </xf>
    <xf numFmtId="49" fontId="27" fillId="10" borderId="6" xfId="0" applyNumberFormat="1" applyFont="1" applyFill="1" applyBorder="1" applyAlignment="1">
      <alignment horizontal="center" vertical="center"/>
    </xf>
    <xf numFmtId="3" fontId="27" fillId="10" borderId="6" xfId="0" applyNumberFormat="1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49" fontId="29" fillId="9" borderId="6" xfId="0" applyNumberFormat="1" applyFont="1" applyFill="1" applyBorder="1" applyAlignment="1">
      <alignment horizontal="center" vertical="center"/>
    </xf>
    <xf numFmtId="20" fontId="27" fillId="9" borderId="6" xfId="0" applyNumberFormat="1" applyFont="1" applyFill="1" applyBorder="1" applyAlignment="1">
      <alignment horizontal="center" vertical="center"/>
    </xf>
    <xf numFmtId="0" fontId="30" fillId="10" borderId="6" xfId="0" applyFont="1" applyFill="1" applyBorder="1" applyAlignment="1">
      <alignment horizontal="center" vertical="center"/>
    </xf>
    <xf numFmtId="0" fontId="28" fillId="9" borderId="6" xfId="0" applyFont="1" applyFill="1" applyBorder="1" applyAlignment="1">
      <alignment horizontal="center" vertical="center"/>
    </xf>
    <xf numFmtId="0" fontId="28" fillId="10" borderId="6" xfId="0" applyFont="1" applyFill="1" applyBorder="1" applyAlignment="1">
      <alignment horizontal="center" vertical="center"/>
    </xf>
    <xf numFmtId="0" fontId="31" fillId="9" borderId="6" xfId="0" applyFont="1" applyFill="1" applyBorder="1" applyAlignment="1">
      <alignment horizontal="center" vertical="center"/>
    </xf>
    <xf numFmtId="0" fontId="27" fillId="10" borderId="6" xfId="0" applyFont="1" applyFill="1" applyBorder="1"/>
    <xf numFmtId="0" fontId="27" fillId="9" borderId="6" xfId="0" applyFont="1" applyFill="1" applyBorder="1" applyAlignment="1">
      <alignment horizontal="left" vertical="center"/>
    </xf>
    <xf numFmtId="3" fontId="29" fillId="10" borderId="6" xfId="0" applyNumberFormat="1" applyFont="1" applyFill="1" applyBorder="1" applyAlignment="1">
      <alignment horizontal="center" vertical="center"/>
    </xf>
    <xf numFmtId="3" fontId="29" fillId="9" borderId="6" xfId="0" applyNumberFormat="1" applyFont="1" applyFill="1" applyBorder="1" applyAlignment="1">
      <alignment horizontal="center" vertical="center"/>
    </xf>
    <xf numFmtId="3" fontId="29" fillId="10" borderId="6" xfId="0" applyNumberFormat="1" applyFont="1" applyFill="1" applyBorder="1" applyAlignment="1">
      <alignment horizontal="center"/>
    </xf>
    <xf numFmtId="49" fontId="28" fillId="10" borderId="6" xfId="0" applyNumberFormat="1" applyFont="1" applyFill="1" applyBorder="1" applyAlignment="1">
      <alignment horizontal="center"/>
    </xf>
    <xf numFmtId="0" fontId="28" fillId="9" borderId="6" xfId="0" applyFont="1" applyFill="1" applyBorder="1" applyAlignment="1">
      <alignment horizontal="center" vertical="center" wrapText="1"/>
    </xf>
    <xf numFmtId="0" fontId="27" fillId="0" borderId="6" xfId="0" applyFont="1" applyBorder="1"/>
    <xf numFmtId="3" fontId="27" fillId="0" borderId="6" xfId="0" applyNumberFormat="1" applyFont="1" applyBorder="1" applyAlignment="1">
      <alignment horizontal="center"/>
    </xf>
    <xf numFmtId="0" fontId="4" fillId="9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left" vertical="center"/>
    </xf>
    <xf numFmtId="3" fontId="29" fillId="0" borderId="6" xfId="0" applyNumberFormat="1" applyFont="1" applyBorder="1" applyAlignment="1">
      <alignment horizontal="center"/>
    </xf>
    <xf numFmtId="0" fontId="27" fillId="14" borderId="6" xfId="0" applyFont="1" applyFill="1" applyBorder="1" applyAlignment="1">
      <alignment vertical="center"/>
    </xf>
    <xf numFmtId="49" fontId="29" fillId="14" borderId="6" xfId="0" applyNumberFormat="1" applyFont="1" applyFill="1" applyBorder="1" applyAlignment="1">
      <alignment horizontal="center" vertical="center"/>
    </xf>
    <xf numFmtId="3" fontId="27" fillId="14" borderId="6" xfId="0" applyNumberFormat="1" applyFont="1" applyFill="1" applyBorder="1" applyAlignment="1">
      <alignment horizontal="center" vertical="center"/>
    </xf>
    <xf numFmtId="0" fontId="27" fillId="13" borderId="6" xfId="0" applyFont="1" applyFill="1" applyBorder="1"/>
    <xf numFmtId="3" fontId="27" fillId="13" borderId="6" xfId="0" applyNumberFormat="1" applyFont="1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3" borderId="1" xfId="3" applyFont="1" applyAlignment="1">
      <alignment horizontal="center"/>
    </xf>
    <xf numFmtId="0" fontId="23" fillId="8" borderId="8" xfId="0" applyFont="1" applyFill="1" applyBorder="1" applyAlignment="1">
      <alignment horizontal="center" vertical="center" wrapText="1"/>
    </xf>
    <xf numFmtId="0" fontId="23" fillId="8" borderId="9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4" fillId="3" borderId="6" xfId="3" applyFont="1" applyBorder="1" applyAlignment="1">
      <alignment horizontal="center" vertical="center"/>
    </xf>
    <xf numFmtId="3" fontId="26" fillId="3" borderId="6" xfId="2" applyNumberFormat="1" applyFont="1" applyBorder="1" applyAlignment="1">
      <alignment horizontal="right" vertical="center"/>
    </xf>
    <xf numFmtId="0" fontId="24" fillId="3" borderId="6" xfId="3" applyFont="1" applyBorder="1" applyAlignment="1">
      <alignment horizontal="center" vertical="center" wrapText="1"/>
    </xf>
    <xf numFmtId="0" fontId="24" fillId="3" borderId="6" xfId="3" applyFont="1" applyBorder="1" applyAlignment="1">
      <alignment horizontal="center"/>
    </xf>
    <xf numFmtId="0" fontId="23" fillId="6" borderId="10" xfId="0" applyFont="1" applyFill="1" applyBorder="1" applyAlignment="1">
      <alignment horizontal="center" vertical="center" wrapText="1"/>
    </xf>
    <xf numFmtId="0" fontId="23" fillId="6" borderId="11" xfId="0" applyFont="1" applyFill="1" applyBorder="1" applyAlignment="1">
      <alignment horizontal="center" vertical="center" wrapText="1"/>
    </xf>
    <xf numFmtId="0" fontId="28" fillId="10" borderId="6" xfId="0" applyFont="1" applyFill="1" applyBorder="1" applyAlignment="1">
      <alignment horizontal="center"/>
    </xf>
    <xf numFmtId="0" fontId="32" fillId="10" borderId="6" xfId="0" applyFont="1" applyFill="1" applyBorder="1" applyAlignment="1">
      <alignment horizontal="center" vertic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07" t="s">
        <v>30</v>
      </c>
      <c r="C2" s="107"/>
      <c r="D2" s="107"/>
      <c r="E2" s="107"/>
      <c r="F2" s="107"/>
      <c r="G2" s="107"/>
      <c r="H2" s="107"/>
      <c r="I2" s="107"/>
      <c r="J2" s="107"/>
      <c r="K2" s="107"/>
    </row>
    <row r="3" spans="2:16" ht="30.75" x14ac:dyDescent="0.25">
      <c r="B3" s="108" t="s">
        <v>85</v>
      </c>
      <c r="C3" s="109"/>
      <c r="D3" s="109"/>
      <c r="E3" s="109"/>
      <c r="F3" s="109"/>
      <c r="G3" s="109"/>
      <c r="H3" s="109"/>
      <c r="I3" s="109"/>
      <c r="J3" s="109"/>
      <c r="K3" s="109"/>
    </row>
    <row r="4" spans="2:16" x14ac:dyDescent="0.25">
      <c r="J4" s="21"/>
    </row>
    <row r="6" spans="2:16" ht="20.25" x14ac:dyDescent="0.3">
      <c r="B6" s="4" t="s">
        <v>0</v>
      </c>
      <c r="C6" s="4" t="s">
        <v>1</v>
      </c>
      <c r="D6" s="4" t="s">
        <v>47</v>
      </c>
      <c r="E6" s="4" t="s">
        <v>2</v>
      </c>
      <c r="F6" s="4" t="s">
        <v>3</v>
      </c>
      <c r="G6" s="4" t="s">
        <v>46</v>
      </c>
      <c r="H6" s="4" t="s">
        <v>4</v>
      </c>
      <c r="I6" s="4" t="s">
        <v>19</v>
      </c>
      <c r="J6" s="4" t="s">
        <v>6</v>
      </c>
      <c r="K6" s="4" t="s">
        <v>5</v>
      </c>
      <c r="L6" s="4" t="s">
        <v>33</v>
      </c>
      <c r="M6" s="4" t="s">
        <v>48</v>
      </c>
      <c r="P6" s="30" t="s">
        <v>63</v>
      </c>
    </row>
    <row r="7" spans="2:16" ht="16.5" x14ac:dyDescent="0.25">
      <c r="B7" s="3">
        <v>1</v>
      </c>
      <c r="C7" s="7" t="s">
        <v>39</v>
      </c>
      <c r="D7" s="27" t="s">
        <v>7</v>
      </c>
      <c r="E7" s="32">
        <v>38096003688</v>
      </c>
      <c r="F7" s="27" t="s">
        <v>12</v>
      </c>
      <c r="G7" s="27" t="s">
        <v>13</v>
      </c>
      <c r="H7" s="6">
        <v>2060000</v>
      </c>
      <c r="I7" s="6">
        <v>1230000</v>
      </c>
      <c r="J7" s="37" t="s">
        <v>63</v>
      </c>
      <c r="K7" s="2"/>
      <c r="L7" s="8"/>
      <c r="M7" s="8"/>
      <c r="P7" s="29" t="s">
        <v>25</v>
      </c>
    </row>
    <row r="8" spans="2:16" ht="16.5" x14ac:dyDescent="0.25">
      <c r="B8" s="3">
        <f t="shared" ref="B8:B23" si="0">B7 +1</f>
        <v>2</v>
      </c>
      <c r="C8" s="7" t="s">
        <v>37</v>
      </c>
      <c r="D8" s="27" t="s">
        <v>8</v>
      </c>
      <c r="E8" s="32">
        <v>91203011680</v>
      </c>
      <c r="F8" s="27" t="s">
        <v>14</v>
      </c>
      <c r="G8" s="27" t="s">
        <v>15</v>
      </c>
      <c r="H8" s="6">
        <v>1890000</v>
      </c>
      <c r="I8" s="6">
        <v>1135000</v>
      </c>
      <c r="J8" s="29" t="s">
        <v>25</v>
      </c>
      <c r="K8" s="22" t="s">
        <v>64</v>
      </c>
      <c r="L8" s="8"/>
      <c r="M8" s="8"/>
      <c r="P8" s="28" t="s">
        <v>64</v>
      </c>
    </row>
    <row r="9" spans="2:16" ht="16.5" x14ac:dyDescent="0.25">
      <c r="B9" s="3">
        <f t="shared" si="0"/>
        <v>3</v>
      </c>
      <c r="C9" s="7" t="s">
        <v>40</v>
      </c>
      <c r="D9" s="27" t="s">
        <v>9</v>
      </c>
      <c r="E9" s="32">
        <v>89078016404</v>
      </c>
      <c r="F9" s="27" t="s">
        <v>17</v>
      </c>
      <c r="G9" s="27" t="s">
        <v>16</v>
      </c>
      <c r="H9" s="6">
        <v>1810000</v>
      </c>
      <c r="I9" s="6">
        <f t="shared" ref="I9:I23" si="1">H9*$E$26</f>
        <v>1086000</v>
      </c>
      <c r="J9" s="28" t="s">
        <v>64</v>
      </c>
      <c r="K9" s="2"/>
      <c r="L9" s="8"/>
      <c r="M9" s="8"/>
    </row>
    <row r="10" spans="2:16" ht="16.5" x14ac:dyDescent="0.25">
      <c r="B10" s="3">
        <f t="shared" si="0"/>
        <v>4</v>
      </c>
      <c r="C10" s="7" t="s">
        <v>62</v>
      </c>
      <c r="D10" s="27" t="s">
        <v>10</v>
      </c>
      <c r="E10" s="32">
        <v>89099008054</v>
      </c>
      <c r="F10" s="27" t="s">
        <v>17</v>
      </c>
      <c r="G10" s="27" t="s">
        <v>45</v>
      </c>
      <c r="H10" s="6">
        <v>2980000</v>
      </c>
      <c r="I10" s="6">
        <f t="shared" si="1"/>
        <v>1788000</v>
      </c>
      <c r="J10" s="37" t="s">
        <v>63</v>
      </c>
      <c r="K10" s="26"/>
      <c r="L10" s="37"/>
      <c r="M10" s="8"/>
    </row>
    <row r="11" spans="2:16" ht="16.5" x14ac:dyDescent="0.25">
      <c r="B11" s="3">
        <f>B10 +1</f>
        <v>5</v>
      </c>
      <c r="C11" s="7" t="s">
        <v>38</v>
      </c>
      <c r="D11" s="32" t="s">
        <v>11</v>
      </c>
      <c r="E11" s="32">
        <v>91088020664</v>
      </c>
      <c r="F11" s="27" t="s">
        <v>14</v>
      </c>
      <c r="G11" s="27" t="s">
        <v>18</v>
      </c>
      <c r="H11" s="6">
        <v>750000</v>
      </c>
      <c r="I11" s="6">
        <f t="shared" si="1"/>
        <v>450000</v>
      </c>
      <c r="J11" s="29" t="s">
        <v>25</v>
      </c>
      <c r="K11" s="22" t="s">
        <v>64</v>
      </c>
      <c r="L11" s="8"/>
      <c r="M11" s="8"/>
    </row>
    <row r="12" spans="2:16" ht="16.5" x14ac:dyDescent="0.25">
      <c r="B12" s="3">
        <f t="shared" si="0"/>
        <v>6</v>
      </c>
      <c r="C12" s="7" t="s">
        <v>41</v>
      </c>
      <c r="D12" s="33" t="s">
        <v>55</v>
      </c>
      <c r="E12" s="33">
        <v>89082022656</v>
      </c>
      <c r="F12" s="33" t="s">
        <v>17</v>
      </c>
      <c r="G12" s="33" t="s">
        <v>52</v>
      </c>
      <c r="H12" s="6">
        <v>1630000</v>
      </c>
      <c r="I12" s="6">
        <f t="shared" si="1"/>
        <v>978000</v>
      </c>
      <c r="J12" s="37" t="s">
        <v>63</v>
      </c>
      <c r="K12" s="2"/>
      <c r="L12" s="8"/>
      <c r="M12" s="9"/>
    </row>
    <row r="13" spans="2:16" ht="16.5" x14ac:dyDescent="0.25">
      <c r="B13" s="3">
        <f t="shared" si="0"/>
        <v>7</v>
      </c>
      <c r="C13" s="7" t="s">
        <v>42</v>
      </c>
      <c r="D13" s="33" t="s">
        <v>22</v>
      </c>
      <c r="E13" s="33">
        <v>42088019031</v>
      </c>
      <c r="F13" s="33" t="s">
        <v>20</v>
      </c>
      <c r="G13" s="33" t="s">
        <v>21</v>
      </c>
      <c r="H13" s="6">
        <v>1960000</v>
      </c>
      <c r="I13" s="6">
        <f t="shared" si="1"/>
        <v>1176000</v>
      </c>
      <c r="J13" s="30" t="s">
        <v>63</v>
      </c>
      <c r="K13" s="22" t="s">
        <v>64</v>
      </c>
      <c r="L13" s="8"/>
      <c r="M13" s="8"/>
    </row>
    <row r="14" spans="2:16" ht="16.5" x14ac:dyDescent="0.25">
      <c r="B14" s="3">
        <f t="shared" si="0"/>
        <v>8</v>
      </c>
      <c r="C14" s="7" t="s">
        <v>43</v>
      </c>
      <c r="D14" s="33" t="s">
        <v>32</v>
      </c>
      <c r="E14" s="33">
        <v>49202008987</v>
      </c>
      <c r="F14" s="33" t="s">
        <v>14</v>
      </c>
      <c r="G14" s="33" t="s">
        <v>31</v>
      </c>
      <c r="H14" s="6">
        <v>3249000</v>
      </c>
      <c r="I14" s="6">
        <v>1950000</v>
      </c>
      <c r="J14" s="37" t="s">
        <v>63</v>
      </c>
      <c r="K14" s="2"/>
      <c r="L14" s="8"/>
      <c r="M14" s="9"/>
    </row>
    <row r="15" spans="2:16" ht="16.5" x14ac:dyDescent="0.25">
      <c r="B15" s="3">
        <f t="shared" si="0"/>
        <v>9</v>
      </c>
      <c r="C15" s="7" t="s">
        <v>44</v>
      </c>
      <c r="D15" s="33" t="s">
        <v>23</v>
      </c>
      <c r="E15" s="33">
        <v>93097001330</v>
      </c>
      <c r="F15" s="33" t="s">
        <v>56</v>
      </c>
      <c r="G15" s="33" t="s">
        <v>24</v>
      </c>
      <c r="H15" s="6">
        <v>1800000</v>
      </c>
      <c r="I15" s="6">
        <f t="shared" si="1"/>
        <v>1080000</v>
      </c>
      <c r="J15" s="37" t="s">
        <v>63</v>
      </c>
      <c r="K15" s="2"/>
      <c r="L15" s="8"/>
      <c r="M15" s="8"/>
    </row>
    <row r="16" spans="2:16" ht="16.5" x14ac:dyDescent="0.25">
      <c r="B16" s="3">
        <f t="shared" si="0"/>
        <v>10</v>
      </c>
      <c r="C16" s="7" t="s">
        <v>68</v>
      </c>
      <c r="D16" s="33" t="s">
        <v>57</v>
      </c>
      <c r="E16" s="33">
        <v>95095009661</v>
      </c>
      <c r="F16" s="33" t="s">
        <v>58</v>
      </c>
      <c r="G16" s="33" t="s">
        <v>26</v>
      </c>
      <c r="H16" s="6">
        <v>1950000</v>
      </c>
      <c r="I16" s="6">
        <f t="shared" si="1"/>
        <v>1170000</v>
      </c>
      <c r="J16" s="37" t="s">
        <v>63</v>
      </c>
      <c r="K16" s="2"/>
      <c r="L16" s="11"/>
      <c r="M16" s="8"/>
    </row>
    <row r="17" spans="1:13" ht="16.5" x14ac:dyDescent="0.25">
      <c r="B17" s="3">
        <f t="shared" si="0"/>
        <v>11</v>
      </c>
      <c r="C17" s="7" t="s">
        <v>78</v>
      </c>
      <c r="D17" s="33" t="s">
        <v>59</v>
      </c>
      <c r="E17" s="34">
        <v>91085001515</v>
      </c>
      <c r="F17" s="27" t="s">
        <v>17</v>
      </c>
      <c r="G17" s="33" t="s">
        <v>53</v>
      </c>
      <c r="H17" s="6">
        <v>1780000</v>
      </c>
      <c r="I17" s="6">
        <f t="shared" si="1"/>
        <v>1068000</v>
      </c>
      <c r="J17" s="37" t="s">
        <v>63</v>
      </c>
      <c r="K17" s="2"/>
      <c r="L17" s="8"/>
      <c r="M17" s="8"/>
    </row>
    <row r="18" spans="1:13" ht="16.5" x14ac:dyDescent="0.25">
      <c r="B18" s="3">
        <f t="shared" si="0"/>
        <v>12</v>
      </c>
      <c r="C18" s="7" t="s">
        <v>36</v>
      </c>
      <c r="D18" s="33" t="s">
        <v>27</v>
      </c>
      <c r="E18" s="33">
        <v>42094001136</v>
      </c>
      <c r="F18" s="33" t="s">
        <v>14</v>
      </c>
      <c r="G18" s="33" t="s">
        <v>35</v>
      </c>
      <c r="H18" s="6">
        <v>1550000</v>
      </c>
      <c r="I18" s="6">
        <f t="shared" si="1"/>
        <v>930000</v>
      </c>
      <c r="J18" s="29" t="s">
        <v>25</v>
      </c>
      <c r="K18" s="22" t="s">
        <v>64</v>
      </c>
      <c r="L18" s="8"/>
      <c r="M18" s="8"/>
    </row>
    <row r="19" spans="1:13" ht="16.5" x14ac:dyDescent="0.25">
      <c r="B19" s="3">
        <f t="shared" si="0"/>
        <v>13</v>
      </c>
      <c r="C19" s="10" t="s">
        <v>49</v>
      </c>
      <c r="D19" s="33" t="s">
        <v>51</v>
      </c>
      <c r="E19" s="35" t="s">
        <v>77</v>
      </c>
      <c r="F19" s="33" t="s">
        <v>50</v>
      </c>
      <c r="G19" s="36" t="s">
        <v>34</v>
      </c>
      <c r="H19" s="6">
        <v>2110000</v>
      </c>
      <c r="I19" s="6">
        <v>1260000</v>
      </c>
      <c r="J19" s="37" t="s">
        <v>63</v>
      </c>
      <c r="K19" s="8"/>
      <c r="L19" s="8"/>
      <c r="M19" s="8"/>
    </row>
    <row r="20" spans="1:13" ht="16.5" x14ac:dyDescent="0.25">
      <c r="A20" s="25"/>
      <c r="B20" s="3">
        <f t="shared" si="0"/>
        <v>14</v>
      </c>
      <c r="C20" s="7" t="s">
        <v>69</v>
      </c>
      <c r="D20" s="27" t="s">
        <v>66</v>
      </c>
      <c r="E20" s="33">
        <v>38085004911</v>
      </c>
      <c r="F20" s="33" t="s">
        <v>12</v>
      </c>
      <c r="G20" s="36" t="s">
        <v>65</v>
      </c>
      <c r="H20" s="6"/>
      <c r="I20" s="6">
        <f t="shared" si="1"/>
        <v>0</v>
      </c>
      <c r="J20" s="28" t="s">
        <v>64</v>
      </c>
      <c r="K20" s="24"/>
      <c r="L20" s="8"/>
      <c r="M20" s="8"/>
    </row>
    <row r="21" spans="1:13" ht="16.5" x14ac:dyDescent="0.25">
      <c r="A21" s="25"/>
      <c r="B21" s="3">
        <f t="shared" si="0"/>
        <v>15</v>
      </c>
      <c r="C21" s="7" t="s">
        <v>75</v>
      </c>
      <c r="D21" s="27" t="s">
        <v>72</v>
      </c>
      <c r="E21" s="27" t="s">
        <v>73</v>
      </c>
      <c r="F21" s="27" t="s">
        <v>74</v>
      </c>
      <c r="G21" s="35" t="s">
        <v>76</v>
      </c>
      <c r="H21" s="6"/>
      <c r="I21" s="6">
        <f t="shared" si="1"/>
        <v>0</v>
      </c>
      <c r="J21" s="28" t="s">
        <v>64</v>
      </c>
      <c r="K21" s="2"/>
      <c r="L21" s="8"/>
      <c r="M21" s="8"/>
    </row>
    <row r="22" spans="1:13" ht="16.5" x14ac:dyDescent="0.25">
      <c r="B22" s="3">
        <f t="shared" si="0"/>
        <v>16</v>
      </c>
      <c r="C22" s="7" t="s">
        <v>81</v>
      </c>
      <c r="D22" s="27" t="s">
        <v>79</v>
      </c>
      <c r="E22" s="27">
        <v>70081001153</v>
      </c>
      <c r="F22" s="27" t="s">
        <v>80</v>
      </c>
      <c r="G22" s="36" t="s">
        <v>71</v>
      </c>
      <c r="H22" s="6">
        <v>1550000</v>
      </c>
      <c r="I22" s="6">
        <f t="shared" si="1"/>
        <v>930000</v>
      </c>
      <c r="J22" s="29" t="s">
        <v>25</v>
      </c>
      <c r="K22" s="2"/>
      <c r="L22" s="2"/>
      <c r="M22" s="8"/>
    </row>
    <row r="23" spans="1:13" ht="16.5" x14ac:dyDescent="0.25">
      <c r="B23" s="3">
        <f t="shared" si="0"/>
        <v>17</v>
      </c>
      <c r="C23" s="7" t="s">
        <v>82</v>
      </c>
      <c r="D23" s="27" t="s">
        <v>84</v>
      </c>
      <c r="E23" s="27">
        <v>27068001194</v>
      </c>
      <c r="F23" s="27" t="s">
        <v>83</v>
      </c>
      <c r="G23" s="27" t="s">
        <v>70</v>
      </c>
      <c r="H23" s="6">
        <v>1800000</v>
      </c>
      <c r="I23" s="6">
        <f t="shared" si="1"/>
        <v>1080000</v>
      </c>
      <c r="J23" s="29" t="s">
        <v>25</v>
      </c>
      <c r="K23" s="2"/>
      <c r="L23" s="2"/>
      <c r="M23" s="8"/>
    </row>
    <row r="24" spans="1:13" ht="16.5" x14ac:dyDescent="0.25">
      <c r="B24" s="3"/>
      <c r="C24" s="3"/>
      <c r="D24" s="3"/>
      <c r="E24" s="3"/>
      <c r="F24" s="3"/>
      <c r="G24" s="3"/>
      <c r="H24" s="3"/>
      <c r="I24" s="6">
        <f>H24*$E$26</f>
        <v>0</v>
      </c>
      <c r="J24" s="3"/>
      <c r="K24" s="2"/>
      <c r="L24" s="2"/>
      <c r="M24" s="8"/>
    </row>
    <row r="26" spans="1:13" ht="22.5" x14ac:dyDescent="0.3">
      <c r="C26" s="18" t="s">
        <v>60</v>
      </c>
      <c r="E26" s="19">
        <v>0.6</v>
      </c>
      <c r="F26" s="20" t="s">
        <v>61</v>
      </c>
      <c r="H26" s="110" t="s">
        <v>28</v>
      </c>
      <c r="I26" s="110"/>
      <c r="J26" s="5">
        <f>SUM(H7:H1001)</f>
        <v>28869000</v>
      </c>
    </row>
    <row r="27" spans="1:13" ht="22.5" x14ac:dyDescent="0.3">
      <c r="H27" s="110" t="s">
        <v>29</v>
      </c>
      <c r="I27" s="110"/>
      <c r="J27" s="5">
        <f>SUM(I7:I1001)</f>
        <v>17311000</v>
      </c>
    </row>
    <row r="40" spans="2:4" x14ac:dyDescent="0.25">
      <c r="C40" s="23" t="s">
        <v>67</v>
      </c>
    </row>
    <row r="43" spans="2:4" x14ac:dyDescent="0.25">
      <c r="B43" s="17" t="s">
        <v>54</v>
      </c>
    </row>
    <row r="44" spans="2:4" ht="16.5" x14ac:dyDescent="0.25">
      <c r="B44" s="12" t="s">
        <v>13</v>
      </c>
    </row>
    <row r="45" spans="2:4" ht="16.5" x14ac:dyDescent="0.25">
      <c r="B45" s="13" t="s">
        <v>15</v>
      </c>
    </row>
    <row r="46" spans="2:4" ht="16.5" x14ac:dyDescent="0.25">
      <c r="B46" s="12" t="s">
        <v>16</v>
      </c>
      <c r="D46" s="28" t="s">
        <v>64</v>
      </c>
    </row>
    <row r="47" spans="2:4" ht="16.5" x14ac:dyDescent="0.25">
      <c r="B47" s="13" t="s">
        <v>45</v>
      </c>
    </row>
    <row r="48" spans="2:4" ht="16.5" x14ac:dyDescent="0.25">
      <c r="B48" s="12" t="s">
        <v>18</v>
      </c>
    </row>
    <row r="49" spans="2:2" ht="16.5" x14ac:dyDescent="0.25">
      <c r="B49" s="14" t="s">
        <v>52</v>
      </c>
    </row>
    <row r="50" spans="2:2" ht="16.5" x14ac:dyDescent="0.25">
      <c r="B50" s="15" t="s">
        <v>21</v>
      </c>
    </row>
    <row r="51" spans="2:2" ht="16.5" x14ac:dyDescent="0.25">
      <c r="B51" s="14" t="s">
        <v>31</v>
      </c>
    </row>
    <row r="52" spans="2:2" ht="16.5" x14ac:dyDescent="0.25">
      <c r="B52" s="15" t="s">
        <v>24</v>
      </c>
    </row>
    <row r="53" spans="2:2" ht="16.5" x14ac:dyDescent="0.25">
      <c r="B53" s="14" t="s">
        <v>26</v>
      </c>
    </row>
    <row r="54" spans="2:2" ht="16.5" x14ac:dyDescent="0.25">
      <c r="B54" s="15" t="s">
        <v>53</v>
      </c>
    </row>
    <row r="55" spans="2:2" ht="16.5" x14ac:dyDescent="0.25">
      <c r="B55" s="14" t="s">
        <v>35</v>
      </c>
    </row>
    <row r="56" spans="2:2" ht="16.5" x14ac:dyDescent="0.25">
      <c r="B56" s="16" t="s">
        <v>34</v>
      </c>
    </row>
    <row r="57" spans="2:2" ht="16.5" x14ac:dyDescent="0.25">
      <c r="B57" s="16" t="s">
        <v>71</v>
      </c>
    </row>
    <row r="58" spans="2:2" ht="17.25" thickBot="1" x14ac:dyDescent="0.3">
      <c r="B58" s="31" t="s">
        <v>70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EB86F-A8DD-42F9-B2B2-37DBDB0C26B6}">
  <dimension ref="A3:Q47"/>
  <sheetViews>
    <sheetView tabSelected="1" zoomScale="84" zoomScaleNormal="84" workbookViewId="0">
      <selection activeCell="K15" sqref="K15"/>
    </sheetView>
  </sheetViews>
  <sheetFormatPr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07" t="s">
        <v>30</v>
      </c>
      <c r="C3" s="107"/>
      <c r="D3" s="107"/>
      <c r="E3" s="107"/>
      <c r="F3" s="107"/>
      <c r="G3" s="107"/>
      <c r="H3" s="107"/>
      <c r="I3" s="107"/>
      <c r="J3" s="107"/>
      <c r="K3" s="107"/>
    </row>
    <row r="4" spans="1:16" ht="30.75" x14ac:dyDescent="0.25">
      <c r="C4" s="59"/>
      <c r="D4" s="59"/>
      <c r="E4" s="59"/>
      <c r="G4" s="58" t="s">
        <v>109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11" t="s">
        <v>90</v>
      </c>
      <c r="B7" s="38">
        <v>1</v>
      </c>
      <c r="C7" s="39" t="s">
        <v>91</v>
      </c>
      <c r="D7" s="40"/>
      <c r="E7" s="60" t="s">
        <v>76</v>
      </c>
      <c r="F7" s="41"/>
      <c r="G7" s="41">
        <f>IF(F7="",0,IF(F7&gt;1700000,F7*O$19,F7*O$18))</f>
        <v>0</v>
      </c>
      <c r="H7" s="41"/>
      <c r="I7" s="41">
        <f>G7-H7</f>
        <v>0</v>
      </c>
      <c r="J7" s="48" t="s">
        <v>64</v>
      </c>
      <c r="K7" s="96"/>
      <c r="L7" s="46"/>
      <c r="N7" s="50" t="s">
        <v>25</v>
      </c>
    </row>
    <row r="8" spans="1:16" ht="16.5" customHeight="1" x14ac:dyDescent="0.25">
      <c r="A8" s="112"/>
      <c r="B8" s="38">
        <f>B7+1</f>
        <v>2</v>
      </c>
      <c r="C8" s="39" t="s">
        <v>101</v>
      </c>
      <c r="D8" s="45"/>
      <c r="E8" s="72" t="s">
        <v>65</v>
      </c>
      <c r="F8" s="41"/>
      <c r="G8" s="41">
        <f>IF(F8="",0,IF(F8&gt;1700000,F8*O$19,F8*O$18))</f>
        <v>0</v>
      </c>
      <c r="H8" s="41"/>
      <c r="I8" s="41">
        <f t="shared" ref="I8:I10" si="0">G8-H8</f>
        <v>0</v>
      </c>
      <c r="J8" s="48" t="s">
        <v>64</v>
      </c>
      <c r="K8" s="97"/>
      <c r="L8" s="46"/>
      <c r="N8" s="48" t="s">
        <v>64</v>
      </c>
    </row>
    <row r="9" spans="1:16" ht="16.5" customHeight="1" x14ac:dyDescent="0.25">
      <c r="A9" s="112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850000</v>
      </c>
      <c r="G9" s="41">
        <f>IF(F9="",0,IF(F9&gt;1700000,F9*O$19,F9*O$18))</f>
        <v>510000</v>
      </c>
      <c r="H9" s="44">
        <v>510000</v>
      </c>
      <c r="I9" s="41">
        <v>0</v>
      </c>
      <c r="J9" s="50" t="s">
        <v>25</v>
      </c>
      <c r="K9" s="97"/>
      <c r="L9" s="47"/>
    </row>
    <row r="10" spans="1:16" ht="16.5" customHeight="1" x14ac:dyDescent="0.25">
      <c r="A10" s="112"/>
      <c r="B10" s="38">
        <f>B9+1</f>
        <v>4</v>
      </c>
      <c r="C10" s="42" t="s">
        <v>92</v>
      </c>
      <c r="D10" s="43"/>
      <c r="E10" s="60" t="s">
        <v>76</v>
      </c>
      <c r="F10" s="44"/>
      <c r="G10" s="41">
        <f>IF(F10="",0,IF(F10&gt;1700000,F10*O$19,F10*O$18))</f>
        <v>0</v>
      </c>
      <c r="H10" s="44"/>
      <c r="I10" s="41">
        <f t="shared" si="0"/>
        <v>0</v>
      </c>
      <c r="J10" s="48" t="s">
        <v>64</v>
      </c>
      <c r="K10" s="97"/>
      <c r="L10" s="46"/>
      <c r="N10" s="114" t="s">
        <v>28</v>
      </c>
      <c r="O10" s="114"/>
      <c r="P10" s="115">
        <f>SUM(F7:F1006)</f>
        <v>850000</v>
      </c>
    </row>
    <row r="11" spans="1:16" ht="16.5" customHeight="1" x14ac:dyDescent="0.25">
      <c r="A11" s="112"/>
      <c r="B11" s="38">
        <f t="shared" si="1"/>
        <v>5</v>
      </c>
      <c r="C11" s="42" t="s">
        <v>113</v>
      </c>
      <c r="D11" s="43"/>
      <c r="E11" s="60" t="s">
        <v>76</v>
      </c>
      <c r="F11" s="44"/>
      <c r="G11" s="41">
        <f>IF(F11="",0,IF(F11&gt;1700000,F11*O$19,F11*O$18))</f>
        <v>0</v>
      </c>
      <c r="H11" s="44"/>
      <c r="I11" s="41">
        <f t="shared" ref="I11:I18" si="2">G11-H11</f>
        <v>0</v>
      </c>
      <c r="J11" s="62"/>
      <c r="K11" s="97"/>
      <c r="L11" s="46"/>
      <c r="N11" s="114"/>
      <c r="O11" s="114"/>
      <c r="P11" s="115"/>
    </row>
    <row r="12" spans="1:16" ht="16.5" customHeight="1" x14ac:dyDescent="0.25">
      <c r="A12" s="112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3">IF(F12="",0,IF(F12&gt;1700000,F12*O$19,F12*O$18))</f>
        <v>0</v>
      </c>
      <c r="H12" s="44"/>
      <c r="I12" s="41">
        <f t="shared" si="2"/>
        <v>0</v>
      </c>
      <c r="J12" s="62"/>
      <c r="K12" s="97"/>
      <c r="L12" s="46"/>
      <c r="N12" s="116" t="s">
        <v>95</v>
      </c>
      <c r="O12" s="116"/>
      <c r="P12" s="115">
        <f>SUM(G7:G1006)</f>
        <v>510000</v>
      </c>
    </row>
    <row r="13" spans="1:16" ht="22.5" customHeight="1" x14ac:dyDescent="0.25">
      <c r="A13" s="112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3"/>
        <v>0</v>
      </c>
      <c r="H13" s="44"/>
      <c r="I13" s="41">
        <f t="shared" si="2"/>
        <v>0</v>
      </c>
      <c r="J13" s="62"/>
      <c r="K13" s="97"/>
      <c r="L13" s="46"/>
      <c r="N13" s="116"/>
      <c r="O13" s="116"/>
      <c r="P13" s="115"/>
    </row>
    <row r="14" spans="1:16" ht="16.5" customHeight="1" x14ac:dyDescent="0.25">
      <c r="A14" s="112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3"/>
        <v>0</v>
      </c>
      <c r="H14" s="44"/>
      <c r="I14" s="41">
        <f t="shared" si="2"/>
        <v>0</v>
      </c>
      <c r="J14" s="62"/>
      <c r="K14" s="97"/>
      <c r="L14" s="46"/>
      <c r="N14" s="116"/>
      <c r="O14" s="116"/>
      <c r="P14" s="115"/>
    </row>
    <row r="15" spans="1:16" ht="22.5" customHeight="1" x14ac:dyDescent="0.3">
      <c r="A15" s="112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3"/>
        <v>0</v>
      </c>
      <c r="H15" s="44"/>
      <c r="I15" s="41">
        <f t="shared" si="2"/>
        <v>0</v>
      </c>
      <c r="J15" s="62"/>
      <c r="K15" s="97"/>
      <c r="L15" s="46"/>
      <c r="N15" s="117" t="s">
        <v>88</v>
      </c>
      <c r="O15" s="117"/>
      <c r="P15" s="67">
        <f>SUM(H7:H1006)</f>
        <v>510000</v>
      </c>
    </row>
    <row r="16" spans="1:16" ht="16.5" customHeight="1" x14ac:dyDescent="0.25">
      <c r="A16" s="112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3"/>
        <v>0</v>
      </c>
      <c r="H16" s="44"/>
      <c r="I16" s="41">
        <f t="shared" si="2"/>
        <v>0</v>
      </c>
      <c r="J16" s="62"/>
      <c r="K16" s="97"/>
      <c r="L16" s="46"/>
    </row>
    <row r="17" spans="1:17" ht="16.5" customHeight="1" x14ac:dyDescent="0.25">
      <c r="A17" s="112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3"/>
        <v>0</v>
      </c>
      <c r="H17" s="44"/>
      <c r="I17" s="41">
        <f t="shared" si="2"/>
        <v>0</v>
      </c>
      <c r="J17" s="62"/>
      <c r="K17" s="97"/>
      <c r="L17" s="46"/>
    </row>
    <row r="18" spans="1:17" ht="16.5" customHeight="1" x14ac:dyDescent="0.3">
      <c r="A18" s="112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3"/>
        <v>0</v>
      </c>
      <c r="H18" s="44"/>
      <c r="I18" s="41">
        <f t="shared" si="2"/>
        <v>0</v>
      </c>
      <c r="J18" s="62"/>
      <c r="K18" s="97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13"/>
      <c r="B19" s="51"/>
      <c r="C19" s="52"/>
      <c r="D19" s="51"/>
      <c r="E19" s="53"/>
      <c r="F19" s="54"/>
      <c r="G19" s="54"/>
      <c r="H19" s="63"/>
      <c r="I19" s="61"/>
      <c r="J19" s="55"/>
      <c r="K19" s="98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18" t="s">
        <v>89</v>
      </c>
      <c r="B20" s="38">
        <v>1</v>
      </c>
      <c r="C20" s="73" t="s">
        <v>39</v>
      </c>
      <c r="D20" s="74"/>
      <c r="E20" s="74" t="s">
        <v>13</v>
      </c>
      <c r="F20" s="75"/>
      <c r="G20" s="75">
        <f t="shared" ref="G20:G47" si="4">IF(F20="",0,IF(F20&gt;=1700000,F20*O$19,F20*O$18))</f>
        <v>0</v>
      </c>
      <c r="H20" s="75"/>
      <c r="I20" s="75">
        <f t="shared" ref="I20:I37" si="5">G20-H20</f>
        <v>0</v>
      </c>
      <c r="J20" s="48" t="s">
        <v>64</v>
      </c>
      <c r="K20" s="85"/>
      <c r="L20" s="76"/>
    </row>
    <row r="21" spans="1:17" ht="16.5" customHeight="1" x14ac:dyDescent="0.25">
      <c r="A21" s="119"/>
      <c r="B21" s="38">
        <f>B20+1</f>
        <v>2</v>
      </c>
      <c r="C21" s="77" t="s">
        <v>62</v>
      </c>
      <c r="D21" s="78"/>
      <c r="E21" s="78" t="s">
        <v>105</v>
      </c>
      <c r="F21" s="79"/>
      <c r="G21" s="75">
        <f t="shared" si="4"/>
        <v>0</v>
      </c>
      <c r="H21" s="79"/>
      <c r="I21" s="75">
        <f t="shared" si="5"/>
        <v>0</v>
      </c>
      <c r="J21" s="48" t="s">
        <v>64</v>
      </c>
      <c r="K21" s="85"/>
      <c r="L21" s="80"/>
    </row>
    <row r="22" spans="1:17" ht="16.5" customHeight="1" x14ac:dyDescent="0.25">
      <c r="A22" s="119"/>
      <c r="B22" s="38">
        <f t="shared" ref="B22:B47" si="6">B21+1</f>
        <v>3</v>
      </c>
      <c r="C22" s="73" t="s">
        <v>42</v>
      </c>
      <c r="D22" s="81"/>
      <c r="E22" s="81" t="s">
        <v>21</v>
      </c>
      <c r="F22" s="75"/>
      <c r="G22" s="75">
        <f t="shared" si="4"/>
        <v>0</v>
      </c>
      <c r="H22" s="79"/>
      <c r="I22" s="75">
        <f t="shared" si="5"/>
        <v>0</v>
      </c>
      <c r="J22" s="48" t="s">
        <v>64</v>
      </c>
      <c r="K22" s="85"/>
      <c r="L22" s="82"/>
    </row>
    <row r="23" spans="1:17" ht="16.5" customHeight="1" x14ac:dyDescent="0.25">
      <c r="A23" s="119"/>
      <c r="B23" s="38">
        <f t="shared" si="6"/>
        <v>4</v>
      </c>
      <c r="C23" s="102"/>
      <c r="D23" s="103"/>
      <c r="E23" s="103"/>
      <c r="F23" s="104"/>
      <c r="G23" s="104">
        <f t="shared" si="4"/>
        <v>0</v>
      </c>
      <c r="H23" s="104"/>
      <c r="I23" s="104">
        <f t="shared" si="5"/>
        <v>0</v>
      </c>
      <c r="J23" s="48" t="s">
        <v>64</v>
      </c>
      <c r="K23" s="84"/>
      <c r="L23" s="76"/>
    </row>
    <row r="24" spans="1:17" ht="16.5" customHeight="1" x14ac:dyDescent="0.25">
      <c r="A24" s="119"/>
      <c r="B24" s="38">
        <f t="shared" si="6"/>
        <v>5</v>
      </c>
      <c r="C24" s="73" t="s">
        <v>68</v>
      </c>
      <c r="D24" s="81"/>
      <c r="E24" s="81" t="s">
        <v>26</v>
      </c>
      <c r="F24" s="75"/>
      <c r="G24" s="75">
        <f t="shared" si="4"/>
        <v>0</v>
      </c>
      <c r="H24" s="79"/>
      <c r="I24" s="75">
        <f t="shared" si="5"/>
        <v>0</v>
      </c>
      <c r="J24" s="48" t="s">
        <v>64</v>
      </c>
      <c r="K24" s="84"/>
      <c r="L24" s="82"/>
    </row>
    <row r="25" spans="1:17" ht="16.5" customHeight="1" x14ac:dyDescent="0.25">
      <c r="A25" s="119"/>
      <c r="B25" s="38">
        <f t="shared" si="6"/>
        <v>6</v>
      </c>
      <c r="C25" s="73" t="s">
        <v>107</v>
      </c>
      <c r="D25" s="81"/>
      <c r="E25" s="81" t="s">
        <v>53</v>
      </c>
      <c r="F25" s="75"/>
      <c r="G25" s="75">
        <f t="shared" si="4"/>
        <v>0</v>
      </c>
      <c r="H25" s="79"/>
      <c r="I25" s="75">
        <f t="shared" si="5"/>
        <v>0</v>
      </c>
      <c r="J25" s="48" t="s">
        <v>64</v>
      </c>
      <c r="K25" s="84"/>
      <c r="L25" s="76"/>
    </row>
    <row r="26" spans="1:17" ht="22.15" customHeight="1" x14ac:dyDescent="0.25">
      <c r="A26" s="119"/>
      <c r="B26" s="38">
        <f t="shared" si="6"/>
        <v>7</v>
      </c>
      <c r="C26" s="73" t="s">
        <v>49</v>
      </c>
      <c r="D26" s="76"/>
      <c r="E26" s="76" t="s">
        <v>104</v>
      </c>
      <c r="F26" s="75"/>
      <c r="G26" s="75">
        <f t="shared" si="4"/>
        <v>0</v>
      </c>
      <c r="H26" s="75"/>
      <c r="I26" s="75">
        <f t="shared" si="5"/>
        <v>0</v>
      </c>
      <c r="J26" s="48" t="s">
        <v>64</v>
      </c>
      <c r="K26" s="84"/>
      <c r="L26" s="76"/>
    </row>
    <row r="27" spans="1:17" ht="20.45" customHeight="1" x14ac:dyDescent="0.25">
      <c r="A27" s="119"/>
      <c r="B27" s="38">
        <f t="shared" si="6"/>
        <v>8</v>
      </c>
      <c r="C27" s="77" t="s">
        <v>75</v>
      </c>
      <c r="D27" s="80"/>
      <c r="E27" s="76" t="s">
        <v>70</v>
      </c>
      <c r="F27" s="79"/>
      <c r="G27" s="75">
        <f t="shared" si="4"/>
        <v>0</v>
      </c>
      <c r="H27" s="75"/>
      <c r="I27" s="75">
        <f t="shared" si="5"/>
        <v>0</v>
      </c>
      <c r="J27" s="48" t="s">
        <v>64</v>
      </c>
      <c r="K27" s="85"/>
      <c r="L27" s="76"/>
    </row>
    <row r="28" spans="1:17" ht="16.5" customHeight="1" x14ac:dyDescent="0.3">
      <c r="A28" s="119"/>
      <c r="B28" s="38">
        <f t="shared" si="6"/>
        <v>9</v>
      </c>
      <c r="C28" s="77" t="s">
        <v>103</v>
      </c>
      <c r="D28" s="87"/>
      <c r="E28" s="86" t="s">
        <v>76</v>
      </c>
      <c r="F28" s="79"/>
      <c r="G28" s="75">
        <f t="shared" si="4"/>
        <v>0</v>
      </c>
      <c r="H28" s="79"/>
      <c r="I28" s="75">
        <f t="shared" si="5"/>
        <v>0</v>
      </c>
      <c r="J28" s="48" t="s">
        <v>64</v>
      </c>
      <c r="K28" s="92"/>
      <c r="L28" s="76"/>
    </row>
    <row r="29" spans="1:17" ht="16.5" customHeight="1" x14ac:dyDescent="0.3">
      <c r="A29" s="119"/>
      <c r="B29" s="38">
        <f t="shared" si="6"/>
        <v>10</v>
      </c>
      <c r="C29" s="105"/>
      <c r="D29" s="105"/>
      <c r="E29" s="105"/>
      <c r="F29" s="106"/>
      <c r="G29" s="104">
        <f t="shared" si="4"/>
        <v>0</v>
      </c>
      <c r="H29" s="106"/>
      <c r="I29" s="104">
        <f t="shared" si="5"/>
        <v>0</v>
      </c>
      <c r="J29" s="48" t="s">
        <v>64</v>
      </c>
      <c r="K29" s="120"/>
      <c r="L29" s="94"/>
    </row>
    <row r="30" spans="1:17" ht="16.5" customHeight="1" x14ac:dyDescent="0.3">
      <c r="A30" s="119"/>
      <c r="B30" s="38">
        <f t="shared" si="6"/>
        <v>11</v>
      </c>
      <c r="C30" s="88" t="s">
        <v>93</v>
      </c>
      <c r="D30" s="74"/>
      <c r="E30" s="81" t="s">
        <v>24</v>
      </c>
      <c r="F30" s="89"/>
      <c r="G30" s="75">
        <f t="shared" si="4"/>
        <v>0</v>
      </c>
      <c r="H30" s="90"/>
      <c r="I30" s="75">
        <f t="shared" si="5"/>
        <v>0</v>
      </c>
      <c r="J30" s="48" t="s">
        <v>64</v>
      </c>
      <c r="K30" s="120"/>
      <c r="L30" s="80"/>
    </row>
    <row r="31" spans="1:17" ht="15" customHeight="1" x14ac:dyDescent="0.3">
      <c r="A31" s="119"/>
      <c r="B31" s="38">
        <f t="shared" si="6"/>
        <v>12</v>
      </c>
      <c r="C31" s="88" t="s">
        <v>97</v>
      </c>
      <c r="D31" s="81"/>
      <c r="E31" s="76" t="s">
        <v>106</v>
      </c>
      <c r="F31" s="89"/>
      <c r="G31" s="75">
        <f t="shared" si="4"/>
        <v>0</v>
      </c>
      <c r="H31" s="89"/>
      <c r="I31" s="75">
        <f t="shared" si="5"/>
        <v>0</v>
      </c>
      <c r="J31" s="48" t="s">
        <v>64</v>
      </c>
      <c r="K31" s="120"/>
      <c r="L31" s="94"/>
    </row>
    <row r="32" spans="1:17" ht="15" customHeight="1" x14ac:dyDescent="0.3">
      <c r="A32" s="119"/>
      <c r="B32" s="38">
        <f t="shared" si="6"/>
        <v>13</v>
      </c>
      <c r="C32" s="88" t="s">
        <v>108</v>
      </c>
      <c r="D32" s="78"/>
      <c r="E32" s="81" t="s">
        <v>52</v>
      </c>
      <c r="F32" s="75"/>
      <c r="G32" s="75">
        <f t="shared" si="4"/>
        <v>0</v>
      </c>
      <c r="H32" s="75"/>
      <c r="I32" s="75">
        <f t="shared" si="5"/>
        <v>0</v>
      </c>
      <c r="J32" s="48" t="s">
        <v>64</v>
      </c>
      <c r="K32" s="120"/>
      <c r="L32" s="94"/>
    </row>
    <row r="33" spans="1:12" ht="18.75" customHeight="1" x14ac:dyDescent="0.3">
      <c r="A33" s="119"/>
      <c r="B33" s="38">
        <f t="shared" si="6"/>
        <v>14</v>
      </c>
      <c r="C33" s="73" t="s">
        <v>40</v>
      </c>
      <c r="D33" s="74"/>
      <c r="E33" s="74" t="s">
        <v>16</v>
      </c>
      <c r="F33" s="91"/>
      <c r="G33" s="75">
        <f t="shared" si="4"/>
        <v>0</v>
      </c>
      <c r="H33" s="89"/>
      <c r="I33" s="75">
        <f t="shared" si="5"/>
        <v>0</v>
      </c>
      <c r="J33" s="48" t="s">
        <v>64</v>
      </c>
      <c r="K33" s="120"/>
      <c r="L33" s="76"/>
    </row>
    <row r="34" spans="1:12" ht="18.75" x14ac:dyDescent="0.3">
      <c r="A34" s="119"/>
      <c r="B34" s="38">
        <f t="shared" si="6"/>
        <v>15</v>
      </c>
      <c r="C34" s="77" t="s">
        <v>111</v>
      </c>
      <c r="D34" s="87"/>
      <c r="E34" s="81" t="s">
        <v>98</v>
      </c>
      <c r="F34" s="79"/>
      <c r="G34" s="75">
        <f t="shared" si="4"/>
        <v>0</v>
      </c>
      <c r="H34" s="79"/>
      <c r="I34" s="75">
        <f t="shared" si="5"/>
        <v>0</v>
      </c>
      <c r="J34" s="48" t="s">
        <v>64</v>
      </c>
      <c r="K34" s="93"/>
      <c r="L34" s="76"/>
    </row>
    <row r="35" spans="1:12" ht="18.75" x14ac:dyDescent="0.3">
      <c r="A35" s="119"/>
      <c r="B35" s="38">
        <f t="shared" si="6"/>
        <v>16</v>
      </c>
      <c r="C35" s="94" t="s">
        <v>110</v>
      </c>
      <c r="D35" s="94"/>
      <c r="E35" s="81" t="s">
        <v>35</v>
      </c>
      <c r="F35" s="95"/>
      <c r="G35" s="75">
        <f t="shared" si="4"/>
        <v>0</v>
      </c>
      <c r="H35" s="95"/>
      <c r="I35" s="75">
        <f t="shared" si="5"/>
        <v>0</v>
      </c>
      <c r="J35" s="48" t="s">
        <v>64</v>
      </c>
      <c r="K35" s="121"/>
      <c r="L35" s="80"/>
    </row>
    <row r="36" spans="1:12" ht="18.75" x14ac:dyDescent="0.3">
      <c r="A36" s="119"/>
      <c r="B36" s="38">
        <f t="shared" si="6"/>
        <v>17</v>
      </c>
      <c r="C36" s="94" t="s">
        <v>112</v>
      </c>
      <c r="D36" s="57"/>
      <c r="E36" s="81" t="s">
        <v>15</v>
      </c>
      <c r="F36" s="95"/>
      <c r="G36" s="75">
        <f t="shared" si="4"/>
        <v>0</v>
      </c>
      <c r="H36" s="95"/>
      <c r="I36" s="75">
        <f t="shared" si="5"/>
        <v>0</v>
      </c>
      <c r="J36" s="48" t="s">
        <v>64</v>
      </c>
      <c r="K36" s="97"/>
      <c r="L36" s="46"/>
    </row>
    <row r="37" spans="1:12" ht="18.75" x14ac:dyDescent="0.3">
      <c r="A37" s="119"/>
      <c r="B37" s="38">
        <f t="shared" si="6"/>
        <v>18</v>
      </c>
      <c r="C37" s="100"/>
      <c r="D37" s="43"/>
      <c r="E37" s="43"/>
      <c r="F37" s="101"/>
      <c r="G37" s="75">
        <f t="shared" si="4"/>
        <v>0</v>
      </c>
      <c r="H37" s="89"/>
      <c r="I37" s="75">
        <f t="shared" si="5"/>
        <v>0</v>
      </c>
      <c r="J37" s="83"/>
      <c r="K37" s="99"/>
      <c r="L37" s="47"/>
    </row>
    <row r="38" spans="1:12" ht="18.75" x14ac:dyDescent="0.3">
      <c r="A38" s="119"/>
      <c r="B38" s="38">
        <f t="shared" si="6"/>
        <v>19</v>
      </c>
      <c r="C38" s="100"/>
      <c r="D38" s="43"/>
      <c r="E38" s="43"/>
      <c r="F38" s="101"/>
      <c r="G38" s="75">
        <f t="shared" si="4"/>
        <v>0</v>
      </c>
      <c r="H38" s="89"/>
      <c r="I38" s="75">
        <f t="shared" ref="I38:I40" si="7">G38-H38</f>
        <v>0</v>
      </c>
      <c r="J38" s="83"/>
      <c r="K38" s="99"/>
      <c r="L38" s="47"/>
    </row>
    <row r="39" spans="1:12" ht="18.75" x14ac:dyDescent="0.3">
      <c r="A39" s="119"/>
      <c r="B39" s="38">
        <f t="shared" si="6"/>
        <v>20</v>
      </c>
      <c r="C39" s="100"/>
      <c r="D39" s="43"/>
      <c r="E39" s="43"/>
      <c r="F39" s="101"/>
      <c r="G39" s="75">
        <f t="shared" si="4"/>
        <v>0</v>
      </c>
      <c r="H39" s="89"/>
      <c r="I39" s="75">
        <f t="shared" si="7"/>
        <v>0</v>
      </c>
      <c r="J39" s="83"/>
      <c r="K39" s="99"/>
      <c r="L39" s="47"/>
    </row>
    <row r="40" spans="1:12" ht="18.75" x14ac:dyDescent="0.3">
      <c r="A40" s="119"/>
      <c r="B40" s="38">
        <f t="shared" si="6"/>
        <v>21</v>
      </c>
      <c r="C40" s="100"/>
      <c r="D40" s="43"/>
      <c r="E40" s="43"/>
      <c r="F40" s="101"/>
      <c r="G40" s="75">
        <f t="shared" si="4"/>
        <v>0</v>
      </c>
      <c r="H40" s="89"/>
      <c r="I40" s="75">
        <f t="shared" si="7"/>
        <v>0</v>
      </c>
      <c r="J40" s="83"/>
      <c r="K40" s="99"/>
      <c r="L40" s="47"/>
    </row>
    <row r="41" spans="1:12" ht="18.75" x14ac:dyDescent="0.3">
      <c r="A41" s="119"/>
      <c r="B41" s="38">
        <f t="shared" si="6"/>
        <v>22</v>
      </c>
      <c r="C41" s="100"/>
      <c r="D41" s="43"/>
      <c r="E41" s="43"/>
      <c r="F41" s="101"/>
      <c r="G41" s="75">
        <f t="shared" si="4"/>
        <v>0</v>
      </c>
      <c r="H41" s="89"/>
      <c r="I41" s="75">
        <f t="shared" ref="I41:I43" si="8">G41-H41</f>
        <v>0</v>
      </c>
      <c r="J41" s="83"/>
      <c r="K41" s="99"/>
      <c r="L41" s="47"/>
    </row>
    <row r="42" spans="1:12" ht="18.75" x14ac:dyDescent="0.3">
      <c r="A42" s="119"/>
      <c r="B42" s="38">
        <f t="shared" si="6"/>
        <v>23</v>
      </c>
      <c r="C42" s="100"/>
      <c r="D42" s="43"/>
      <c r="E42" s="43"/>
      <c r="F42" s="101"/>
      <c r="G42" s="75">
        <f t="shared" si="4"/>
        <v>0</v>
      </c>
      <c r="H42" s="89"/>
      <c r="I42" s="75">
        <f t="shared" si="8"/>
        <v>0</v>
      </c>
      <c r="J42" s="83"/>
      <c r="K42" s="99"/>
      <c r="L42" s="47"/>
    </row>
    <row r="43" spans="1:12" ht="18.75" x14ac:dyDescent="0.3">
      <c r="A43" s="119"/>
      <c r="B43" s="38">
        <f t="shared" si="6"/>
        <v>24</v>
      </c>
      <c r="C43" s="100"/>
      <c r="D43" s="43"/>
      <c r="E43" s="43"/>
      <c r="F43" s="101"/>
      <c r="G43" s="75">
        <f t="shared" si="4"/>
        <v>0</v>
      </c>
      <c r="H43" s="89"/>
      <c r="I43" s="75">
        <f t="shared" si="8"/>
        <v>0</v>
      </c>
      <c r="J43" s="83"/>
      <c r="K43" s="99"/>
      <c r="L43" s="47"/>
    </row>
    <row r="44" spans="1:12" ht="18.75" x14ac:dyDescent="0.3">
      <c r="A44" s="119"/>
      <c r="B44" s="38">
        <f t="shared" si="6"/>
        <v>25</v>
      </c>
      <c r="C44" s="100"/>
      <c r="D44" s="43"/>
      <c r="E44" s="43"/>
      <c r="F44" s="101"/>
      <c r="G44" s="75">
        <f t="shared" si="4"/>
        <v>0</v>
      </c>
      <c r="H44" s="89"/>
      <c r="I44" s="75">
        <f t="shared" ref="I44:I47" si="9">G44-H44</f>
        <v>0</v>
      </c>
      <c r="J44" s="83"/>
      <c r="K44" s="99"/>
      <c r="L44" s="47"/>
    </row>
    <row r="45" spans="1:12" ht="18.75" x14ac:dyDescent="0.3">
      <c r="A45" s="119"/>
      <c r="B45" s="38">
        <f t="shared" si="6"/>
        <v>26</v>
      </c>
      <c r="C45" s="100"/>
      <c r="D45" s="43"/>
      <c r="E45" s="43"/>
      <c r="F45" s="101"/>
      <c r="G45" s="75">
        <f t="shared" si="4"/>
        <v>0</v>
      </c>
      <c r="H45" s="89"/>
      <c r="I45" s="75">
        <f t="shared" si="9"/>
        <v>0</v>
      </c>
      <c r="J45" s="83"/>
      <c r="K45" s="99"/>
      <c r="L45" s="47"/>
    </row>
    <row r="46" spans="1:12" ht="18.75" x14ac:dyDescent="0.3">
      <c r="A46" s="119"/>
      <c r="B46" s="38">
        <f t="shared" si="6"/>
        <v>27</v>
      </c>
      <c r="C46" s="100"/>
      <c r="D46" s="43"/>
      <c r="E46" s="43"/>
      <c r="F46" s="101"/>
      <c r="G46" s="75">
        <f t="shared" si="4"/>
        <v>0</v>
      </c>
      <c r="H46" s="89"/>
      <c r="I46" s="75">
        <f t="shared" si="9"/>
        <v>0</v>
      </c>
      <c r="J46" s="83"/>
      <c r="K46" s="99"/>
      <c r="L46" s="47"/>
    </row>
    <row r="47" spans="1:12" ht="18.75" x14ac:dyDescent="0.3">
      <c r="A47" s="119"/>
      <c r="B47" s="38">
        <f t="shared" si="6"/>
        <v>28</v>
      </c>
      <c r="C47" s="100"/>
      <c r="D47" s="43"/>
      <c r="E47" s="43"/>
      <c r="F47" s="101"/>
      <c r="G47" s="75">
        <f t="shared" si="4"/>
        <v>0</v>
      </c>
      <c r="H47" s="89"/>
      <c r="I47" s="75">
        <f t="shared" si="9"/>
        <v>0</v>
      </c>
      <c r="J47" s="83"/>
      <c r="K47" s="99"/>
      <c r="L47" s="47"/>
    </row>
  </sheetData>
  <mergeCells count="8">
    <mergeCell ref="A20:A47"/>
    <mergeCell ref="A7:A19"/>
    <mergeCell ref="B3:K3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10-01</vt:lpstr>
      <vt:lpstr>31-01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2026-02-01T18:07:22Z</dcterms:modified>
</cp:coreProperties>
</file>