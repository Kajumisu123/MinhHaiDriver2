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uc Anh\Theo dõi\"/>
    </mc:Choice>
  </mc:AlternateContent>
  <xr:revisionPtr revIDLastSave="0" documentId="13_ncr:1_{828F5582-67C0-4ADA-906E-D406FFC9D2E4}" xr6:coauthVersionLast="47" xr6:coauthVersionMax="47" xr10:uidLastSave="{00000000-0000-0000-0000-000000000000}"/>
  <bookViews>
    <workbookView xWindow="-120" yWindow="-120" windowWidth="29040" windowHeight="15840" tabRatio="579" firstSheet="1" activeTab="12" xr2:uid="{00000000-000D-0000-FFFF-FFFF00000000}"/>
  </bookViews>
  <sheets>
    <sheet name="10-01" sheetId="14" state="hidden" r:id="rId1"/>
    <sheet name="01-02" sheetId="37" r:id="rId2"/>
    <sheet name="02-02" sheetId="38" r:id="rId3"/>
    <sheet name="03-02" sheetId="39" r:id="rId4"/>
    <sheet name="04-02" sheetId="40" r:id="rId5"/>
    <sheet name="05-02" sheetId="41" r:id="rId6"/>
    <sheet name="06-02" sheetId="42" r:id="rId7"/>
    <sheet name="07-02" sheetId="43" r:id="rId8"/>
    <sheet name="08-02" sheetId="44" r:id="rId9"/>
    <sheet name="09-02" sheetId="45" r:id="rId10"/>
    <sheet name="10-02" sheetId="47" r:id="rId11"/>
    <sheet name="11-02" sheetId="46" r:id="rId12"/>
    <sheet name="12-02" sheetId="4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" i="48" l="1"/>
  <c r="I47" i="48" s="1"/>
  <c r="G46" i="48"/>
  <c r="I46" i="48" s="1"/>
  <c r="G45" i="48"/>
  <c r="I45" i="48" s="1"/>
  <c r="G44" i="48"/>
  <c r="I44" i="48" s="1"/>
  <c r="G43" i="48"/>
  <c r="I43" i="48" s="1"/>
  <c r="G42" i="48"/>
  <c r="I42" i="48" s="1"/>
  <c r="I41" i="48"/>
  <c r="G41" i="48"/>
  <c r="G40" i="48"/>
  <c r="I40" i="48" s="1"/>
  <c r="G39" i="48"/>
  <c r="I39" i="48" s="1"/>
  <c r="G38" i="48"/>
  <c r="I38" i="48" s="1"/>
  <c r="G37" i="48"/>
  <c r="I37" i="48" s="1"/>
  <c r="G36" i="48"/>
  <c r="I36" i="48" s="1"/>
  <c r="I35" i="48"/>
  <c r="G35" i="48"/>
  <c r="G34" i="48"/>
  <c r="I34" i="48" s="1"/>
  <c r="G33" i="48"/>
  <c r="I33" i="48" s="1"/>
  <c r="G32" i="48"/>
  <c r="I32" i="48" s="1"/>
  <c r="G31" i="48"/>
  <c r="I31" i="48" s="1"/>
  <c r="G30" i="48"/>
  <c r="I30" i="48" s="1"/>
  <c r="G29" i="48"/>
  <c r="I29" i="48" s="1"/>
  <c r="G28" i="48"/>
  <c r="I28" i="48" s="1"/>
  <c r="G27" i="48"/>
  <c r="I27" i="48" s="1"/>
  <c r="G26" i="48"/>
  <c r="I26" i="48" s="1"/>
  <c r="I25" i="48"/>
  <c r="G25" i="48"/>
  <c r="G24" i="48"/>
  <c r="I24" i="48" s="1"/>
  <c r="I23" i="48"/>
  <c r="G23" i="48"/>
  <c r="G22" i="48"/>
  <c r="I22" i="48" s="1"/>
  <c r="G21" i="48"/>
  <c r="I21" i="48" s="1"/>
  <c r="B21" i="48"/>
  <c r="B22" i="48" s="1"/>
  <c r="B23" i="48" s="1"/>
  <c r="B24" i="48" s="1"/>
  <c r="B25" i="48" s="1"/>
  <c r="B26" i="48" s="1"/>
  <c r="B27" i="48" s="1"/>
  <c r="B28" i="48" s="1"/>
  <c r="B29" i="48" s="1"/>
  <c r="B30" i="48" s="1"/>
  <c r="B31" i="48" s="1"/>
  <c r="B32" i="48" s="1"/>
  <c r="B33" i="48" s="1"/>
  <c r="B34" i="48" s="1"/>
  <c r="B35" i="48" s="1"/>
  <c r="B36" i="48" s="1"/>
  <c r="B37" i="48" s="1"/>
  <c r="B38" i="48" s="1"/>
  <c r="B39" i="48" s="1"/>
  <c r="B40" i="48" s="1"/>
  <c r="B41" i="48" s="1"/>
  <c r="B42" i="48" s="1"/>
  <c r="B43" i="48" s="1"/>
  <c r="B44" i="48" s="1"/>
  <c r="B45" i="48" s="1"/>
  <c r="B46" i="48" s="1"/>
  <c r="B47" i="48" s="1"/>
  <c r="G20" i="48"/>
  <c r="I20" i="48" s="1"/>
  <c r="G18" i="48"/>
  <c r="I18" i="48" s="1"/>
  <c r="G17" i="48"/>
  <c r="I17" i="48" s="1"/>
  <c r="G16" i="48"/>
  <c r="I16" i="48" s="1"/>
  <c r="P15" i="48"/>
  <c r="G15" i="48"/>
  <c r="I15" i="48" s="1"/>
  <c r="G14" i="48"/>
  <c r="I14" i="48" s="1"/>
  <c r="G13" i="48"/>
  <c r="I13" i="48" s="1"/>
  <c r="G12" i="48"/>
  <c r="I12" i="48" s="1"/>
  <c r="I11" i="48"/>
  <c r="G11" i="48"/>
  <c r="P10" i="48"/>
  <c r="G10" i="48"/>
  <c r="I10" i="48" s="1"/>
  <c r="G9" i="48"/>
  <c r="I9" i="48" s="1"/>
  <c r="G8" i="48"/>
  <c r="I8" i="48" s="1"/>
  <c r="B8" i="48"/>
  <c r="B9" i="48" s="1"/>
  <c r="B10" i="48" s="1"/>
  <c r="B11" i="48" s="1"/>
  <c r="B12" i="48" s="1"/>
  <c r="B13" i="48" s="1"/>
  <c r="B14" i="48" s="1"/>
  <c r="B15" i="48" s="1"/>
  <c r="B16" i="48" s="1"/>
  <c r="B17" i="48" s="1"/>
  <c r="B18" i="48" s="1"/>
  <c r="G7" i="48"/>
  <c r="I7" i="48" s="1"/>
  <c r="P12" i="48" l="1"/>
  <c r="G47" i="47"/>
  <c r="I47" i="47" s="1"/>
  <c r="G46" i="47"/>
  <c r="I46" i="47" s="1"/>
  <c r="G45" i="47"/>
  <c r="I45" i="47" s="1"/>
  <c r="G44" i="47"/>
  <c r="I44" i="47" s="1"/>
  <c r="G43" i="47"/>
  <c r="I43" i="47" s="1"/>
  <c r="G42" i="47"/>
  <c r="I42" i="47" s="1"/>
  <c r="I41" i="47"/>
  <c r="G41" i="47"/>
  <c r="G40" i="47"/>
  <c r="I40" i="47" s="1"/>
  <c r="I39" i="47"/>
  <c r="G39" i="47"/>
  <c r="G38" i="47"/>
  <c r="I38" i="47" s="1"/>
  <c r="G37" i="47"/>
  <c r="I37" i="47" s="1"/>
  <c r="G36" i="47"/>
  <c r="I36" i="47" s="1"/>
  <c r="G35" i="47"/>
  <c r="I35" i="47" s="1"/>
  <c r="G34" i="47"/>
  <c r="I34" i="47" s="1"/>
  <c r="I33" i="47"/>
  <c r="G33" i="47"/>
  <c r="G32" i="47"/>
  <c r="I32" i="47" s="1"/>
  <c r="I31" i="47"/>
  <c r="G31" i="47"/>
  <c r="G30" i="47"/>
  <c r="I30" i="47" s="1"/>
  <c r="G29" i="47"/>
  <c r="I29" i="47" s="1"/>
  <c r="G28" i="47"/>
  <c r="I28" i="47" s="1"/>
  <c r="G27" i="47"/>
  <c r="I27" i="47" s="1"/>
  <c r="G26" i="47"/>
  <c r="I26" i="47" s="1"/>
  <c r="I25" i="47"/>
  <c r="G25" i="47"/>
  <c r="G24" i="47"/>
  <c r="I24" i="47" s="1"/>
  <c r="I23" i="47"/>
  <c r="G23" i="47"/>
  <c r="G22" i="47"/>
  <c r="I22" i="47" s="1"/>
  <c r="G21" i="47"/>
  <c r="I21" i="47" s="1"/>
  <c r="B21" i="47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B33" i="47" s="1"/>
  <c r="B34" i="47" s="1"/>
  <c r="B35" i="47" s="1"/>
  <c r="B36" i="47" s="1"/>
  <c r="B37" i="47" s="1"/>
  <c r="B38" i="47" s="1"/>
  <c r="B39" i="47" s="1"/>
  <c r="B40" i="47" s="1"/>
  <c r="B41" i="47" s="1"/>
  <c r="B42" i="47" s="1"/>
  <c r="B43" i="47" s="1"/>
  <c r="B44" i="47" s="1"/>
  <c r="B45" i="47" s="1"/>
  <c r="B46" i="47" s="1"/>
  <c r="B47" i="47" s="1"/>
  <c r="G20" i="47"/>
  <c r="I20" i="47" s="1"/>
  <c r="G18" i="47"/>
  <c r="I18" i="47" s="1"/>
  <c r="G17" i="47"/>
  <c r="I17" i="47" s="1"/>
  <c r="G16" i="47"/>
  <c r="I16" i="47" s="1"/>
  <c r="P15" i="47"/>
  <c r="G15" i="47"/>
  <c r="I15" i="47" s="1"/>
  <c r="I14" i="47"/>
  <c r="G14" i="47"/>
  <c r="G13" i="47"/>
  <c r="I13" i="47" s="1"/>
  <c r="P12" i="47"/>
  <c r="G12" i="47"/>
  <c r="I12" i="47" s="1"/>
  <c r="I11" i="47"/>
  <c r="G11" i="47"/>
  <c r="P10" i="47"/>
  <c r="G10" i="47"/>
  <c r="I10" i="47" s="1"/>
  <c r="G9" i="47"/>
  <c r="I9" i="47" s="1"/>
  <c r="G8" i="47"/>
  <c r="I8" i="47" s="1"/>
  <c r="B8" i="47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G7" i="47"/>
  <c r="I7" i="47" s="1"/>
  <c r="G8" i="46"/>
  <c r="I8" i="46" s="1"/>
  <c r="G47" i="46"/>
  <c r="I47" i="46" s="1"/>
  <c r="G46" i="46"/>
  <c r="I46" i="46" s="1"/>
  <c r="G45" i="46"/>
  <c r="I45" i="46" s="1"/>
  <c r="I44" i="46"/>
  <c r="G44" i="46"/>
  <c r="G43" i="46"/>
  <c r="I43" i="46" s="1"/>
  <c r="I42" i="46"/>
  <c r="G42" i="46"/>
  <c r="I41" i="46"/>
  <c r="G41" i="46"/>
  <c r="G40" i="46"/>
  <c r="I40" i="46" s="1"/>
  <c r="G39" i="46"/>
  <c r="I39" i="46" s="1"/>
  <c r="G38" i="46"/>
  <c r="I38" i="46" s="1"/>
  <c r="G37" i="46"/>
  <c r="I37" i="46" s="1"/>
  <c r="I36" i="46"/>
  <c r="G36" i="46"/>
  <c r="G35" i="46"/>
  <c r="I35" i="46" s="1"/>
  <c r="G34" i="46"/>
  <c r="I34" i="46" s="1"/>
  <c r="G33" i="46"/>
  <c r="I33" i="46" s="1"/>
  <c r="G32" i="46"/>
  <c r="I32" i="46" s="1"/>
  <c r="G31" i="46"/>
  <c r="I31" i="46" s="1"/>
  <c r="G30" i="46"/>
  <c r="I30" i="46" s="1"/>
  <c r="G29" i="46"/>
  <c r="I29" i="46" s="1"/>
  <c r="G28" i="46"/>
  <c r="I28" i="46" s="1"/>
  <c r="G27" i="46"/>
  <c r="I27" i="46" s="1"/>
  <c r="G26" i="46"/>
  <c r="I26" i="46" s="1"/>
  <c r="G25" i="46"/>
  <c r="I25" i="46" s="1"/>
  <c r="G24" i="46"/>
  <c r="I24" i="46" s="1"/>
  <c r="G23" i="46"/>
  <c r="I23" i="46" s="1"/>
  <c r="G22" i="46"/>
  <c r="I22" i="46" s="1"/>
  <c r="B22" i="46"/>
  <c r="B23" i="46" s="1"/>
  <c r="B24" i="46" s="1"/>
  <c r="B25" i="46" s="1"/>
  <c r="B26" i="46" s="1"/>
  <c r="B27" i="46" s="1"/>
  <c r="B28" i="46" s="1"/>
  <c r="B29" i="46" s="1"/>
  <c r="B30" i="46" s="1"/>
  <c r="B31" i="46" s="1"/>
  <c r="B32" i="46" s="1"/>
  <c r="B33" i="46" s="1"/>
  <c r="B34" i="46" s="1"/>
  <c r="B35" i="46" s="1"/>
  <c r="B36" i="46" s="1"/>
  <c r="B37" i="46" s="1"/>
  <c r="B38" i="46" s="1"/>
  <c r="B39" i="46" s="1"/>
  <c r="B40" i="46" s="1"/>
  <c r="B41" i="46" s="1"/>
  <c r="B42" i="46" s="1"/>
  <c r="B43" i="46" s="1"/>
  <c r="B44" i="46" s="1"/>
  <c r="B45" i="46" s="1"/>
  <c r="B46" i="46" s="1"/>
  <c r="B47" i="46" s="1"/>
  <c r="G21" i="46"/>
  <c r="I21" i="46" s="1"/>
  <c r="B21" i="46"/>
  <c r="G20" i="46"/>
  <c r="I20" i="46" s="1"/>
  <c r="G18" i="46"/>
  <c r="I18" i="46" s="1"/>
  <c r="G17" i="46"/>
  <c r="I17" i="46" s="1"/>
  <c r="G16" i="46"/>
  <c r="I16" i="46" s="1"/>
  <c r="P15" i="46"/>
  <c r="G15" i="46"/>
  <c r="I15" i="46" s="1"/>
  <c r="G14" i="46"/>
  <c r="I14" i="46" s="1"/>
  <c r="G13" i="46"/>
  <c r="I13" i="46" s="1"/>
  <c r="G12" i="46"/>
  <c r="I12" i="46" s="1"/>
  <c r="G11" i="46"/>
  <c r="I11" i="46" s="1"/>
  <c r="P10" i="46"/>
  <c r="G10" i="46"/>
  <c r="I10" i="46" s="1"/>
  <c r="G9" i="46"/>
  <c r="I9" i="46" s="1"/>
  <c r="B8" i="46"/>
  <c r="B9" i="46" s="1"/>
  <c r="B10" i="46" s="1"/>
  <c r="B11" i="46" s="1"/>
  <c r="B12" i="46" s="1"/>
  <c r="B13" i="46" s="1"/>
  <c r="B14" i="46" s="1"/>
  <c r="B15" i="46" s="1"/>
  <c r="B16" i="46" s="1"/>
  <c r="B17" i="46" s="1"/>
  <c r="B18" i="46" s="1"/>
  <c r="G7" i="46"/>
  <c r="G47" i="45"/>
  <c r="I47" i="45" s="1"/>
  <c r="G46" i="45"/>
  <c r="I46" i="45" s="1"/>
  <c r="G45" i="45"/>
  <c r="I45" i="45" s="1"/>
  <c r="G44" i="45"/>
  <c r="I44" i="45" s="1"/>
  <c r="G43" i="45"/>
  <c r="I43" i="45" s="1"/>
  <c r="G42" i="45"/>
  <c r="I42" i="45" s="1"/>
  <c r="G41" i="45"/>
  <c r="I41" i="45" s="1"/>
  <c r="G40" i="45"/>
  <c r="I40" i="45" s="1"/>
  <c r="G39" i="45"/>
  <c r="I39" i="45" s="1"/>
  <c r="G38" i="45"/>
  <c r="I38" i="45" s="1"/>
  <c r="G37" i="45"/>
  <c r="I37" i="45" s="1"/>
  <c r="G36" i="45"/>
  <c r="I36" i="45" s="1"/>
  <c r="G35" i="45"/>
  <c r="I35" i="45" s="1"/>
  <c r="G34" i="45"/>
  <c r="I34" i="45" s="1"/>
  <c r="G33" i="45"/>
  <c r="I33" i="45" s="1"/>
  <c r="G32" i="45"/>
  <c r="I32" i="45" s="1"/>
  <c r="G31" i="45"/>
  <c r="I31" i="45" s="1"/>
  <c r="G30" i="45"/>
  <c r="I30" i="45" s="1"/>
  <c r="G29" i="45"/>
  <c r="I29" i="45" s="1"/>
  <c r="G28" i="45"/>
  <c r="I28" i="45" s="1"/>
  <c r="G27" i="45"/>
  <c r="I27" i="45" s="1"/>
  <c r="G26" i="45"/>
  <c r="I26" i="45" s="1"/>
  <c r="G25" i="45"/>
  <c r="I25" i="45" s="1"/>
  <c r="G24" i="45"/>
  <c r="I24" i="45" s="1"/>
  <c r="G23" i="45"/>
  <c r="I23" i="45" s="1"/>
  <c r="G22" i="45"/>
  <c r="I22" i="45" s="1"/>
  <c r="G21" i="45"/>
  <c r="I21" i="45" s="1"/>
  <c r="B21" i="45"/>
  <c r="B22" i="45" s="1"/>
  <c r="B23" i="45" s="1"/>
  <c r="B24" i="45" s="1"/>
  <c r="B25" i="45" s="1"/>
  <c r="B26" i="45" s="1"/>
  <c r="B27" i="45" s="1"/>
  <c r="B28" i="45" s="1"/>
  <c r="B29" i="45" s="1"/>
  <c r="B30" i="45" s="1"/>
  <c r="B31" i="45" s="1"/>
  <c r="B32" i="45" s="1"/>
  <c r="B33" i="45" s="1"/>
  <c r="B34" i="45" s="1"/>
  <c r="B35" i="45" s="1"/>
  <c r="B36" i="45" s="1"/>
  <c r="B37" i="45" s="1"/>
  <c r="B38" i="45" s="1"/>
  <c r="B39" i="45" s="1"/>
  <c r="B40" i="45" s="1"/>
  <c r="B41" i="45" s="1"/>
  <c r="B42" i="45" s="1"/>
  <c r="B43" i="45" s="1"/>
  <c r="B44" i="45" s="1"/>
  <c r="B45" i="45" s="1"/>
  <c r="B46" i="45" s="1"/>
  <c r="B47" i="45" s="1"/>
  <c r="G20" i="45"/>
  <c r="I20" i="45" s="1"/>
  <c r="G18" i="45"/>
  <c r="I18" i="45" s="1"/>
  <c r="G17" i="45"/>
  <c r="I17" i="45" s="1"/>
  <c r="G16" i="45"/>
  <c r="I16" i="45" s="1"/>
  <c r="P15" i="45"/>
  <c r="G15" i="45"/>
  <c r="I15" i="45" s="1"/>
  <c r="G14" i="45"/>
  <c r="I14" i="45" s="1"/>
  <c r="G13" i="45"/>
  <c r="I13" i="45" s="1"/>
  <c r="G12" i="45"/>
  <c r="I12" i="45" s="1"/>
  <c r="G11" i="45"/>
  <c r="I11" i="45" s="1"/>
  <c r="P10" i="45"/>
  <c r="G10" i="45"/>
  <c r="I10" i="45" s="1"/>
  <c r="G9" i="45"/>
  <c r="I9" i="45" s="1"/>
  <c r="G8" i="45"/>
  <c r="I8" i="45" s="1"/>
  <c r="B8" i="45"/>
  <c r="B9" i="45" s="1"/>
  <c r="B10" i="45" s="1"/>
  <c r="B11" i="45" s="1"/>
  <c r="B12" i="45" s="1"/>
  <c r="B13" i="45" s="1"/>
  <c r="B14" i="45" s="1"/>
  <c r="B15" i="45" s="1"/>
  <c r="B16" i="45" s="1"/>
  <c r="B17" i="45" s="1"/>
  <c r="B18" i="45" s="1"/>
  <c r="G7" i="45"/>
  <c r="I7" i="45" s="1"/>
  <c r="I8" i="44"/>
  <c r="G47" i="44"/>
  <c r="I47" i="44" s="1"/>
  <c r="G46" i="44"/>
  <c r="I46" i="44" s="1"/>
  <c r="G45" i="44"/>
  <c r="I45" i="44" s="1"/>
  <c r="G44" i="44"/>
  <c r="I44" i="44" s="1"/>
  <c r="G43" i="44"/>
  <c r="I43" i="44" s="1"/>
  <c r="G42" i="44"/>
  <c r="I42" i="44" s="1"/>
  <c r="G41" i="44"/>
  <c r="I41" i="44" s="1"/>
  <c r="G40" i="44"/>
  <c r="I40" i="44" s="1"/>
  <c r="G39" i="44"/>
  <c r="I39" i="44" s="1"/>
  <c r="G38" i="44"/>
  <c r="I38" i="44" s="1"/>
  <c r="G37" i="44"/>
  <c r="I37" i="44" s="1"/>
  <c r="G36" i="44"/>
  <c r="I36" i="44" s="1"/>
  <c r="G35" i="44"/>
  <c r="I35" i="44" s="1"/>
  <c r="G34" i="44"/>
  <c r="I34" i="44" s="1"/>
  <c r="G33" i="44"/>
  <c r="I33" i="44" s="1"/>
  <c r="G32" i="44"/>
  <c r="I32" i="44" s="1"/>
  <c r="G31" i="44"/>
  <c r="I31" i="44" s="1"/>
  <c r="G30" i="44"/>
  <c r="I30" i="44" s="1"/>
  <c r="G29" i="44"/>
  <c r="I29" i="44" s="1"/>
  <c r="G28" i="44"/>
  <c r="I28" i="44" s="1"/>
  <c r="G27" i="44"/>
  <c r="I27" i="44" s="1"/>
  <c r="G26" i="44"/>
  <c r="I26" i="44" s="1"/>
  <c r="G25" i="44"/>
  <c r="I25" i="44" s="1"/>
  <c r="G24" i="44"/>
  <c r="I24" i="44" s="1"/>
  <c r="G23" i="44"/>
  <c r="I23" i="44" s="1"/>
  <c r="G22" i="44"/>
  <c r="I22" i="44" s="1"/>
  <c r="B22" i="44"/>
  <c r="B23" i="44" s="1"/>
  <c r="B24" i="44" s="1"/>
  <c r="B25" i="44" s="1"/>
  <c r="B26" i="44" s="1"/>
  <c r="B27" i="44" s="1"/>
  <c r="B28" i="44" s="1"/>
  <c r="B29" i="44" s="1"/>
  <c r="B30" i="44" s="1"/>
  <c r="B31" i="44" s="1"/>
  <c r="B32" i="44" s="1"/>
  <c r="B33" i="44" s="1"/>
  <c r="B34" i="44" s="1"/>
  <c r="B35" i="44" s="1"/>
  <c r="B36" i="44" s="1"/>
  <c r="B37" i="44" s="1"/>
  <c r="B38" i="44" s="1"/>
  <c r="B39" i="44" s="1"/>
  <c r="B40" i="44" s="1"/>
  <c r="B41" i="44" s="1"/>
  <c r="B42" i="44" s="1"/>
  <c r="B43" i="44" s="1"/>
  <c r="B44" i="44" s="1"/>
  <c r="B45" i="44" s="1"/>
  <c r="B46" i="44" s="1"/>
  <c r="B47" i="44" s="1"/>
  <c r="G21" i="44"/>
  <c r="I21" i="44" s="1"/>
  <c r="B21" i="44"/>
  <c r="G20" i="44"/>
  <c r="I20" i="44" s="1"/>
  <c r="G18" i="44"/>
  <c r="I18" i="44" s="1"/>
  <c r="G17" i="44"/>
  <c r="I17" i="44" s="1"/>
  <c r="G16" i="44"/>
  <c r="I16" i="44" s="1"/>
  <c r="P15" i="44"/>
  <c r="G15" i="44"/>
  <c r="I15" i="44" s="1"/>
  <c r="G14" i="44"/>
  <c r="I14" i="44" s="1"/>
  <c r="G13" i="44"/>
  <c r="I13" i="44" s="1"/>
  <c r="G12" i="44"/>
  <c r="I12" i="44" s="1"/>
  <c r="G11" i="44"/>
  <c r="I11" i="44" s="1"/>
  <c r="P10" i="44"/>
  <c r="G10" i="44"/>
  <c r="I10" i="44" s="1"/>
  <c r="G9" i="44"/>
  <c r="I9" i="44" s="1"/>
  <c r="G8" i="44"/>
  <c r="B8" i="44"/>
  <c r="B9" i="44" s="1"/>
  <c r="B10" i="44" s="1"/>
  <c r="B11" i="44" s="1"/>
  <c r="B12" i="44" s="1"/>
  <c r="B13" i="44" s="1"/>
  <c r="B14" i="44" s="1"/>
  <c r="B15" i="44" s="1"/>
  <c r="B16" i="44" s="1"/>
  <c r="B17" i="44" s="1"/>
  <c r="B18" i="44" s="1"/>
  <c r="G7" i="44"/>
  <c r="I7" i="44" s="1"/>
  <c r="G47" i="43"/>
  <c r="I47" i="43" s="1"/>
  <c r="G46" i="43"/>
  <c r="I46" i="43" s="1"/>
  <c r="G45" i="43"/>
  <c r="I45" i="43" s="1"/>
  <c r="G44" i="43"/>
  <c r="I44" i="43" s="1"/>
  <c r="G43" i="43"/>
  <c r="I43" i="43" s="1"/>
  <c r="I42" i="43"/>
  <c r="G42" i="43"/>
  <c r="G41" i="43"/>
  <c r="I41" i="43" s="1"/>
  <c r="I40" i="43"/>
  <c r="G40" i="43"/>
  <c r="G39" i="43"/>
  <c r="I39" i="43" s="1"/>
  <c r="G38" i="43"/>
  <c r="I38" i="43" s="1"/>
  <c r="G37" i="43"/>
  <c r="I37" i="43" s="1"/>
  <c r="G36" i="43"/>
  <c r="I36" i="43" s="1"/>
  <c r="G35" i="43"/>
  <c r="I35" i="43" s="1"/>
  <c r="G34" i="43"/>
  <c r="I34" i="43" s="1"/>
  <c r="G33" i="43"/>
  <c r="I33" i="43" s="1"/>
  <c r="G32" i="43"/>
  <c r="I32" i="43" s="1"/>
  <c r="G31" i="43"/>
  <c r="I31" i="43" s="1"/>
  <c r="G30" i="43"/>
  <c r="I30" i="43" s="1"/>
  <c r="G29" i="43"/>
  <c r="I29" i="43" s="1"/>
  <c r="G28" i="43"/>
  <c r="I28" i="43" s="1"/>
  <c r="G27" i="43"/>
  <c r="I27" i="43" s="1"/>
  <c r="G26" i="43"/>
  <c r="I26" i="43" s="1"/>
  <c r="G25" i="43"/>
  <c r="I25" i="43" s="1"/>
  <c r="G24" i="43"/>
  <c r="I24" i="43" s="1"/>
  <c r="G23" i="43"/>
  <c r="I23" i="43" s="1"/>
  <c r="G22" i="43"/>
  <c r="I22" i="43" s="1"/>
  <c r="B22" i="43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B33" i="43" s="1"/>
  <c r="B34" i="43" s="1"/>
  <c r="B35" i="43" s="1"/>
  <c r="B36" i="43" s="1"/>
  <c r="B37" i="43" s="1"/>
  <c r="B38" i="43" s="1"/>
  <c r="B39" i="43" s="1"/>
  <c r="B40" i="43" s="1"/>
  <c r="B41" i="43" s="1"/>
  <c r="B42" i="43" s="1"/>
  <c r="B43" i="43" s="1"/>
  <c r="B44" i="43" s="1"/>
  <c r="B45" i="43" s="1"/>
  <c r="B46" i="43" s="1"/>
  <c r="B47" i="43" s="1"/>
  <c r="G21" i="43"/>
  <c r="I21" i="43" s="1"/>
  <c r="B21" i="43"/>
  <c r="G20" i="43"/>
  <c r="I20" i="43" s="1"/>
  <c r="G18" i="43"/>
  <c r="I18" i="43" s="1"/>
  <c r="G17" i="43"/>
  <c r="I17" i="43" s="1"/>
  <c r="G16" i="43"/>
  <c r="I16" i="43" s="1"/>
  <c r="P15" i="43"/>
  <c r="G15" i="43"/>
  <c r="I15" i="43" s="1"/>
  <c r="G14" i="43"/>
  <c r="I14" i="43" s="1"/>
  <c r="G13" i="43"/>
  <c r="I13" i="43" s="1"/>
  <c r="G12" i="43"/>
  <c r="I12" i="43" s="1"/>
  <c r="G11" i="43"/>
  <c r="I11" i="43" s="1"/>
  <c r="P10" i="43"/>
  <c r="G10" i="43"/>
  <c r="I10" i="43" s="1"/>
  <c r="G9" i="43"/>
  <c r="I9" i="43" s="1"/>
  <c r="G8" i="43"/>
  <c r="I8" i="43" s="1"/>
  <c r="B8" i="43"/>
  <c r="B9" i="43" s="1"/>
  <c r="B10" i="43" s="1"/>
  <c r="B11" i="43" s="1"/>
  <c r="B12" i="43" s="1"/>
  <c r="B13" i="43" s="1"/>
  <c r="B14" i="43" s="1"/>
  <c r="B15" i="43" s="1"/>
  <c r="B16" i="43" s="1"/>
  <c r="B17" i="43" s="1"/>
  <c r="B18" i="43" s="1"/>
  <c r="G7" i="43"/>
  <c r="I7" i="43" s="1"/>
  <c r="I47" i="42"/>
  <c r="G47" i="42"/>
  <c r="G46" i="42"/>
  <c r="I46" i="42" s="1"/>
  <c r="I45" i="42"/>
  <c r="G45" i="42"/>
  <c r="G44" i="42"/>
  <c r="I44" i="42" s="1"/>
  <c r="G43" i="42"/>
  <c r="I43" i="42" s="1"/>
  <c r="G42" i="42"/>
  <c r="I42" i="42" s="1"/>
  <c r="G41" i="42"/>
  <c r="I41" i="42" s="1"/>
  <c r="G40" i="42"/>
  <c r="I40" i="42" s="1"/>
  <c r="G39" i="42"/>
  <c r="I39" i="42" s="1"/>
  <c r="G38" i="42"/>
  <c r="I38" i="42" s="1"/>
  <c r="G37" i="42"/>
  <c r="I37" i="42" s="1"/>
  <c r="G36" i="42"/>
  <c r="I36" i="42" s="1"/>
  <c r="G35" i="42"/>
  <c r="I35" i="42" s="1"/>
  <c r="G34" i="42"/>
  <c r="I34" i="42" s="1"/>
  <c r="G33" i="42"/>
  <c r="I33" i="42" s="1"/>
  <c r="G32" i="42"/>
  <c r="I32" i="42" s="1"/>
  <c r="G31" i="42"/>
  <c r="I31" i="42" s="1"/>
  <c r="G30" i="42"/>
  <c r="I30" i="42" s="1"/>
  <c r="G29" i="42"/>
  <c r="I29" i="42" s="1"/>
  <c r="G28" i="42"/>
  <c r="I28" i="42" s="1"/>
  <c r="G27" i="42"/>
  <c r="I27" i="42" s="1"/>
  <c r="G26" i="42"/>
  <c r="I26" i="42" s="1"/>
  <c r="G25" i="42"/>
  <c r="I25" i="42" s="1"/>
  <c r="G24" i="42"/>
  <c r="I24" i="42" s="1"/>
  <c r="I23" i="42"/>
  <c r="G23" i="42"/>
  <c r="G22" i="42"/>
  <c r="I22" i="42" s="1"/>
  <c r="G21" i="42"/>
  <c r="I21" i="42" s="1"/>
  <c r="B21" i="42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s="1"/>
  <c r="B44" i="42" s="1"/>
  <c r="B45" i="42" s="1"/>
  <c r="B46" i="42" s="1"/>
  <c r="B47" i="42" s="1"/>
  <c r="G20" i="42"/>
  <c r="I20" i="42" s="1"/>
  <c r="G18" i="42"/>
  <c r="I18" i="42" s="1"/>
  <c r="G17" i="42"/>
  <c r="I17" i="42" s="1"/>
  <c r="G16" i="42"/>
  <c r="I16" i="42" s="1"/>
  <c r="P15" i="42"/>
  <c r="G15" i="42"/>
  <c r="I15" i="42" s="1"/>
  <c r="G14" i="42"/>
  <c r="I14" i="42" s="1"/>
  <c r="G13" i="42"/>
  <c r="I13" i="42" s="1"/>
  <c r="G12" i="42"/>
  <c r="I12" i="42" s="1"/>
  <c r="G11" i="42"/>
  <c r="I11" i="42" s="1"/>
  <c r="P10" i="42"/>
  <c r="G10" i="42"/>
  <c r="I10" i="42" s="1"/>
  <c r="G9" i="42"/>
  <c r="I9" i="42" s="1"/>
  <c r="G8" i="42"/>
  <c r="I8" i="42" s="1"/>
  <c r="B8" i="42"/>
  <c r="B9" i="42" s="1"/>
  <c r="B10" i="42" s="1"/>
  <c r="B11" i="42" s="1"/>
  <c r="B12" i="42" s="1"/>
  <c r="B13" i="42" s="1"/>
  <c r="B14" i="42" s="1"/>
  <c r="B15" i="42" s="1"/>
  <c r="B16" i="42" s="1"/>
  <c r="B17" i="42" s="1"/>
  <c r="B18" i="42" s="1"/>
  <c r="G7" i="42"/>
  <c r="I7" i="42" s="1"/>
  <c r="G47" i="41"/>
  <c r="I47" i="41" s="1"/>
  <c r="G46" i="41"/>
  <c r="I46" i="41" s="1"/>
  <c r="G45" i="41"/>
  <c r="I45" i="41" s="1"/>
  <c r="G44" i="41"/>
  <c r="I44" i="41" s="1"/>
  <c r="G43" i="41"/>
  <c r="I43" i="41" s="1"/>
  <c r="G42" i="41"/>
  <c r="I42" i="41" s="1"/>
  <c r="G41" i="41"/>
  <c r="I41" i="41" s="1"/>
  <c r="G40" i="41"/>
  <c r="I40" i="41" s="1"/>
  <c r="G39" i="41"/>
  <c r="I39" i="41" s="1"/>
  <c r="G38" i="41"/>
  <c r="I38" i="41" s="1"/>
  <c r="G37" i="41"/>
  <c r="I37" i="41" s="1"/>
  <c r="G36" i="41"/>
  <c r="I36" i="41" s="1"/>
  <c r="G35" i="41"/>
  <c r="I35" i="41" s="1"/>
  <c r="G34" i="41"/>
  <c r="I34" i="41" s="1"/>
  <c r="G33" i="41"/>
  <c r="I33" i="41" s="1"/>
  <c r="G32" i="41"/>
  <c r="I32" i="41" s="1"/>
  <c r="G31" i="41"/>
  <c r="I31" i="41" s="1"/>
  <c r="G30" i="41"/>
  <c r="I30" i="41" s="1"/>
  <c r="G29" i="41"/>
  <c r="I29" i="41" s="1"/>
  <c r="G28" i="41"/>
  <c r="I28" i="41" s="1"/>
  <c r="G27" i="41"/>
  <c r="I27" i="41" s="1"/>
  <c r="G26" i="41"/>
  <c r="I26" i="41" s="1"/>
  <c r="G25" i="41"/>
  <c r="I25" i="41" s="1"/>
  <c r="G24" i="41"/>
  <c r="I24" i="41" s="1"/>
  <c r="G23" i="41"/>
  <c r="I23" i="41" s="1"/>
  <c r="G22" i="41"/>
  <c r="I22" i="41" s="1"/>
  <c r="B22" i="41"/>
  <c r="B23" i="41" s="1"/>
  <c r="B24" i="41" s="1"/>
  <c r="B25" i="41" s="1"/>
  <c r="B26" i="41" s="1"/>
  <c r="B27" i="41" s="1"/>
  <c r="B28" i="41" s="1"/>
  <c r="B29" i="41" s="1"/>
  <c r="B30" i="41" s="1"/>
  <c r="B31" i="41" s="1"/>
  <c r="B32" i="41" s="1"/>
  <c r="B33" i="41" s="1"/>
  <c r="B34" i="41" s="1"/>
  <c r="B35" i="41" s="1"/>
  <c r="B36" i="41" s="1"/>
  <c r="B37" i="41" s="1"/>
  <c r="B38" i="41" s="1"/>
  <c r="B39" i="41" s="1"/>
  <c r="B40" i="41" s="1"/>
  <c r="B41" i="41" s="1"/>
  <c r="B42" i="41" s="1"/>
  <c r="B43" i="41" s="1"/>
  <c r="B44" i="41" s="1"/>
  <c r="B45" i="41" s="1"/>
  <c r="B46" i="41" s="1"/>
  <c r="B47" i="41" s="1"/>
  <c r="G21" i="41"/>
  <c r="I21" i="41" s="1"/>
  <c r="B21" i="41"/>
  <c r="G20" i="41"/>
  <c r="I20" i="41" s="1"/>
  <c r="G18" i="41"/>
  <c r="I18" i="41" s="1"/>
  <c r="G17" i="41"/>
  <c r="I17" i="41" s="1"/>
  <c r="G16" i="41"/>
  <c r="I16" i="41" s="1"/>
  <c r="P15" i="41"/>
  <c r="I15" i="41"/>
  <c r="G15" i="41"/>
  <c r="G14" i="41"/>
  <c r="I14" i="41" s="1"/>
  <c r="G13" i="41"/>
  <c r="I13" i="41" s="1"/>
  <c r="G12" i="41"/>
  <c r="I12" i="41" s="1"/>
  <c r="G11" i="41"/>
  <c r="I11" i="41" s="1"/>
  <c r="P10" i="41"/>
  <c r="G10" i="41"/>
  <c r="I10" i="41" s="1"/>
  <c r="G9" i="41"/>
  <c r="I9" i="41" s="1"/>
  <c r="G8" i="41"/>
  <c r="I8" i="41" s="1"/>
  <c r="B8" i="41"/>
  <c r="B9" i="41" s="1"/>
  <c r="B10" i="41" s="1"/>
  <c r="B11" i="41" s="1"/>
  <c r="B12" i="41" s="1"/>
  <c r="B13" i="41" s="1"/>
  <c r="B14" i="41" s="1"/>
  <c r="B15" i="41" s="1"/>
  <c r="B16" i="41" s="1"/>
  <c r="B17" i="41" s="1"/>
  <c r="B18" i="41" s="1"/>
  <c r="G7" i="41"/>
  <c r="P12" i="46" l="1"/>
  <c r="I7" i="46"/>
  <c r="P12" i="45"/>
  <c r="P12" i="44"/>
  <c r="P12" i="43"/>
  <c r="P12" i="42"/>
  <c r="P12" i="41"/>
  <c r="I7" i="41"/>
  <c r="G8" i="40" l="1"/>
  <c r="I8" i="40" s="1"/>
  <c r="G9" i="40"/>
  <c r="I9" i="40" s="1"/>
  <c r="G10" i="40"/>
  <c r="I10" i="40" s="1"/>
  <c r="G11" i="40"/>
  <c r="I11" i="40" s="1"/>
  <c r="G12" i="40"/>
  <c r="I12" i="40" s="1"/>
  <c r="G13" i="40"/>
  <c r="G14" i="40"/>
  <c r="G15" i="40"/>
  <c r="I15" i="40" s="1"/>
  <c r="G16" i="40"/>
  <c r="G17" i="40"/>
  <c r="I17" i="40" s="1"/>
  <c r="G18" i="40"/>
  <c r="G7" i="40"/>
  <c r="I7" i="40" s="1"/>
  <c r="G47" i="40"/>
  <c r="I47" i="40" s="1"/>
  <c r="G46" i="40"/>
  <c r="I46" i="40" s="1"/>
  <c r="G45" i="40"/>
  <c r="I45" i="40" s="1"/>
  <c r="G44" i="40"/>
  <c r="I44" i="40" s="1"/>
  <c r="I43" i="40"/>
  <c r="G43" i="40"/>
  <c r="G42" i="40"/>
  <c r="I42" i="40" s="1"/>
  <c r="G41" i="40"/>
  <c r="I41" i="40" s="1"/>
  <c r="G40" i="40"/>
  <c r="I40" i="40" s="1"/>
  <c r="G39" i="40"/>
  <c r="I39" i="40" s="1"/>
  <c r="G38" i="40"/>
  <c r="I38" i="40" s="1"/>
  <c r="G37" i="40"/>
  <c r="I37" i="40" s="1"/>
  <c r="G36" i="40"/>
  <c r="I36" i="40" s="1"/>
  <c r="G35" i="40"/>
  <c r="I35" i="40" s="1"/>
  <c r="G34" i="40"/>
  <c r="I34" i="40" s="1"/>
  <c r="G33" i="40"/>
  <c r="I33" i="40" s="1"/>
  <c r="G32" i="40"/>
  <c r="I32" i="40" s="1"/>
  <c r="G31" i="40"/>
  <c r="I31" i="40" s="1"/>
  <c r="G30" i="40"/>
  <c r="I30" i="40" s="1"/>
  <c r="G29" i="40"/>
  <c r="I29" i="40" s="1"/>
  <c r="G28" i="40"/>
  <c r="I28" i="40" s="1"/>
  <c r="G27" i="40"/>
  <c r="I27" i="40" s="1"/>
  <c r="G26" i="40"/>
  <c r="I26" i="40" s="1"/>
  <c r="G25" i="40"/>
  <c r="I25" i="40" s="1"/>
  <c r="G24" i="40"/>
  <c r="I24" i="40" s="1"/>
  <c r="G23" i="40"/>
  <c r="I23" i="40" s="1"/>
  <c r="G22" i="40"/>
  <c r="I22" i="40" s="1"/>
  <c r="G21" i="40"/>
  <c r="I21" i="40" s="1"/>
  <c r="B21" i="40"/>
  <c r="B22" i="40" s="1"/>
  <c r="B23" i="40" s="1"/>
  <c r="B24" i="40" s="1"/>
  <c r="B25" i="40" s="1"/>
  <c r="B26" i="40" s="1"/>
  <c r="B27" i="40" s="1"/>
  <c r="B28" i="40" s="1"/>
  <c r="B29" i="40" s="1"/>
  <c r="B30" i="40" s="1"/>
  <c r="B31" i="40" s="1"/>
  <c r="B32" i="40" s="1"/>
  <c r="B33" i="40" s="1"/>
  <c r="B34" i="40" s="1"/>
  <c r="B35" i="40" s="1"/>
  <c r="B36" i="40" s="1"/>
  <c r="B37" i="40" s="1"/>
  <c r="B38" i="40" s="1"/>
  <c r="B39" i="40" s="1"/>
  <c r="B40" i="40" s="1"/>
  <c r="B41" i="40" s="1"/>
  <c r="B42" i="40" s="1"/>
  <c r="B43" i="40" s="1"/>
  <c r="B44" i="40" s="1"/>
  <c r="B45" i="40" s="1"/>
  <c r="B46" i="40" s="1"/>
  <c r="B47" i="40" s="1"/>
  <c r="G20" i="40"/>
  <c r="I20" i="40" s="1"/>
  <c r="I18" i="40"/>
  <c r="I16" i="40"/>
  <c r="P15" i="40"/>
  <c r="I14" i="40"/>
  <c r="I13" i="40"/>
  <c r="P10" i="40"/>
  <c r="B8" i="40"/>
  <c r="B9" i="40" s="1"/>
  <c r="B10" i="40" s="1"/>
  <c r="B11" i="40" s="1"/>
  <c r="B12" i="40" s="1"/>
  <c r="B13" i="40" s="1"/>
  <c r="B14" i="40" s="1"/>
  <c r="B15" i="40" s="1"/>
  <c r="B16" i="40" s="1"/>
  <c r="B17" i="40" s="1"/>
  <c r="B18" i="40" s="1"/>
  <c r="G47" i="39"/>
  <c r="I47" i="39" s="1"/>
  <c r="G46" i="39"/>
  <c r="I46" i="39" s="1"/>
  <c r="G45" i="39"/>
  <c r="I45" i="39" s="1"/>
  <c r="G44" i="39"/>
  <c r="I44" i="39" s="1"/>
  <c r="G43" i="39"/>
  <c r="I43" i="39" s="1"/>
  <c r="G42" i="39"/>
  <c r="I42" i="39" s="1"/>
  <c r="G41" i="39"/>
  <c r="I41" i="39" s="1"/>
  <c r="G40" i="39"/>
  <c r="I40" i="39" s="1"/>
  <c r="G39" i="39"/>
  <c r="I39" i="39" s="1"/>
  <c r="G38" i="39"/>
  <c r="I38" i="39" s="1"/>
  <c r="G37" i="39"/>
  <c r="I37" i="39" s="1"/>
  <c r="G36" i="39"/>
  <c r="I36" i="39" s="1"/>
  <c r="G35" i="39"/>
  <c r="I35" i="39" s="1"/>
  <c r="G34" i="39"/>
  <c r="I34" i="39" s="1"/>
  <c r="G33" i="39"/>
  <c r="I33" i="39" s="1"/>
  <c r="G32" i="39"/>
  <c r="I32" i="39" s="1"/>
  <c r="G31" i="39"/>
  <c r="I31" i="39" s="1"/>
  <c r="G30" i="39"/>
  <c r="I30" i="39" s="1"/>
  <c r="G29" i="39"/>
  <c r="I29" i="39" s="1"/>
  <c r="G28" i="39"/>
  <c r="I28" i="39" s="1"/>
  <c r="G27" i="39"/>
  <c r="I27" i="39" s="1"/>
  <c r="G26" i="39"/>
  <c r="I26" i="39" s="1"/>
  <c r="G25" i="39"/>
  <c r="I25" i="39" s="1"/>
  <c r="G24" i="39"/>
  <c r="I24" i="39" s="1"/>
  <c r="G23" i="39"/>
  <c r="I23" i="39" s="1"/>
  <c r="G22" i="39"/>
  <c r="I22" i="39" s="1"/>
  <c r="G21" i="39"/>
  <c r="I21" i="39" s="1"/>
  <c r="B21" i="39"/>
  <c r="B22" i="39" s="1"/>
  <c r="B23" i="39" s="1"/>
  <c r="B24" i="39" s="1"/>
  <c r="B25" i="39" s="1"/>
  <c r="B26" i="39" s="1"/>
  <c r="B27" i="39" s="1"/>
  <c r="B28" i="39" s="1"/>
  <c r="B29" i="39" s="1"/>
  <c r="B30" i="39" s="1"/>
  <c r="B31" i="39" s="1"/>
  <c r="B32" i="39" s="1"/>
  <c r="B33" i="39" s="1"/>
  <c r="B34" i="39" s="1"/>
  <c r="B35" i="39" s="1"/>
  <c r="B36" i="39" s="1"/>
  <c r="B37" i="39" s="1"/>
  <c r="B38" i="39" s="1"/>
  <c r="B39" i="39" s="1"/>
  <c r="B40" i="39" s="1"/>
  <c r="B41" i="39" s="1"/>
  <c r="B42" i="39" s="1"/>
  <c r="B43" i="39" s="1"/>
  <c r="B44" i="39" s="1"/>
  <c r="B45" i="39" s="1"/>
  <c r="B46" i="39" s="1"/>
  <c r="B47" i="39" s="1"/>
  <c r="G20" i="39"/>
  <c r="I20" i="39" s="1"/>
  <c r="G18" i="39"/>
  <c r="I18" i="39" s="1"/>
  <c r="G17" i="39"/>
  <c r="I17" i="39" s="1"/>
  <c r="G16" i="39"/>
  <c r="I16" i="39" s="1"/>
  <c r="P15" i="39"/>
  <c r="G15" i="39"/>
  <c r="I15" i="39" s="1"/>
  <c r="G14" i="39"/>
  <c r="I14" i="39" s="1"/>
  <c r="G13" i="39"/>
  <c r="I13" i="39" s="1"/>
  <c r="I12" i="39"/>
  <c r="G12" i="39"/>
  <c r="G11" i="39"/>
  <c r="I11" i="39" s="1"/>
  <c r="P10" i="39"/>
  <c r="G10" i="39"/>
  <c r="I10" i="39" s="1"/>
  <c r="G9" i="39"/>
  <c r="I9" i="39" s="1"/>
  <c r="G8" i="39"/>
  <c r="I8" i="39" s="1"/>
  <c r="B8" i="39"/>
  <c r="B9" i="39" s="1"/>
  <c r="B10" i="39" s="1"/>
  <c r="B11" i="39" s="1"/>
  <c r="B12" i="39" s="1"/>
  <c r="B13" i="39" s="1"/>
  <c r="B14" i="39" s="1"/>
  <c r="B15" i="39" s="1"/>
  <c r="B16" i="39" s="1"/>
  <c r="B17" i="39" s="1"/>
  <c r="B18" i="39" s="1"/>
  <c r="G7" i="39"/>
  <c r="G47" i="38"/>
  <c r="I47" i="38" s="1"/>
  <c r="G46" i="38"/>
  <c r="I46" i="38" s="1"/>
  <c r="G45" i="38"/>
  <c r="I45" i="38" s="1"/>
  <c r="G44" i="38"/>
  <c r="I44" i="38" s="1"/>
  <c r="G43" i="38"/>
  <c r="I43" i="38" s="1"/>
  <c r="I42" i="38"/>
  <c r="G42" i="38"/>
  <c r="G41" i="38"/>
  <c r="I41" i="38" s="1"/>
  <c r="G40" i="38"/>
  <c r="I40" i="38" s="1"/>
  <c r="I39" i="38"/>
  <c r="G39" i="38"/>
  <c r="G38" i="38"/>
  <c r="I38" i="38" s="1"/>
  <c r="I37" i="38"/>
  <c r="G37" i="38"/>
  <c r="G36" i="38"/>
  <c r="I36" i="38" s="1"/>
  <c r="G35" i="38"/>
  <c r="I35" i="38" s="1"/>
  <c r="G34" i="38"/>
  <c r="I34" i="38" s="1"/>
  <c r="G33" i="38"/>
  <c r="I33" i="38" s="1"/>
  <c r="G32" i="38"/>
  <c r="I32" i="38" s="1"/>
  <c r="G31" i="38"/>
  <c r="I31" i="38" s="1"/>
  <c r="G30" i="38"/>
  <c r="I30" i="38" s="1"/>
  <c r="G29" i="38"/>
  <c r="I29" i="38" s="1"/>
  <c r="G28" i="38"/>
  <c r="I28" i="38" s="1"/>
  <c r="G27" i="38"/>
  <c r="I27" i="38" s="1"/>
  <c r="G26" i="38"/>
  <c r="I26" i="38" s="1"/>
  <c r="G25" i="38"/>
  <c r="I25" i="38" s="1"/>
  <c r="G24" i="38"/>
  <c r="I24" i="38" s="1"/>
  <c r="G23" i="38"/>
  <c r="I23" i="38" s="1"/>
  <c r="G22" i="38"/>
  <c r="I22" i="38" s="1"/>
  <c r="G21" i="38"/>
  <c r="I21" i="38" s="1"/>
  <c r="B21" i="38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B33" i="38" s="1"/>
  <c r="B34" i="38" s="1"/>
  <c r="B35" i="38" s="1"/>
  <c r="B36" i="38" s="1"/>
  <c r="B37" i="38" s="1"/>
  <c r="B38" i="38" s="1"/>
  <c r="B39" i="38" s="1"/>
  <c r="B40" i="38" s="1"/>
  <c r="B41" i="38" s="1"/>
  <c r="B42" i="38" s="1"/>
  <c r="B43" i="38" s="1"/>
  <c r="B44" i="38" s="1"/>
  <c r="B45" i="38" s="1"/>
  <c r="B46" i="38" s="1"/>
  <c r="B47" i="38" s="1"/>
  <c r="G20" i="38"/>
  <c r="I20" i="38" s="1"/>
  <c r="G18" i="38"/>
  <c r="I18" i="38" s="1"/>
  <c r="G17" i="38"/>
  <c r="I17" i="38" s="1"/>
  <c r="G16" i="38"/>
  <c r="I16" i="38" s="1"/>
  <c r="P15" i="38"/>
  <c r="G15" i="38"/>
  <c r="I15" i="38" s="1"/>
  <c r="G14" i="38"/>
  <c r="I14" i="38" s="1"/>
  <c r="G13" i="38"/>
  <c r="I13" i="38" s="1"/>
  <c r="G12" i="38"/>
  <c r="I12" i="38" s="1"/>
  <c r="G11" i="38"/>
  <c r="I11" i="38" s="1"/>
  <c r="P10" i="38"/>
  <c r="G10" i="38"/>
  <c r="G9" i="38"/>
  <c r="I9" i="38" s="1"/>
  <c r="G8" i="38"/>
  <c r="I8" i="38" s="1"/>
  <c r="B8" i="38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G7" i="38"/>
  <c r="I7" i="38" s="1"/>
  <c r="I12" i="37"/>
  <c r="I13" i="37"/>
  <c r="G12" i="37"/>
  <c r="G13" i="37"/>
  <c r="G14" i="37"/>
  <c r="I14" i="37" s="1"/>
  <c r="G15" i="37"/>
  <c r="I15" i="37" s="1"/>
  <c r="G16" i="37"/>
  <c r="I16" i="37" s="1"/>
  <c r="G17" i="37"/>
  <c r="I17" i="37" s="1"/>
  <c r="G18" i="37"/>
  <c r="I18" i="37" s="1"/>
  <c r="G11" i="37"/>
  <c r="I11" i="37" s="1"/>
  <c r="G45" i="37"/>
  <c r="I45" i="37" s="1"/>
  <c r="G46" i="37"/>
  <c r="I46" i="37" s="1"/>
  <c r="G47" i="37"/>
  <c r="I47" i="37" s="1"/>
  <c r="G43" i="37"/>
  <c r="I43" i="37" s="1"/>
  <c r="G44" i="37"/>
  <c r="I44" i="37" s="1"/>
  <c r="G41" i="37"/>
  <c r="I41" i="37" s="1"/>
  <c r="G42" i="37"/>
  <c r="I42" i="37" s="1"/>
  <c r="G40" i="37"/>
  <c r="I40" i="37" s="1"/>
  <c r="G38" i="37"/>
  <c r="I38" i="37" s="1"/>
  <c r="G39" i="37"/>
  <c r="I39" i="37" s="1"/>
  <c r="G35" i="37"/>
  <c r="I35" i="37" s="1"/>
  <c r="G36" i="37"/>
  <c r="I36" i="37" s="1"/>
  <c r="G37" i="37"/>
  <c r="I37" i="37" s="1"/>
  <c r="G34" i="37"/>
  <c r="I34" i="37" s="1"/>
  <c r="G33" i="37"/>
  <c r="I33" i="37" s="1"/>
  <c r="G32" i="37"/>
  <c r="I32" i="37" s="1"/>
  <c r="G31" i="37"/>
  <c r="I31" i="37" s="1"/>
  <c r="G30" i="37"/>
  <c r="I30" i="37" s="1"/>
  <c r="G29" i="37"/>
  <c r="I29" i="37" s="1"/>
  <c r="G28" i="37"/>
  <c r="I28" i="37" s="1"/>
  <c r="G27" i="37"/>
  <c r="I27" i="37" s="1"/>
  <c r="G26" i="37"/>
  <c r="I26" i="37" s="1"/>
  <c r="G25" i="37"/>
  <c r="I25" i="37" s="1"/>
  <c r="G24" i="37"/>
  <c r="I24" i="37" s="1"/>
  <c r="G23" i="37"/>
  <c r="I23" i="37" s="1"/>
  <c r="P15" i="37"/>
  <c r="G22" i="37"/>
  <c r="I22" i="37" s="1"/>
  <c r="G21" i="37"/>
  <c r="I21" i="37" s="1"/>
  <c r="B21" i="37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G20" i="37"/>
  <c r="I20" i="37" s="1"/>
  <c r="P10" i="37"/>
  <c r="G10" i="37"/>
  <c r="I10" i="37" s="1"/>
  <c r="G9" i="37"/>
  <c r="G8" i="37"/>
  <c r="I8" i="37" s="1"/>
  <c r="B8" i="37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G7" i="37"/>
  <c r="I7" i="37" s="1"/>
  <c r="P12" i="40" l="1"/>
  <c r="P12" i="39"/>
  <c r="I7" i="39"/>
  <c r="P12" i="38"/>
  <c r="I10" i="38"/>
  <c r="P12" i="37"/>
  <c r="I9" i="14" l="1"/>
  <c r="I10" i="14"/>
  <c r="I11" i="14"/>
  <c r="I12" i="14"/>
  <c r="I13" i="14"/>
  <c r="I15" i="14"/>
  <c r="I16" i="14"/>
  <c r="I17" i="14"/>
  <c r="I18" i="14"/>
  <c r="I20" i="14"/>
  <c r="I21" i="14"/>
  <c r="I22" i="14"/>
  <c r="I23" i="14"/>
  <c r="J26" i="14" l="1"/>
  <c r="I24" i="14"/>
  <c r="J27" i="14" s="1"/>
  <c r="B8" i="14"/>
  <c r="B9" i="14" s="1"/>
  <c r="B10" i="14" l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</calcChain>
</file>

<file path=xl/sharedStrings.xml><?xml version="1.0" encoding="utf-8"?>
<sst xmlns="http://schemas.openxmlformats.org/spreadsheetml/2006/main" count="1358" uniqueCount="177">
  <si>
    <t>STT</t>
  </si>
  <si>
    <t>HỌ TÊN</t>
  </si>
  <si>
    <t>CCCD</t>
  </si>
  <si>
    <t>ĐỊA CHỈ</t>
  </si>
  <si>
    <t>DOANH THU</t>
  </si>
  <si>
    <t>BILL</t>
  </si>
  <si>
    <t>HÌNH THỨC</t>
  </si>
  <si>
    <t>0975 734 763</t>
  </si>
  <si>
    <t>0915 192 340</t>
  </si>
  <si>
    <t>0974 650 440</t>
  </si>
  <si>
    <t>0969 010 942</t>
  </si>
  <si>
    <t>0945 414 842</t>
  </si>
  <si>
    <t>THANH HÓA</t>
  </si>
  <si>
    <t>68HC 001.92</t>
  </si>
  <si>
    <t>KIÊN GIANG</t>
  </si>
  <si>
    <t>68HC 001.84</t>
  </si>
  <si>
    <t>68HC 001.81</t>
  </si>
  <si>
    <t>AN GIANG</t>
  </si>
  <si>
    <t xml:space="preserve">68HC 001.89 </t>
  </si>
  <si>
    <t>THỰC LÃNH</t>
  </si>
  <si>
    <t>HÀ TĨNH</t>
  </si>
  <si>
    <t>68HC 001.63</t>
  </si>
  <si>
    <t>0989 272 425</t>
  </si>
  <si>
    <t>0832 565 558</t>
  </si>
  <si>
    <t>68HC 001.71</t>
  </si>
  <si>
    <t>TM</t>
  </si>
  <si>
    <t>68HC 001.33</t>
  </si>
  <si>
    <t>0784 617 223</t>
  </si>
  <si>
    <t>TỔNG DOANH THU</t>
  </si>
  <si>
    <t>TỔNG THỰC LÃNH</t>
  </si>
  <si>
    <t>CÔNG TY TNHH MTV VẬN TẢI VÀ DU LỊCH MINH HẢI</t>
  </si>
  <si>
    <t xml:space="preserve">68HC 001.78 </t>
  </si>
  <si>
    <t>0369 922 571</t>
  </si>
  <si>
    <t>NOTE</t>
  </si>
  <si>
    <t xml:space="preserve">68HC 001.70 </t>
  </si>
  <si>
    <t>68HC 001.98</t>
  </si>
  <si>
    <t>QUANG HÀ (VIN)</t>
  </si>
  <si>
    <t>TRƯƠNG VŨ CA (VŨ LINH) (Vin)</t>
  </si>
  <si>
    <t>NGUYỄN CHÍ BÌNH (Vin)</t>
  </si>
  <si>
    <t>LÊ VĂN TÙNG (Sun)</t>
  </si>
  <si>
    <t>ĐỖ VĂN CHUNG (Sun)</t>
  </si>
  <si>
    <t>NAM DO (Sun)</t>
  </si>
  <si>
    <t>NGUYỄN QUỐC NAM (Sun)</t>
  </si>
  <si>
    <t>NHẤT (Sun)</t>
  </si>
  <si>
    <t>TRẦN THIỆN (Sun)</t>
  </si>
  <si>
    <t xml:space="preserve">68HC 001.93 </t>
  </si>
  <si>
    <t>BIỂN SỐ</t>
  </si>
  <si>
    <t>SDT</t>
  </si>
  <si>
    <t>TIME</t>
  </si>
  <si>
    <t>TRẦN VIẾT HÙNG (Sun)</t>
  </si>
  <si>
    <t>NINH BÌNH</t>
  </si>
  <si>
    <t>0917 387 279</t>
  </si>
  <si>
    <t>68HC 001.34</t>
  </si>
  <si>
    <t>68HC 001.36</t>
  </si>
  <si>
    <t>Biển số</t>
  </si>
  <si>
    <t>0972 789 389</t>
  </si>
  <si>
    <t>HẬU GIANG</t>
  </si>
  <si>
    <t>0911 181 895</t>
  </si>
  <si>
    <t>BẠC LIÊU</t>
  </si>
  <si>
    <t>0981 436 488</t>
  </si>
  <si>
    <t xml:space="preserve">Tỉ lệ: </t>
  </si>
  <si>
    <t>6;4</t>
  </si>
  <si>
    <t xml:space="preserve">LÊ THÀNH LẬP (Hiếu) (Sun) </t>
  </si>
  <si>
    <t>CK</t>
  </si>
  <si>
    <t>Chưa TT</t>
  </si>
  <si>
    <t>68HC 001.86</t>
  </si>
  <si>
    <t>0912 285 485</t>
  </si>
  <si>
    <t>Lê Văn Tùng 12k*</t>
  </si>
  <si>
    <t>TRẦN THANH THANH  (Sun)</t>
  </si>
  <si>
    <t>LÊ VĨNH NHÂM (Vin)</t>
  </si>
  <si>
    <t>68HC 001.91</t>
  </si>
  <si>
    <t>68HC 001.68</t>
  </si>
  <si>
    <t>0329 461 991</t>
  </si>
  <si>
    <t>01091004110</t>
  </si>
  <si>
    <t>HÀ NỘI</t>
  </si>
  <si>
    <t>NGUYỄN VĂN THÁI (Sun)</t>
  </si>
  <si>
    <t>đang làm biển</t>
  </si>
  <si>
    <t>đang cấp</t>
  </si>
  <si>
    <t>THỪA ĐỖ (Sun)</t>
  </si>
  <si>
    <t>0926 066 166</t>
  </si>
  <si>
    <t>BÌNH DƯƠNG</t>
  </si>
  <si>
    <t>MAI BÁ ĐẠT (Vin)</t>
  </si>
  <si>
    <t>NGUYỄN VĂN THẠO (Vin)</t>
  </si>
  <si>
    <t>GIA LAI</t>
  </si>
  <si>
    <t>0975 617 376</t>
  </si>
  <si>
    <t>DOANH THU 10/01/2026</t>
  </si>
  <si>
    <t>THỰC NHẬN</t>
  </si>
  <si>
    <t>CÒN THIẾU</t>
  </si>
  <si>
    <t>TỔNG THỰC NHẬN</t>
  </si>
  <si>
    <t>NAM ĐẢO</t>
  </si>
  <si>
    <t>BẮC ĐẢO</t>
  </si>
  <si>
    <t xml:space="preserve">TRƯƠNG VŨ CA (VŨ LINH) </t>
  </si>
  <si>
    <t xml:space="preserve">NGUYỄN VĂN THẠO </t>
  </si>
  <si>
    <t>VŨ ĐỨC HẠNH (HUY)</t>
  </si>
  <si>
    <t>DỰ KIẾN CTY NHẬN</t>
  </si>
  <si>
    <t>TỔNG DỰ KIẾN CTY NHẬN</t>
  </si>
  <si>
    <t>-</t>
  </si>
  <si>
    <t>NGUYỄN ĐĂNG KHÁNH</t>
  </si>
  <si>
    <t>68HC 001.78</t>
  </si>
  <si>
    <t>Dưới 1 triệu 700</t>
  </si>
  <si>
    <t>Trên 1 triệu 700</t>
  </si>
  <si>
    <t>Đức Anh</t>
  </si>
  <si>
    <t>Trọng Tính</t>
  </si>
  <si>
    <t>HUỲNH VIỆT CHƯƠNG</t>
  </si>
  <si>
    <t>68HC 001.70</t>
  </si>
  <si>
    <t>68HC 001.93</t>
  </si>
  <si>
    <t>68HC 001.89</t>
  </si>
  <si>
    <t>LƯ HỚN VINH</t>
  </si>
  <si>
    <t>VÕ ĐẸP</t>
  </si>
  <si>
    <t>ĐỖ VIẾT BÌNH</t>
  </si>
  <si>
    <t>NGỌC TỈNH</t>
  </si>
  <si>
    <t>NGUYỄN TẤN THÀNH</t>
  </si>
  <si>
    <t>NGUYỄN THANH LIÊM</t>
  </si>
  <si>
    <t>Đi nhậu với bác kim</t>
  </si>
  <si>
    <t>nghỉ</t>
  </si>
  <si>
    <t>DOANH THU 01/02/2026</t>
  </si>
  <si>
    <t>DOANH THU 02/02/2026</t>
  </si>
  <si>
    <t>Mai thanh toán</t>
  </si>
  <si>
    <t>Nghỉ tất liên</t>
  </si>
  <si>
    <t>nghỉ có việc</t>
  </si>
  <si>
    <t>DOANH THU 03/02/2026</t>
  </si>
  <si>
    <t>4189k</t>
  </si>
  <si>
    <t>NGUYỄN TUẤN ANH</t>
  </si>
  <si>
    <t>NGUYỄN HOÀI PHƯƠNG</t>
  </si>
  <si>
    <t xml:space="preserve">LÊ VĂN TÙNG </t>
  </si>
  <si>
    <t xml:space="preserve">LÊ THÀNH LẬP (Hiếu) </t>
  </si>
  <si>
    <t xml:space="preserve">TRẦN THANH THANH  </t>
  </si>
  <si>
    <t xml:space="preserve">NGUYỄN QUỐC NAM </t>
  </si>
  <si>
    <t xml:space="preserve">TRẦN VIẾT HÙNG </t>
  </si>
  <si>
    <t xml:space="preserve">VŨ ĐỨC HẠNH </t>
  </si>
  <si>
    <t>TRƯƠNG THANH TÚ</t>
  </si>
  <si>
    <t>2445 nhưng tính 2tr, còn 445 hnay</t>
  </si>
  <si>
    <t>Nhậu say quá ngủ nguyên ngày</t>
  </si>
  <si>
    <t>THUẬN NGÔ</t>
  </si>
  <si>
    <t>ĐINH ĐOÀN</t>
  </si>
  <si>
    <t>đưa dư 140k</t>
  </si>
  <si>
    <t>chuyển dư 214k</t>
  </si>
  <si>
    <t>DOANH THU 04/02/2026</t>
  </si>
  <si>
    <t>DOANH THU 05/02/2026</t>
  </si>
  <si>
    <t>về quê ăn tết</t>
  </si>
  <si>
    <t>810k</t>
  </si>
  <si>
    <t>hôm qua chuyển dư 214k</t>
  </si>
  <si>
    <t>hôm qua chuyển dư 141k</t>
  </si>
  <si>
    <t>doanh thu 4/2 cộng 5/2</t>
  </si>
  <si>
    <t>DOANH THU 06/02/2026</t>
  </si>
  <si>
    <t>nghỉ nhà có việc</t>
  </si>
  <si>
    <t>nghỉ luôn</t>
  </si>
  <si>
    <t>1150, bỏ cuốc 150 và 50 mới nhất vì đã cộng vô doanh thu hôm ngày 4</t>
  </si>
  <si>
    <t xml:space="preserve">50k đèn xi nhan </t>
  </si>
  <si>
    <t>DOANH THU 07/02/2026</t>
  </si>
  <si>
    <t>nghỉ, chạy lấy xe đi vòng vòng rồi về</t>
  </si>
  <si>
    <t>đi du lịch hòn thơm</t>
  </si>
  <si>
    <t>đi nghỉ tết</t>
  </si>
  <si>
    <t>chuyển dư 245 và làm chuôi cắm 100</t>
  </si>
  <si>
    <t>QUỐC PHONG</t>
  </si>
  <si>
    <t>DOANH THU 08/02/2026</t>
  </si>
  <si>
    <t>trừ vào tiền cọc xe</t>
  </si>
  <si>
    <t>DOANH THU 09/02/2026</t>
  </si>
  <si>
    <t>đi chơi chưa về</t>
  </si>
  <si>
    <t>Chú QUỲNH</t>
  </si>
  <si>
    <t>xin bác kim nghỉ</t>
  </si>
  <si>
    <t>trúng gió xin nghỉ 1 hôm</t>
  </si>
  <si>
    <t>về quê</t>
  </si>
  <si>
    <t>gửi bảo vệ 100k</t>
  </si>
  <si>
    <t>nghỉ ăn tất niên</t>
  </si>
  <si>
    <t>đang ở hòn thơm chưa về</t>
  </si>
  <si>
    <t>k11425</t>
  </si>
  <si>
    <t>k11327</t>
  </si>
  <si>
    <t>LÊ THÀNH LẬP</t>
  </si>
  <si>
    <t>XIN NGHỈ LUÔN</t>
  </si>
  <si>
    <t>DOANH THU 10/02/2026</t>
  </si>
  <si>
    <t>k11425, thạo đi ăn cưới nên ngày 12 nộp doanh thu</t>
  </si>
  <si>
    <t>gộp doanh thu 2 ngày</t>
  </si>
  <si>
    <t>doanh thu 10 - 11</t>
  </si>
  <si>
    <t>DOANH THU 11/02/2026</t>
  </si>
  <si>
    <t>k11327, nghỉ qua xe đỏ chạy nhưng bị công an bắt</t>
  </si>
  <si>
    <t>DOANH THU 12/02/2026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</si>
</sst>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3"/>
      <color rgb="FF9C0006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6"/>
      <color rgb="FF9C0006"/>
      <name val="Times New Roman"/>
      <family val="2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sz val="13"/>
      <name val="Times New Roman"/>
      <family val="1"/>
    </font>
    <font>
      <b/>
      <sz val="18"/>
      <color rgb="FFFA7D00"/>
      <name val="Times New Roman"/>
      <family val="2"/>
    </font>
    <font>
      <b/>
      <sz val="18"/>
      <color rgb="FF3F3F3F"/>
      <name val="Times New Roman"/>
      <family val="2"/>
    </font>
    <font>
      <b/>
      <sz val="13"/>
      <color theme="1"/>
      <name val="Times New Roman"/>
      <family val="1"/>
    </font>
    <font>
      <b/>
      <sz val="13"/>
      <color rgb="FF081B3A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FF00"/>
      <name val="Calibri"/>
      <family val="2"/>
      <scheme val="minor"/>
    </font>
    <font>
      <b/>
      <sz val="13"/>
      <color rgb="FFFF0000"/>
      <name val="Times New Roman"/>
      <family val="1"/>
    </font>
    <font>
      <b/>
      <sz val="13"/>
      <name val="Times New Roman"/>
      <family val="1"/>
    </font>
    <font>
      <b/>
      <sz val="13"/>
      <color rgb="FFFFFF00"/>
      <name val="Times New Roman"/>
      <family val="1"/>
    </font>
    <font>
      <sz val="13"/>
      <color rgb="FF101828"/>
      <name val="Times New Roman"/>
      <family val="1"/>
    </font>
    <font>
      <b/>
      <sz val="20"/>
      <color theme="1"/>
      <name val="Times New Roman"/>
      <family val="1"/>
    </font>
    <font>
      <b/>
      <sz val="26"/>
      <color theme="1"/>
      <name val="Times New Roman"/>
      <family val="1"/>
    </font>
    <font>
      <b/>
      <sz val="18"/>
      <color rgb="FFFA7D00"/>
      <name val="Times New Roman"/>
      <family val="1"/>
    </font>
    <font>
      <b/>
      <sz val="16"/>
      <color theme="1"/>
      <name val="Times New Roman"/>
      <family val="1"/>
    </font>
    <font>
      <b/>
      <sz val="18"/>
      <color rgb="FF3F3F3F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rgb="FFFFFF00"/>
      <name val="Times New Roman"/>
      <family val="1"/>
    </font>
    <font>
      <b/>
      <sz val="14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color theme="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ck">
        <color rgb="FF5B9B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183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1" applyFont="1" applyAlignment="1">
      <alignment horizontal="center"/>
    </xf>
    <xf numFmtId="3" fontId="12" fillId="3" borderId="2" xfId="2" applyNumberFormat="1" applyFont="1"/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3" borderId="1" xfId="3" applyFont="1"/>
    <xf numFmtId="0" fontId="2" fillId="3" borderId="2" xfId="2"/>
    <xf numFmtId="20" fontId="15" fillId="0" borderId="0" xfId="0" applyNumberFormat="1" applyFont="1" applyAlignment="1">
      <alignment horizontal="right"/>
    </xf>
    <xf numFmtId="3" fontId="4" fillId="0" borderId="0" xfId="0" applyNumberFormat="1" applyFont="1"/>
    <xf numFmtId="0" fontId="17" fillId="7" borderId="0" xfId="0" applyFont="1" applyFill="1" applyAlignment="1">
      <alignment horizontal="center" vertical="center" wrapText="1"/>
    </xf>
    <xf numFmtId="0" fontId="15" fillId="5" borderId="0" xfId="0" applyFont="1" applyFill="1"/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left" vertical="center"/>
    </xf>
    <xf numFmtId="49" fontId="5" fillId="9" borderId="6" xfId="0" applyNumberFormat="1" applyFont="1" applyFill="1" applyBorder="1" applyAlignment="1">
      <alignment horizontal="center" vertical="center"/>
    </xf>
    <xf numFmtId="3" fontId="13" fillId="9" borderId="6" xfId="0" applyNumberFormat="1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left" vertical="center"/>
    </xf>
    <xf numFmtId="49" fontId="5" fillId="10" borderId="6" xfId="0" applyNumberFormat="1" applyFont="1" applyFill="1" applyBorder="1" applyAlignment="1">
      <alignment horizontal="center" vertical="center"/>
    </xf>
    <xf numFmtId="3" fontId="13" fillId="10" borderId="6" xfId="0" applyNumberFormat="1" applyFont="1" applyFill="1" applyBorder="1" applyAlignment="1">
      <alignment horizontal="center" vertical="center"/>
    </xf>
    <xf numFmtId="49" fontId="10" fillId="9" borderId="6" xfId="0" applyNumberFormat="1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left" vertical="center"/>
    </xf>
    <xf numFmtId="49" fontId="22" fillId="11" borderId="6" xfId="0" applyNumberFormat="1" applyFont="1" applyFill="1" applyBorder="1" applyAlignment="1">
      <alignment horizontal="center" vertical="center"/>
    </xf>
    <xf numFmtId="3" fontId="13" fillId="11" borderId="6" xfId="0" applyNumberFormat="1" applyFont="1" applyFill="1" applyBorder="1" applyAlignment="1">
      <alignment horizontal="center" vertical="center"/>
    </xf>
    <xf numFmtId="0" fontId="20" fillId="11" borderId="6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4" fillId="0" borderId="6" xfId="0" applyFont="1" applyBorder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3" fontId="13" fillId="12" borderId="6" xfId="0" applyNumberFormat="1" applyFont="1" applyFill="1" applyBorder="1" applyAlignment="1">
      <alignment horizontal="center" vertical="center"/>
    </xf>
    <xf numFmtId="0" fontId="20" fillId="10" borderId="6" xfId="0" applyFont="1" applyFill="1" applyBorder="1" applyAlignment="1">
      <alignment horizontal="center" vertical="center"/>
    </xf>
    <xf numFmtId="3" fontId="15" fillId="11" borderId="6" xfId="0" applyNumberFormat="1" applyFont="1" applyFill="1" applyBorder="1" applyAlignment="1">
      <alignment horizontal="center" vertical="center"/>
    </xf>
    <xf numFmtId="0" fontId="24" fillId="3" borderId="1" xfId="3" applyFont="1"/>
    <xf numFmtId="0" fontId="25" fillId="6" borderId="6" xfId="1" applyFont="1" applyFill="1" applyBorder="1" applyAlignment="1">
      <alignment horizontal="center" vertical="center"/>
    </xf>
    <xf numFmtId="0" fontId="25" fillId="6" borderId="6" xfId="1" applyFont="1" applyFill="1" applyBorder="1" applyAlignment="1">
      <alignment horizontal="center" vertical="center" wrapText="1"/>
    </xf>
    <xf numFmtId="3" fontId="26" fillId="3" borderId="6" xfId="2" applyNumberFormat="1" applyFont="1" applyBorder="1" applyAlignment="1">
      <alignment horizontal="right"/>
    </xf>
    <xf numFmtId="0" fontId="19" fillId="3" borderId="2" xfId="2" applyFont="1"/>
    <xf numFmtId="0" fontId="19" fillId="3" borderId="1" xfId="3" applyFont="1"/>
    <xf numFmtId="0" fontId="16" fillId="0" borderId="0" xfId="0" applyFont="1"/>
    <xf numFmtId="49" fontId="13" fillId="9" borderId="6" xfId="0" applyNumberFormat="1" applyFont="1" applyFill="1" applyBorder="1" applyAlignment="1">
      <alignment horizontal="center" vertical="center"/>
    </xf>
    <xf numFmtId="49" fontId="19" fillId="9" borderId="6" xfId="0" applyNumberFormat="1" applyFont="1" applyFill="1" applyBorder="1" applyAlignment="1">
      <alignment horizontal="center" vertical="center"/>
    </xf>
    <xf numFmtId="0" fontId="27" fillId="9" borderId="6" xfId="0" applyFont="1" applyFill="1" applyBorder="1" applyAlignment="1">
      <alignment vertical="center"/>
    </xf>
    <xf numFmtId="49" fontId="27" fillId="9" borderId="6" xfId="0" applyNumberFormat="1" applyFont="1" applyFill="1" applyBorder="1" applyAlignment="1">
      <alignment horizontal="center" vertical="center"/>
    </xf>
    <xf numFmtId="3" fontId="27" fillId="9" borderId="6" xfId="0" applyNumberFormat="1" applyFont="1" applyFill="1" applyBorder="1" applyAlignment="1">
      <alignment horizontal="center" vertical="center"/>
    </xf>
    <xf numFmtId="0" fontId="27" fillId="9" borderId="6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vertical="center"/>
    </xf>
    <xf numFmtId="49" fontId="27" fillId="10" borderId="6" xfId="0" applyNumberFormat="1" applyFont="1" applyFill="1" applyBorder="1" applyAlignment="1">
      <alignment horizontal="center" vertical="center"/>
    </xf>
    <xf numFmtId="3" fontId="27" fillId="10" borderId="6" xfId="0" applyNumberFormat="1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/>
    </xf>
    <xf numFmtId="49" fontId="29" fillId="9" borderId="6" xfId="0" applyNumberFormat="1" applyFont="1" applyFill="1" applyBorder="1" applyAlignment="1">
      <alignment horizontal="center" vertical="center"/>
    </xf>
    <xf numFmtId="20" fontId="27" fillId="9" borderId="6" xfId="0" applyNumberFormat="1" applyFont="1" applyFill="1" applyBorder="1" applyAlignment="1">
      <alignment horizontal="center" vertical="center"/>
    </xf>
    <xf numFmtId="0" fontId="30" fillId="10" borderId="6" xfId="0" applyFont="1" applyFill="1" applyBorder="1" applyAlignment="1">
      <alignment horizontal="center" vertical="center"/>
    </xf>
    <xf numFmtId="0" fontId="28" fillId="9" borderId="6" xfId="0" applyFont="1" applyFill="1" applyBorder="1" applyAlignment="1">
      <alignment horizontal="center" vertical="center"/>
    </xf>
    <xf numFmtId="0" fontId="28" fillId="10" borderId="6" xfId="0" applyFont="1" applyFill="1" applyBorder="1" applyAlignment="1">
      <alignment horizontal="center" vertical="center"/>
    </xf>
    <xf numFmtId="0" fontId="31" fillId="9" borderId="6" xfId="0" applyFont="1" applyFill="1" applyBorder="1" applyAlignment="1">
      <alignment horizontal="center" vertical="center"/>
    </xf>
    <xf numFmtId="0" fontId="27" fillId="10" borderId="6" xfId="0" applyFont="1" applyFill="1" applyBorder="1"/>
    <xf numFmtId="0" fontId="27" fillId="9" borderId="6" xfId="0" applyFont="1" applyFill="1" applyBorder="1" applyAlignment="1">
      <alignment horizontal="left" vertical="center"/>
    </xf>
    <xf numFmtId="3" fontId="29" fillId="10" borderId="6" xfId="0" applyNumberFormat="1" applyFont="1" applyFill="1" applyBorder="1" applyAlignment="1">
      <alignment horizontal="center" vertical="center"/>
    </xf>
    <xf numFmtId="3" fontId="29" fillId="10" borderId="6" xfId="0" applyNumberFormat="1" applyFont="1" applyFill="1" applyBorder="1" applyAlignment="1">
      <alignment horizontal="center"/>
    </xf>
    <xf numFmtId="49" fontId="28" fillId="10" borderId="6" xfId="0" applyNumberFormat="1" applyFont="1" applyFill="1" applyBorder="1" applyAlignment="1">
      <alignment horizontal="center"/>
    </xf>
    <xf numFmtId="0" fontId="28" fillId="9" borderId="6" xfId="0" applyFont="1" applyFill="1" applyBorder="1" applyAlignment="1">
      <alignment horizontal="center" vertical="center" wrapText="1"/>
    </xf>
    <xf numFmtId="0" fontId="27" fillId="0" borderId="6" xfId="0" applyFont="1" applyBorder="1"/>
    <xf numFmtId="3" fontId="27" fillId="0" borderId="6" xfId="0" applyNumberFormat="1" applyFont="1" applyBorder="1" applyAlignment="1">
      <alignment horizontal="center"/>
    </xf>
    <xf numFmtId="0" fontId="4" fillId="9" borderId="6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left" vertical="center"/>
    </xf>
    <xf numFmtId="3" fontId="29" fillId="0" borderId="6" xfId="0" applyNumberFormat="1" applyFont="1" applyBorder="1" applyAlignment="1">
      <alignment horizontal="center"/>
    </xf>
    <xf numFmtId="0" fontId="27" fillId="14" borderId="6" xfId="0" applyFont="1" applyFill="1" applyBorder="1" applyAlignment="1">
      <alignment vertical="center"/>
    </xf>
    <xf numFmtId="49" fontId="29" fillId="14" borderId="6" xfId="0" applyNumberFormat="1" applyFont="1" applyFill="1" applyBorder="1" applyAlignment="1">
      <alignment horizontal="center" vertical="center"/>
    </xf>
    <xf numFmtId="3" fontId="27" fillId="14" borderId="6" xfId="0" applyNumberFormat="1" applyFont="1" applyFill="1" applyBorder="1" applyAlignment="1">
      <alignment horizontal="center" vertical="center"/>
    </xf>
    <xf numFmtId="0" fontId="27" fillId="13" borderId="6" xfId="0" applyFont="1" applyFill="1" applyBorder="1"/>
    <xf numFmtId="3" fontId="27" fillId="13" borderId="6" xfId="0" applyNumberFormat="1" applyFont="1" applyFill="1" applyBorder="1" applyAlignment="1">
      <alignment horizontal="center"/>
    </xf>
    <xf numFmtId="0" fontId="28" fillId="10" borderId="6" xfId="0" applyFont="1" applyFill="1" applyBorder="1" applyAlignment="1">
      <alignment horizontal="center"/>
    </xf>
    <xf numFmtId="0" fontId="27" fillId="15" borderId="6" xfId="0" applyFont="1" applyFill="1" applyBorder="1" applyAlignment="1">
      <alignment vertical="center"/>
    </xf>
    <xf numFmtId="49" fontId="27" fillId="15" borderId="6" xfId="0" applyNumberFormat="1" applyFont="1" applyFill="1" applyBorder="1" applyAlignment="1">
      <alignment horizontal="center" vertical="center"/>
    </xf>
    <xf numFmtId="3" fontId="27" fillId="15" borderId="6" xfId="0" applyNumberFormat="1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left" vertical="center"/>
    </xf>
    <xf numFmtId="49" fontId="29" fillId="15" borderId="6" xfId="0" applyNumberFormat="1" applyFont="1" applyFill="1" applyBorder="1" applyAlignment="1">
      <alignment horizontal="center" vertical="center"/>
    </xf>
    <xf numFmtId="3" fontId="29" fillId="16" borderId="6" xfId="0" applyNumberFormat="1" applyFont="1" applyFill="1" applyBorder="1" applyAlignment="1">
      <alignment horizontal="center" vertical="center"/>
    </xf>
    <xf numFmtId="3" fontId="29" fillId="15" borderId="6" xfId="0" applyNumberFormat="1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3" fontId="27" fillId="16" borderId="6" xfId="0" applyNumberFormat="1" applyFont="1" applyFill="1" applyBorder="1" applyAlignment="1">
      <alignment horizontal="center" vertical="center"/>
    </xf>
    <xf numFmtId="0" fontId="27" fillId="16" borderId="6" xfId="0" applyFont="1" applyFill="1" applyBorder="1"/>
    <xf numFmtId="3" fontId="27" fillId="16" borderId="6" xfId="0" applyNumberFormat="1" applyFont="1" applyFill="1" applyBorder="1" applyAlignment="1">
      <alignment horizontal="center"/>
    </xf>
    <xf numFmtId="3" fontId="27" fillId="10" borderId="6" xfId="0" applyNumberFormat="1" applyFont="1" applyFill="1" applyBorder="1" applyAlignment="1">
      <alignment horizontal="center"/>
    </xf>
    <xf numFmtId="3" fontId="29" fillId="9" borderId="6" xfId="0" applyNumberFormat="1" applyFont="1" applyFill="1" applyBorder="1" applyAlignment="1">
      <alignment horizontal="center" vertical="center"/>
    </xf>
    <xf numFmtId="0" fontId="4" fillId="10" borderId="6" xfId="0" applyFont="1" applyFill="1" applyBorder="1"/>
    <xf numFmtId="0" fontId="30" fillId="7" borderId="6" xfId="0" applyFont="1" applyFill="1" applyBorder="1" applyAlignment="1">
      <alignment horizontal="center" vertical="center"/>
    </xf>
    <xf numFmtId="0" fontId="13" fillId="17" borderId="6" xfId="0" applyFont="1" applyFill="1" applyBorder="1" applyAlignment="1">
      <alignment horizontal="left" vertical="center"/>
    </xf>
    <xf numFmtId="49" fontId="5" fillId="17" borderId="6" xfId="0" applyNumberFormat="1" applyFont="1" applyFill="1" applyBorder="1" applyAlignment="1">
      <alignment horizontal="center" vertical="center"/>
    </xf>
    <xf numFmtId="49" fontId="13" fillId="17" borderId="6" xfId="0" applyNumberFormat="1" applyFont="1" applyFill="1" applyBorder="1" applyAlignment="1">
      <alignment horizontal="center" vertical="center"/>
    </xf>
    <xf numFmtId="3" fontId="13" fillId="17" borderId="6" xfId="0" applyNumberFormat="1" applyFont="1" applyFill="1" applyBorder="1" applyAlignment="1">
      <alignment horizontal="center" vertical="center"/>
    </xf>
    <xf numFmtId="3" fontId="13" fillId="18" borderId="6" xfId="0" applyNumberFormat="1" applyFont="1" applyFill="1" applyBorder="1" applyAlignment="1">
      <alignment horizontal="center" vertical="center"/>
    </xf>
    <xf numFmtId="0" fontId="20" fillId="18" borderId="6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32" fillId="9" borderId="6" xfId="0" applyFont="1" applyFill="1" applyBorder="1" applyAlignment="1">
      <alignment horizontal="center" vertical="center" wrapText="1"/>
    </xf>
    <xf numFmtId="0" fontId="32" fillId="9" borderId="6" xfId="0" applyFont="1" applyFill="1" applyBorder="1" applyAlignment="1">
      <alignment horizontal="center" vertical="center"/>
    </xf>
    <xf numFmtId="0" fontId="32" fillId="11" borderId="6" xfId="0" applyFont="1" applyFill="1" applyBorder="1" applyAlignment="1">
      <alignment horizontal="center" vertical="center"/>
    </xf>
    <xf numFmtId="0" fontId="29" fillId="10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vertical="center"/>
    </xf>
    <xf numFmtId="49" fontId="27" fillId="16" borderId="6" xfId="0" applyNumberFormat="1" applyFont="1" applyFill="1" applyBorder="1" applyAlignment="1">
      <alignment horizontal="center" vertical="center"/>
    </xf>
    <xf numFmtId="0" fontId="13" fillId="16" borderId="6" xfId="0" applyFont="1" applyFill="1" applyBorder="1" applyAlignment="1">
      <alignment horizontal="center" vertical="center"/>
    </xf>
    <xf numFmtId="0" fontId="29" fillId="16" borderId="6" xfId="0" applyFont="1" applyFill="1" applyBorder="1" applyAlignment="1">
      <alignment horizontal="center" vertical="center"/>
    </xf>
    <xf numFmtId="0" fontId="27" fillId="17" borderId="6" xfId="0" applyFont="1" applyFill="1" applyBorder="1" applyAlignment="1">
      <alignment vertical="center"/>
    </xf>
    <xf numFmtId="49" fontId="27" fillId="17" borderId="6" xfId="0" applyNumberFormat="1" applyFont="1" applyFill="1" applyBorder="1" applyAlignment="1">
      <alignment horizontal="center" vertical="center"/>
    </xf>
    <xf numFmtId="3" fontId="27" fillId="17" borderId="6" xfId="0" applyNumberFormat="1" applyFont="1" applyFill="1" applyBorder="1" applyAlignment="1">
      <alignment horizontal="center" vertical="center"/>
    </xf>
    <xf numFmtId="49" fontId="29" fillId="17" borderId="6" xfId="0" applyNumberFormat="1" applyFont="1" applyFill="1" applyBorder="1" applyAlignment="1">
      <alignment horizontal="center" vertical="center"/>
    </xf>
    <xf numFmtId="0" fontId="13" fillId="18" borderId="6" xfId="0" applyFont="1" applyFill="1" applyBorder="1" applyAlignment="1">
      <alignment horizontal="center" vertical="center"/>
    </xf>
    <xf numFmtId="0" fontId="27" fillId="18" borderId="6" xfId="0" applyFont="1" applyFill="1" applyBorder="1" applyAlignment="1">
      <alignment horizontal="left" vertical="center"/>
    </xf>
    <xf numFmtId="49" fontId="5" fillId="18" borderId="6" xfId="0" applyNumberFormat="1" applyFont="1" applyFill="1" applyBorder="1" applyAlignment="1">
      <alignment horizontal="center" vertical="center"/>
    </xf>
    <xf numFmtId="0" fontId="31" fillId="17" borderId="6" xfId="0" applyFont="1" applyFill="1" applyBorder="1" applyAlignment="1">
      <alignment horizontal="center" vertical="center"/>
    </xf>
    <xf numFmtId="3" fontId="29" fillId="18" borderId="6" xfId="0" applyNumberFormat="1" applyFont="1" applyFill="1" applyBorder="1" applyAlignment="1">
      <alignment horizontal="center"/>
    </xf>
    <xf numFmtId="3" fontId="29" fillId="18" borderId="6" xfId="0" applyNumberFormat="1" applyFont="1" applyFill="1" applyBorder="1" applyAlignment="1">
      <alignment horizontal="center" vertical="center"/>
    </xf>
    <xf numFmtId="0" fontId="30" fillId="18" borderId="6" xfId="0" applyFont="1" applyFill="1" applyBorder="1" applyAlignment="1">
      <alignment horizontal="center" vertical="center"/>
    </xf>
    <xf numFmtId="0" fontId="29" fillId="0" borderId="0" xfId="0" applyFont="1" applyAlignment="1">
      <alignment wrapText="1"/>
    </xf>
    <xf numFmtId="0" fontId="27" fillId="13" borderId="6" xfId="0" applyFont="1" applyFill="1" applyBorder="1" applyAlignment="1">
      <alignment horizontal="left" vertical="center"/>
    </xf>
    <xf numFmtId="49" fontId="5" fillId="13" borderId="6" xfId="0" applyNumberFormat="1" applyFont="1" applyFill="1" applyBorder="1" applyAlignment="1">
      <alignment horizontal="center" vertical="center"/>
    </xf>
    <xf numFmtId="0" fontId="31" fillId="14" borderId="6" xfId="0" applyFont="1" applyFill="1" applyBorder="1" applyAlignment="1">
      <alignment horizontal="center" vertical="center"/>
    </xf>
    <xf numFmtId="3" fontId="29" fillId="13" borderId="6" xfId="0" applyNumberFormat="1" applyFont="1" applyFill="1" applyBorder="1" applyAlignment="1">
      <alignment horizontal="center"/>
    </xf>
    <xf numFmtId="3" fontId="29" fillId="13" borderId="6" xfId="0" applyNumberFormat="1" applyFont="1" applyFill="1" applyBorder="1" applyAlignment="1">
      <alignment horizontal="center" vertical="center"/>
    </xf>
    <xf numFmtId="0" fontId="33" fillId="9" borderId="6" xfId="0" applyFont="1" applyFill="1" applyBorder="1" applyAlignment="1">
      <alignment horizontal="center" vertical="center"/>
    </xf>
    <xf numFmtId="0" fontId="34" fillId="10" borderId="6" xfId="0" applyFont="1" applyFill="1" applyBorder="1" applyAlignment="1">
      <alignment horizontal="center" vertical="center"/>
    </xf>
    <xf numFmtId="0" fontId="27" fillId="18" borderId="6" xfId="0" applyFont="1" applyFill="1" applyBorder="1" applyAlignment="1">
      <alignment vertical="center"/>
    </xf>
    <xf numFmtId="0" fontId="27" fillId="18" borderId="6" xfId="0" applyFont="1" applyFill="1" applyBorder="1"/>
    <xf numFmtId="0" fontId="29" fillId="10" borderId="0" xfId="0" applyFont="1" applyFill="1" applyAlignment="1">
      <alignment wrapText="1"/>
    </xf>
    <xf numFmtId="0" fontId="34" fillId="18" borderId="6" xfId="0" applyFont="1" applyFill="1" applyBorder="1" applyAlignment="1">
      <alignment horizontal="center" vertical="center"/>
    </xf>
    <xf numFmtId="3" fontId="27" fillId="18" borderId="6" xfId="0" applyNumberFormat="1" applyFont="1" applyFill="1" applyBorder="1" applyAlignment="1">
      <alignment horizontal="center" vertical="center"/>
    </xf>
    <xf numFmtId="0" fontId="27" fillId="17" borderId="6" xfId="0" applyFont="1" applyFill="1" applyBorder="1" applyAlignment="1">
      <alignment horizontal="left" vertical="center"/>
    </xf>
    <xf numFmtId="49" fontId="27" fillId="18" borderId="6" xfId="0" applyNumberFormat="1" applyFont="1" applyFill="1" applyBorder="1" applyAlignment="1">
      <alignment horizontal="center" vertical="center"/>
    </xf>
    <xf numFmtId="3" fontId="29" fillId="17" borderId="6" xfId="0" applyNumberFormat="1" applyFont="1" applyFill="1" applyBorder="1" applyAlignment="1">
      <alignment horizontal="center" vertical="center"/>
    </xf>
    <xf numFmtId="0" fontId="29" fillId="10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3" borderId="1" xfId="3" applyFont="1" applyAlignment="1">
      <alignment horizontal="center"/>
    </xf>
    <xf numFmtId="0" fontId="23" fillId="6" borderId="10" xfId="0" applyFont="1" applyFill="1" applyBorder="1" applyAlignment="1">
      <alignment horizontal="center" vertical="center" wrapText="1"/>
    </xf>
    <xf numFmtId="0" fontId="23" fillId="6" borderId="11" xfId="0" applyFont="1" applyFill="1" applyBorder="1" applyAlignment="1">
      <alignment horizontal="center" vertical="center" wrapText="1"/>
    </xf>
    <xf numFmtId="0" fontId="23" fillId="8" borderId="8" xfId="0" applyFont="1" applyFill="1" applyBorder="1" applyAlignment="1">
      <alignment horizontal="center" vertical="center" wrapText="1"/>
    </xf>
    <xf numFmtId="0" fontId="23" fillId="8" borderId="9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 wrapText="1"/>
    </xf>
    <xf numFmtId="0" fontId="24" fillId="3" borderId="6" xfId="3" applyFont="1" applyBorder="1" applyAlignment="1">
      <alignment horizontal="center" vertical="center"/>
    </xf>
    <xf numFmtId="3" fontId="26" fillId="3" borderId="6" xfId="2" applyNumberFormat="1" applyFont="1" applyBorder="1" applyAlignment="1">
      <alignment horizontal="right" vertical="center"/>
    </xf>
    <xf numFmtId="0" fontId="24" fillId="3" borderId="6" xfId="3" applyFont="1" applyBorder="1" applyAlignment="1">
      <alignment horizontal="center" vertical="center" wrapText="1"/>
    </xf>
    <xf numFmtId="0" fontId="24" fillId="3" borderId="6" xfId="3" applyFont="1" applyBorder="1" applyAlignment="1">
      <alignment horizontal="center"/>
    </xf>
    <xf numFmtId="0" fontId="18" fillId="17" borderId="6" xfId="0" applyFont="1" applyFill="1" applyBorder="1" applyAlignment="1">
      <alignment horizontal="center" vertical="center"/>
    </xf>
    <xf numFmtId="0" fontId="13" fillId="18" borderId="6" xfId="0" applyFont="1" applyFill="1" applyBorder="1" applyAlignment="1">
      <alignment horizontal="left" vertical="center"/>
    </xf>
    <xf numFmtId="0" fontId="4" fillId="18" borderId="6" xfId="0" applyFont="1" applyFill="1" applyBorder="1"/>
    <xf numFmtId="3" fontId="27" fillId="18" borderId="6" xfId="0" applyNumberFormat="1" applyFont="1" applyFill="1" applyBorder="1" applyAlignment="1">
      <alignment horizontal="center"/>
    </xf>
    <xf numFmtId="0" fontId="29" fillId="10" borderId="6" xfId="0" applyFont="1" applyFill="1" applyBorder="1" applyAlignment="1">
      <alignment horizontal="center" vertical="center" wrapText="1"/>
    </xf>
  </cellXfs>
  <cellStyles count="4">
    <cellStyle name="Bad" xfId="1" builtinId="27"/>
    <cellStyle name="Calculation" xfId="3" builtinId="22"/>
    <cellStyle name="Normal" xfId="0" builtinId="0"/>
    <cellStyle name="Output" xfId="2" builtinId="21"/>
  </cellStyles>
  <dxfs count="15"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10215</xdr:colOff>
      <xdr:row>40</xdr:row>
      <xdr:rowOff>2954</xdr:rowOff>
    </xdr:from>
    <xdr:to>
      <xdr:col>3</xdr:col>
      <xdr:colOff>16565</xdr:colOff>
      <xdr:row>68</xdr:row>
      <xdr:rowOff>118704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65E46-EAB2-40AD-8E1F-E309462A1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4315" y="9004079"/>
          <a:ext cx="2644775" cy="57545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C32991-C196-45AC-9CCE-343DDDFF9042}" name="Table14524567891011" displayName="Table14524567891011" ref="B6:M24" totalsRowShown="0" headerRowDxfId="14" dataDxfId="13" tableBorderDxfId="12" headerRowCellStyle="Bad" dataCellStyle="Normal">
  <autoFilter ref="B6:M24" xr:uid="{D102E08B-F339-41A7-8779-8E498408C686}"/>
  <tableColumns count="12">
    <tableColumn id="1" xr3:uid="{FF62048D-BC3D-4279-AE9D-CFA904ACD01C}" name="STT" dataDxfId="11" dataCellStyle="Normal"/>
    <tableColumn id="2" xr3:uid="{354DE058-CC1B-4595-88E9-5E5FB7322C9C}" name="HỌ TÊN" dataDxfId="10" dataCellStyle="Normal"/>
    <tableColumn id="3" xr3:uid="{A8265EBA-DEE0-4D4D-A2DF-8DAA96F62658}" name="SDT" dataDxfId="9" dataCellStyle="Normal"/>
    <tableColumn id="4" xr3:uid="{906819BD-C97A-4455-A5C0-685D9A531CE9}" name="CCCD" dataDxfId="8" dataCellStyle="Normal"/>
    <tableColumn id="5" xr3:uid="{9974C645-EE2D-4159-ACBD-8B42C422DEB8}" name="ĐỊA CHỈ" dataDxfId="7" dataCellStyle="Normal"/>
    <tableColumn id="6" xr3:uid="{304DB0C4-51FF-4ED4-AD3D-43AE1EEAFB78}" name="BIỂN SỐ" dataDxfId="6" dataCellStyle="Normal"/>
    <tableColumn id="7" xr3:uid="{DEB339AA-9214-4D9C-AF89-49BA203D0C97}" name="DOANH THU" dataDxfId="5" dataCellStyle="Normal"/>
    <tableColumn id="8" xr3:uid="{618AF904-1F91-4D32-96CF-8BEA69AF2EF1}" name="THỰC LÃNH" dataDxfId="4" dataCellStyle="Normal">
      <calculatedColumnFormula>H7*$E$26</calculatedColumnFormula>
    </tableColumn>
    <tableColumn id="9" xr3:uid="{F5F25720-672F-4226-89F8-CE1E5D920957}" name="HÌNH THỨC" dataDxfId="3" dataCellStyle="Normal"/>
    <tableColumn id="10" xr3:uid="{53BF063A-70F2-45AF-80E2-A347591C3884}" name="BILL" dataDxfId="2" dataCellStyle="Normal"/>
    <tableColumn id="12" xr3:uid="{6D42694B-8634-42D7-8AAA-77404E5558C9}" name="NOTE" dataDxfId="1" dataCellStyle="Normal"/>
    <tableColumn id="11" xr3:uid="{B2912CD1-2E6D-4459-AF0A-8735D4975982}" name="TIME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21AD-4B15-4CE5-B032-F166D9527995}">
  <sheetPr codeName="Sheet10"/>
  <dimension ref="A2:P59"/>
  <sheetViews>
    <sheetView zoomScaleNormal="100" workbookViewId="0">
      <selection activeCell="I9" sqref="I9"/>
    </sheetView>
  </sheetViews>
  <sheetFormatPr defaultColWidth="9.140625"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3.28515625" style="1" customWidth="1"/>
    <col min="5" max="5" width="5" style="1" customWidth="1"/>
    <col min="6" max="6" width="7.14062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3.28515625" style="1" bestFit="1" customWidth="1"/>
    <col min="11" max="11" width="23.42578125" style="1" hidden="1" customWidth="1"/>
    <col min="12" max="12" width="21" style="1" customWidth="1"/>
    <col min="13" max="13" width="19.42578125" style="1" customWidth="1"/>
    <col min="14" max="15" width="9.140625" style="1"/>
    <col min="16" max="16" width="16.85546875" style="1" customWidth="1"/>
    <col min="17" max="16384" width="9.140625" style="1"/>
  </cols>
  <sheetData>
    <row r="2" spans="2:16" ht="60.75" customHeight="1" x14ac:dyDescent="0.25">
      <c r="B2" s="165" t="s">
        <v>30</v>
      </c>
      <c r="C2" s="165"/>
      <c r="D2" s="165"/>
      <c r="E2" s="165"/>
      <c r="F2" s="165"/>
      <c r="G2" s="165"/>
      <c r="H2" s="165"/>
      <c r="I2" s="165"/>
      <c r="J2" s="165"/>
      <c r="K2" s="165"/>
    </row>
    <row r="3" spans="2:16" ht="30.75" x14ac:dyDescent="0.25">
      <c r="B3" s="166" t="s">
        <v>85</v>
      </c>
      <c r="C3" s="167"/>
      <c r="D3" s="167"/>
      <c r="E3" s="167"/>
      <c r="F3" s="167"/>
      <c r="G3" s="167"/>
      <c r="H3" s="167"/>
      <c r="I3" s="167"/>
      <c r="J3" s="167"/>
      <c r="K3" s="167"/>
    </row>
    <row r="4" spans="2:16" x14ac:dyDescent="0.25">
      <c r="J4" s="21"/>
    </row>
    <row r="6" spans="2:16" ht="20.25" x14ac:dyDescent="0.3">
      <c r="B6" s="4" t="s">
        <v>0</v>
      </c>
      <c r="C6" s="4" t="s">
        <v>1</v>
      </c>
      <c r="D6" s="4" t="s">
        <v>47</v>
      </c>
      <c r="E6" s="4" t="s">
        <v>2</v>
      </c>
      <c r="F6" s="4" t="s">
        <v>3</v>
      </c>
      <c r="G6" s="4" t="s">
        <v>46</v>
      </c>
      <c r="H6" s="4" t="s">
        <v>4</v>
      </c>
      <c r="I6" s="4" t="s">
        <v>19</v>
      </c>
      <c r="J6" s="4" t="s">
        <v>6</v>
      </c>
      <c r="K6" s="4" t="s">
        <v>5</v>
      </c>
      <c r="L6" s="4" t="s">
        <v>33</v>
      </c>
      <c r="M6" s="4" t="s">
        <v>48</v>
      </c>
      <c r="P6" s="30" t="s">
        <v>63</v>
      </c>
    </row>
    <row r="7" spans="2:16" ht="16.5" x14ac:dyDescent="0.25">
      <c r="B7" s="3">
        <v>1</v>
      </c>
      <c r="C7" s="7" t="s">
        <v>39</v>
      </c>
      <c r="D7" s="27" t="s">
        <v>7</v>
      </c>
      <c r="E7" s="32">
        <v>38096003688</v>
      </c>
      <c r="F7" s="27" t="s">
        <v>12</v>
      </c>
      <c r="G7" s="27" t="s">
        <v>13</v>
      </c>
      <c r="H7" s="6">
        <v>2060000</v>
      </c>
      <c r="I7" s="6">
        <v>1230000</v>
      </c>
      <c r="J7" s="37" t="s">
        <v>63</v>
      </c>
      <c r="K7" s="2"/>
      <c r="L7" s="8"/>
      <c r="M7" s="8"/>
      <c r="P7" s="29" t="s">
        <v>25</v>
      </c>
    </row>
    <row r="8" spans="2:16" ht="16.5" x14ac:dyDescent="0.25">
      <c r="B8" s="3">
        <f t="shared" ref="B8:B23" si="0">B7 +1</f>
        <v>2</v>
      </c>
      <c r="C8" s="7" t="s">
        <v>37</v>
      </c>
      <c r="D8" s="27" t="s">
        <v>8</v>
      </c>
      <c r="E8" s="32">
        <v>91203011680</v>
      </c>
      <c r="F8" s="27" t="s">
        <v>14</v>
      </c>
      <c r="G8" s="27" t="s">
        <v>15</v>
      </c>
      <c r="H8" s="6">
        <v>1890000</v>
      </c>
      <c r="I8" s="6">
        <v>1135000</v>
      </c>
      <c r="J8" s="29" t="s">
        <v>25</v>
      </c>
      <c r="K8" s="22" t="s">
        <v>64</v>
      </c>
      <c r="L8" s="8"/>
      <c r="M8" s="8"/>
      <c r="P8" s="28" t="s">
        <v>64</v>
      </c>
    </row>
    <row r="9" spans="2:16" ht="16.5" x14ac:dyDescent="0.25">
      <c r="B9" s="3">
        <f t="shared" si="0"/>
        <v>3</v>
      </c>
      <c r="C9" s="7" t="s">
        <v>40</v>
      </c>
      <c r="D9" s="27" t="s">
        <v>9</v>
      </c>
      <c r="E9" s="32">
        <v>89078016404</v>
      </c>
      <c r="F9" s="27" t="s">
        <v>17</v>
      </c>
      <c r="G9" s="27" t="s">
        <v>16</v>
      </c>
      <c r="H9" s="6">
        <v>1810000</v>
      </c>
      <c r="I9" s="6">
        <f t="shared" ref="I9:I23" si="1">H9*$E$26</f>
        <v>1086000</v>
      </c>
      <c r="J9" s="28" t="s">
        <v>64</v>
      </c>
      <c r="K9" s="2"/>
      <c r="L9" s="8"/>
      <c r="M9" s="8"/>
    </row>
    <row r="10" spans="2:16" ht="16.5" x14ac:dyDescent="0.25">
      <c r="B10" s="3">
        <f t="shared" si="0"/>
        <v>4</v>
      </c>
      <c r="C10" s="7" t="s">
        <v>62</v>
      </c>
      <c r="D10" s="27" t="s">
        <v>10</v>
      </c>
      <c r="E10" s="32">
        <v>89099008054</v>
      </c>
      <c r="F10" s="27" t="s">
        <v>17</v>
      </c>
      <c r="G10" s="27" t="s">
        <v>45</v>
      </c>
      <c r="H10" s="6">
        <v>2980000</v>
      </c>
      <c r="I10" s="6">
        <f t="shared" si="1"/>
        <v>1788000</v>
      </c>
      <c r="J10" s="37" t="s">
        <v>63</v>
      </c>
      <c r="K10" s="26"/>
      <c r="L10" s="37"/>
      <c r="M10" s="8"/>
    </row>
    <row r="11" spans="2:16" ht="16.5" x14ac:dyDescent="0.25">
      <c r="B11" s="3">
        <f>B10 +1</f>
        <v>5</v>
      </c>
      <c r="C11" s="7" t="s">
        <v>38</v>
      </c>
      <c r="D11" s="32" t="s">
        <v>11</v>
      </c>
      <c r="E11" s="32">
        <v>91088020664</v>
      </c>
      <c r="F11" s="27" t="s">
        <v>14</v>
      </c>
      <c r="G11" s="27" t="s">
        <v>18</v>
      </c>
      <c r="H11" s="6">
        <v>750000</v>
      </c>
      <c r="I11" s="6">
        <f t="shared" si="1"/>
        <v>450000</v>
      </c>
      <c r="J11" s="29" t="s">
        <v>25</v>
      </c>
      <c r="K11" s="22" t="s">
        <v>64</v>
      </c>
      <c r="L11" s="8"/>
      <c r="M11" s="8"/>
    </row>
    <row r="12" spans="2:16" ht="16.5" x14ac:dyDescent="0.25">
      <c r="B12" s="3">
        <f t="shared" si="0"/>
        <v>6</v>
      </c>
      <c r="C12" s="7" t="s">
        <v>41</v>
      </c>
      <c r="D12" s="33" t="s">
        <v>55</v>
      </c>
      <c r="E12" s="33">
        <v>89082022656</v>
      </c>
      <c r="F12" s="33" t="s">
        <v>17</v>
      </c>
      <c r="G12" s="33" t="s">
        <v>52</v>
      </c>
      <c r="H12" s="6">
        <v>1630000</v>
      </c>
      <c r="I12" s="6">
        <f t="shared" si="1"/>
        <v>978000</v>
      </c>
      <c r="J12" s="37" t="s">
        <v>63</v>
      </c>
      <c r="K12" s="2"/>
      <c r="L12" s="8"/>
      <c r="M12" s="9"/>
    </row>
    <row r="13" spans="2:16" ht="16.5" x14ac:dyDescent="0.25">
      <c r="B13" s="3">
        <f t="shared" si="0"/>
        <v>7</v>
      </c>
      <c r="C13" s="7" t="s">
        <v>42</v>
      </c>
      <c r="D13" s="33" t="s">
        <v>22</v>
      </c>
      <c r="E13" s="33">
        <v>42088019031</v>
      </c>
      <c r="F13" s="33" t="s">
        <v>20</v>
      </c>
      <c r="G13" s="33" t="s">
        <v>21</v>
      </c>
      <c r="H13" s="6">
        <v>1960000</v>
      </c>
      <c r="I13" s="6">
        <f t="shared" si="1"/>
        <v>1176000</v>
      </c>
      <c r="J13" s="30" t="s">
        <v>63</v>
      </c>
      <c r="K13" s="22" t="s">
        <v>64</v>
      </c>
      <c r="L13" s="8"/>
      <c r="M13" s="8"/>
    </row>
    <row r="14" spans="2:16" ht="16.5" x14ac:dyDescent="0.25">
      <c r="B14" s="3">
        <f t="shared" si="0"/>
        <v>8</v>
      </c>
      <c r="C14" s="7" t="s">
        <v>43</v>
      </c>
      <c r="D14" s="33" t="s">
        <v>32</v>
      </c>
      <c r="E14" s="33">
        <v>49202008987</v>
      </c>
      <c r="F14" s="33" t="s">
        <v>14</v>
      </c>
      <c r="G14" s="33" t="s">
        <v>31</v>
      </c>
      <c r="H14" s="6">
        <v>3249000</v>
      </c>
      <c r="I14" s="6">
        <v>1950000</v>
      </c>
      <c r="J14" s="37" t="s">
        <v>63</v>
      </c>
      <c r="K14" s="2"/>
      <c r="L14" s="8"/>
      <c r="M14" s="9"/>
    </row>
    <row r="15" spans="2:16" ht="16.5" x14ac:dyDescent="0.25">
      <c r="B15" s="3">
        <f t="shared" si="0"/>
        <v>9</v>
      </c>
      <c r="C15" s="7" t="s">
        <v>44</v>
      </c>
      <c r="D15" s="33" t="s">
        <v>23</v>
      </c>
      <c r="E15" s="33">
        <v>93097001330</v>
      </c>
      <c r="F15" s="33" t="s">
        <v>56</v>
      </c>
      <c r="G15" s="33" t="s">
        <v>24</v>
      </c>
      <c r="H15" s="6">
        <v>1800000</v>
      </c>
      <c r="I15" s="6">
        <f t="shared" si="1"/>
        <v>1080000</v>
      </c>
      <c r="J15" s="37" t="s">
        <v>63</v>
      </c>
      <c r="K15" s="2"/>
      <c r="L15" s="8"/>
      <c r="M15" s="8"/>
    </row>
    <row r="16" spans="2:16" ht="16.5" x14ac:dyDescent="0.25">
      <c r="B16" s="3">
        <f t="shared" si="0"/>
        <v>10</v>
      </c>
      <c r="C16" s="7" t="s">
        <v>68</v>
      </c>
      <c r="D16" s="33" t="s">
        <v>57</v>
      </c>
      <c r="E16" s="33">
        <v>95095009661</v>
      </c>
      <c r="F16" s="33" t="s">
        <v>58</v>
      </c>
      <c r="G16" s="33" t="s">
        <v>26</v>
      </c>
      <c r="H16" s="6">
        <v>1950000</v>
      </c>
      <c r="I16" s="6">
        <f t="shared" si="1"/>
        <v>1170000</v>
      </c>
      <c r="J16" s="37" t="s">
        <v>63</v>
      </c>
      <c r="K16" s="2"/>
      <c r="L16" s="11"/>
      <c r="M16" s="8"/>
    </row>
    <row r="17" spans="1:13" ht="16.5" x14ac:dyDescent="0.25">
      <c r="B17" s="3">
        <f t="shared" si="0"/>
        <v>11</v>
      </c>
      <c r="C17" s="7" t="s">
        <v>78</v>
      </c>
      <c r="D17" s="33" t="s">
        <v>59</v>
      </c>
      <c r="E17" s="34">
        <v>91085001515</v>
      </c>
      <c r="F17" s="27" t="s">
        <v>17</v>
      </c>
      <c r="G17" s="33" t="s">
        <v>53</v>
      </c>
      <c r="H17" s="6">
        <v>1780000</v>
      </c>
      <c r="I17" s="6">
        <f t="shared" si="1"/>
        <v>1068000</v>
      </c>
      <c r="J17" s="37" t="s">
        <v>63</v>
      </c>
      <c r="K17" s="2"/>
      <c r="L17" s="8"/>
      <c r="M17" s="8"/>
    </row>
    <row r="18" spans="1:13" ht="16.5" x14ac:dyDescent="0.25">
      <c r="B18" s="3">
        <f t="shared" si="0"/>
        <v>12</v>
      </c>
      <c r="C18" s="7" t="s">
        <v>36</v>
      </c>
      <c r="D18" s="33" t="s">
        <v>27</v>
      </c>
      <c r="E18" s="33">
        <v>42094001136</v>
      </c>
      <c r="F18" s="33" t="s">
        <v>14</v>
      </c>
      <c r="G18" s="33" t="s">
        <v>35</v>
      </c>
      <c r="H18" s="6">
        <v>1550000</v>
      </c>
      <c r="I18" s="6">
        <f t="shared" si="1"/>
        <v>930000</v>
      </c>
      <c r="J18" s="29" t="s">
        <v>25</v>
      </c>
      <c r="K18" s="22" t="s">
        <v>64</v>
      </c>
      <c r="L18" s="8"/>
      <c r="M18" s="8"/>
    </row>
    <row r="19" spans="1:13" ht="16.5" x14ac:dyDescent="0.25">
      <c r="B19" s="3">
        <f t="shared" si="0"/>
        <v>13</v>
      </c>
      <c r="C19" s="10" t="s">
        <v>49</v>
      </c>
      <c r="D19" s="33" t="s">
        <v>51</v>
      </c>
      <c r="E19" s="35" t="s">
        <v>77</v>
      </c>
      <c r="F19" s="33" t="s">
        <v>50</v>
      </c>
      <c r="G19" s="36" t="s">
        <v>34</v>
      </c>
      <c r="H19" s="6">
        <v>2110000</v>
      </c>
      <c r="I19" s="6">
        <v>1260000</v>
      </c>
      <c r="J19" s="37" t="s">
        <v>63</v>
      </c>
      <c r="K19" s="8"/>
      <c r="L19" s="8"/>
      <c r="M19" s="8"/>
    </row>
    <row r="20" spans="1:13" ht="16.5" x14ac:dyDescent="0.25">
      <c r="A20" s="25"/>
      <c r="B20" s="3">
        <f t="shared" si="0"/>
        <v>14</v>
      </c>
      <c r="C20" s="7" t="s">
        <v>69</v>
      </c>
      <c r="D20" s="27" t="s">
        <v>66</v>
      </c>
      <c r="E20" s="33">
        <v>38085004911</v>
      </c>
      <c r="F20" s="33" t="s">
        <v>12</v>
      </c>
      <c r="G20" s="36" t="s">
        <v>65</v>
      </c>
      <c r="H20" s="6"/>
      <c r="I20" s="6">
        <f t="shared" si="1"/>
        <v>0</v>
      </c>
      <c r="J20" s="28" t="s">
        <v>64</v>
      </c>
      <c r="K20" s="24"/>
      <c r="L20" s="8"/>
      <c r="M20" s="8"/>
    </row>
    <row r="21" spans="1:13" ht="16.5" x14ac:dyDescent="0.25">
      <c r="A21" s="25"/>
      <c r="B21" s="3">
        <f t="shared" si="0"/>
        <v>15</v>
      </c>
      <c r="C21" s="7" t="s">
        <v>75</v>
      </c>
      <c r="D21" s="27" t="s">
        <v>72</v>
      </c>
      <c r="E21" s="27" t="s">
        <v>73</v>
      </c>
      <c r="F21" s="27" t="s">
        <v>74</v>
      </c>
      <c r="G21" s="35" t="s">
        <v>76</v>
      </c>
      <c r="H21" s="6"/>
      <c r="I21" s="6">
        <f t="shared" si="1"/>
        <v>0</v>
      </c>
      <c r="J21" s="28" t="s">
        <v>64</v>
      </c>
      <c r="K21" s="2"/>
      <c r="L21" s="8"/>
      <c r="M21" s="8"/>
    </row>
    <row r="22" spans="1:13" ht="16.5" x14ac:dyDescent="0.25">
      <c r="B22" s="3">
        <f t="shared" si="0"/>
        <v>16</v>
      </c>
      <c r="C22" s="7" t="s">
        <v>81</v>
      </c>
      <c r="D22" s="27" t="s">
        <v>79</v>
      </c>
      <c r="E22" s="27">
        <v>70081001153</v>
      </c>
      <c r="F22" s="27" t="s">
        <v>80</v>
      </c>
      <c r="G22" s="36" t="s">
        <v>71</v>
      </c>
      <c r="H22" s="6">
        <v>1550000</v>
      </c>
      <c r="I22" s="6">
        <f t="shared" si="1"/>
        <v>930000</v>
      </c>
      <c r="J22" s="29" t="s">
        <v>25</v>
      </c>
      <c r="K22" s="2"/>
      <c r="L22" s="2"/>
      <c r="M22" s="8"/>
    </row>
    <row r="23" spans="1:13" ht="16.5" x14ac:dyDescent="0.25">
      <c r="B23" s="3">
        <f t="shared" si="0"/>
        <v>17</v>
      </c>
      <c r="C23" s="7" t="s">
        <v>82</v>
      </c>
      <c r="D23" s="27" t="s">
        <v>84</v>
      </c>
      <c r="E23" s="27">
        <v>27068001194</v>
      </c>
      <c r="F23" s="27" t="s">
        <v>83</v>
      </c>
      <c r="G23" s="27" t="s">
        <v>70</v>
      </c>
      <c r="H23" s="6">
        <v>1800000</v>
      </c>
      <c r="I23" s="6">
        <f t="shared" si="1"/>
        <v>1080000</v>
      </c>
      <c r="J23" s="29" t="s">
        <v>25</v>
      </c>
      <c r="K23" s="2"/>
      <c r="L23" s="2"/>
      <c r="M23" s="8"/>
    </row>
    <row r="24" spans="1:13" ht="16.5" x14ac:dyDescent="0.25">
      <c r="B24" s="3"/>
      <c r="C24" s="3"/>
      <c r="D24" s="3"/>
      <c r="E24" s="3"/>
      <c r="F24" s="3"/>
      <c r="G24" s="3"/>
      <c r="H24" s="3"/>
      <c r="I24" s="6">
        <f>H24*$E$26</f>
        <v>0</v>
      </c>
      <c r="J24" s="3"/>
      <c r="K24" s="2"/>
      <c r="L24" s="2"/>
      <c r="M24" s="8"/>
    </row>
    <row r="26" spans="1:13" ht="22.5" x14ac:dyDescent="0.3">
      <c r="C26" s="18" t="s">
        <v>60</v>
      </c>
      <c r="E26" s="19">
        <v>0.6</v>
      </c>
      <c r="F26" s="20" t="s">
        <v>61</v>
      </c>
      <c r="H26" s="168" t="s">
        <v>28</v>
      </c>
      <c r="I26" s="168"/>
      <c r="J26" s="5">
        <f>SUM(H7:H1001)</f>
        <v>28869000</v>
      </c>
    </row>
    <row r="27" spans="1:13" ht="22.5" x14ac:dyDescent="0.3">
      <c r="H27" s="168" t="s">
        <v>29</v>
      </c>
      <c r="I27" s="168"/>
      <c r="J27" s="5">
        <f>SUM(I7:I1001)</f>
        <v>17311000</v>
      </c>
    </row>
    <row r="40" spans="2:4" x14ac:dyDescent="0.25">
      <c r="C40" s="23" t="s">
        <v>67</v>
      </c>
    </row>
    <row r="43" spans="2:4" x14ac:dyDescent="0.25">
      <c r="B43" s="17" t="s">
        <v>54</v>
      </c>
    </row>
    <row r="44" spans="2:4" ht="16.5" x14ac:dyDescent="0.25">
      <c r="B44" s="12" t="s">
        <v>13</v>
      </c>
    </row>
    <row r="45" spans="2:4" ht="16.5" x14ac:dyDescent="0.25">
      <c r="B45" s="13" t="s">
        <v>15</v>
      </c>
    </row>
    <row r="46" spans="2:4" ht="16.5" x14ac:dyDescent="0.25">
      <c r="B46" s="12" t="s">
        <v>16</v>
      </c>
      <c r="D46" s="28" t="s">
        <v>64</v>
      </c>
    </row>
    <row r="47" spans="2:4" ht="16.5" x14ac:dyDescent="0.25">
      <c r="B47" s="13" t="s">
        <v>45</v>
      </c>
    </row>
    <row r="48" spans="2:4" ht="16.5" x14ac:dyDescent="0.25">
      <c r="B48" s="12" t="s">
        <v>18</v>
      </c>
    </row>
    <row r="49" spans="2:2" ht="16.5" x14ac:dyDescent="0.25">
      <c r="B49" s="14" t="s">
        <v>52</v>
      </c>
    </row>
    <row r="50" spans="2:2" ht="16.5" x14ac:dyDescent="0.25">
      <c r="B50" s="15" t="s">
        <v>21</v>
      </c>
    </row>
    <row r="51" spans="2:2" ht="16.5" x14ac:dyDescent="0.25">
      <c r="B51" s="14" t="s">
        <v>31</v>
      </c>
    </row>
    <row r="52" spans="2:2" ht="16.5" x14ac:dyDescent="0.25">
      <c r="B52" s="15" t="s">
        <v>24</v>
      </c>
    </row>
    <row r="53" spans="2:2" ht="16.5" x14ac:dyDescent="0.25">
      <c r="B53" s="14" t="s">
        <v>26</v>
      </c>
    </row>
    <row r="54" spans="2:2" ht="16.5" x14ac:dyDescent="0.25">
      <c r="B54" s="15" t="s">
        <v>53</v>
      </c>
    </row>
    <row r="55" spans="2:2" ht="16.5" x14ac:dyDescent="0.25">
      <c r="B55" s="14" t="s">
        <v>35</v>
      </c>
    </row>
    <row r="56" spans="2:2" ht="16.5" x14ac:dyDescent="0.25">
      <c r="B56" s="16" t="s">
        <v>34</v>
      </c>
    </row>
    <row r="57" spans="2:2" ht="16.5" x14ac:dyDescent="0.25">
      <c r="B57" s="16" t="s">
        <v>71</v>
      </c>
    </row>
    <row r="58" spans="2:2" ht="17.25" thickBot="1" x14ac:dyDescent="0.3">
      <c r="B58" s="31" t="s">
        <v>70</v>
      </c>
    </row>
    <row r="59" spans="2:2" ht="15.75" thickTop="1" x14ac:dyDescent="0.25"/>
  </sheetData>
  <mergeCells count="4">
    <mergeCell ref="B2:K2"/>
    <mergeCell ref="B3:K3"/>
    <mergeCell ref="H26:I26"/>
    <mergeCell ref="H27:I2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B86F-A8DD-42F9-B2B2-37DBDB0C26B6}">
  <dimension ref="A3:Q47"/>
  <sheetViews>
    <sheetView zoomScale="70" zoomScaleNormal="70" workbookViewId="0">
      <selection activeCell="F7" sqref="F7"/>
    </sheetView>
  </sheetViews>
  <sheetFormatPr defaultColWidth="9.140625" defaultRowHeight="15" x14ac:dyDescent="0.25"/>
  <cols>
    <col min="1" max="1" width="23.140625" style="1" customWidth="1"/>
    <col min="2" max="2" width="9.140625" style="1"/>
    <col min="3" max="3" width="37.7109375" style="1" customWidth="1"/>
    <col min="4" max="4" width="24.85546875" style="1" customWidth="1"/>
    <col min="5" max="5" width="19.5703125" style="1" customWidth="1"/>
    <col min="6" max="6" width="20.28515625" style="1" customWidth="1"/>
    <col min="7" max="7" width="19.5703125" style="1" customWidth="1"/>
    <col min="8" max="8" width="20.42578125" style="1" customWidth="1"/>
    <col min="9" max="9" width="18" style="1" customWidth="1"/>
    <col min="10" max="10" width="20" style="1" customWidth="1"/>
    <col min="11" max="11" width="39.85546875" style="1" customWidth="1"/>
    <col min="12" max="12" width="11.5703125" style="1" customWidth="1"/>
    <col min="13" max="13" width="5" style="1" customWidth="1"/>
    <col min="14" max="14" width="31.425781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6" ht="27.75" x14ac:dyDescent="0.25">
      <c r="B3" s="165" t="s">
        <v>30</v>
      </c>
      <c r="C3" s="165"/>
      <c r="D3" s="165"/>
      <c r="E3" s="165"/>
      <c r="F3" s="165"/>
      <c r="G3" s="165"/>
      <c r="H3" s="165"/>
      <c r="I3" s="165"/>
      <c r="J3" s="165"/>
      <c r="K3" s="165"/>
    </row>
    <row r="4" spans="1:16" ht="30.75" x14ac:dyDescent="0.25">
      <c r="C4" s="59"/>
      <c r="D4" s="59"/>
      <c r="E4" s="59"/>
      <c r="G4" s="58" t="s">
        <v>115</v>
      </c>
      <c r="I4" s="59"/>
      <c r="J4" s="59"/>
      <c r="K4" s="59"/>
    </row>
    <row r="5" spans="1:16" ht="12" customHeight="1" x14ac:dyDescent="0.25"/>
    <row r="6" spans="1:16" ht="53.25" customHeight="1" x14ac:dyDescent="0.25">
      <c r="A6" s="57"/>
      <c r="B6" s="65" t="s">
        <v>0</v>
      </c>
      <c r="C6" s="65" t="s">
        <v>1</v>
      </c>
      <c r="D6" s="65" t="s">
        <v>47</v>
      </c>
      <c r="E6" s="65" t="s">
        <v>46</v>
      </c>
      <c r="F6" s="65" t="s">
        <v>4</v>
      </c>
      <c r="G6" s="66" t="s">
        <v>94</v>
      </c>
      <c r="H6" s="65" t="s">
        <v>86</v>
      </c>
      <c r="I6" s="65" t="s">
        <v>87</v>
      </c>
      <c r="J6" s="65" t="s">
        <v>6</v>
      </c>
      <c r="K6" s="65" t="s">
        <v>33</v>
      </c>
      <c r="L6" s="65" t="s">
        <v>48</v>
      </c>
      <c r="N6" s="49" t="s">
        <v>63</v>
      </c>
    </row>
    <row r="7" spans="1:16" ht="23.25" customHeight="1" x14ac:dyDescent="0.25">
      <c r="A7" s="171" t="s">
        <v>90</v>
      </c>
      <c r="B7" s="38">
        <v>1</v>
      </c>
      <c r="C7" s="39" t="s">
        <v>91</v>
      </c>
      <c r="D7" s="40"/>
      <c r="E7" s="60" t="s">
        <v>76</v>
      </c>
      <c r="F7" s="41">
        <v>1250000</v>
      </c>
      <c r="G7" s="41">
        <f>IF(F7="",0,IF(F7&gt;1700000,F7*O$19,F7*O$18))</f>
        <v>750000</v>
      </c>
      <c r="H7" s="41">
        <v>750000</v>
      </c>
      <c r="I7" s="41">
        <f>G7-H7</f>
        <v>0</v>
      </c>
      <c r="J7" s="50" t="s">
        <v>25</v>
      </c>
      <c r="K7" s="95"/>
      <c r="L7" s="46"/>
      <c r="N7" s="50" t="s">
        <v>25</v>
      </c>
    </row>
    <row r="8" spans="1:16" ht="16.5" customHeight="1" x14ac:dyDescent="0.25">
      <c r="A8" s="172"/>
      <c r="B8" s="38">
        <f>B7+1</f>
        <v>2</v>
      </c>
      <c r="C8" s="39" t="s">
        <v>101</v>
      </c>
      <c r="D8" s="45"/>
      <c r="E8" s="72" t="s">
        <v>65</v>
      </c>
      <c r="F8" s="41">
        <v>610000</v>
      </c>
      <c r="G8" s="41">
        <f>IF(F8="",0,IF(F8&gt;1700000,F8*O$19,F8*O$18))</f>
        <v>366000</v>
      </c>
      <c r="H8" s="41">
        <v>305000</v>
      </c>
      <c r="I8" s="41">
        <f t="shared" ref="I8:I10" si="0">G8-H8</f>
        <v>61000</v>
      </c>
      <c r="J8" s="50" t="s">
        <v>25</v>
      </c>
      <c r="K8" s="96"/>
      <c r="L8" s="46"/>
      <c r="N8" s="48" t="s">
        <v>64</v>
      </c>
    </row>
    <row r="9" spans="1:16" ht="16.5" customHeight="1" x14ac:dyDescent="0.25">
      <c r="A9" s="172"/>
      <c r="B9" s="38">
        <f t="shared" ref="B9:B18" si="1">B8+1</f>
        <v>3</v>
      </c>
      <c r="C9" s="39" t="s">
        <v>102</v>
      </c>
      <c r="D9" s="40"/>
      <c r="E9" s="71" t="s">
        <v>71</v>
      </c>
      <c r="F9" s="41">
        <v>850000</v>
      </c>
      <c r="G9" s="41">
        <f>IF(F9="",0,IF(F9&gt;1700000,F9*O$19,F9*O$18))</f>
        <v>510000</v>
      </c>
      <c r="H9" s="44">
        <v>510000</v>
      </c>
      <c r="I9" s="41">
        <v>0</v>
      </c>
      <c r="J9" s="50" t="s">
        <v>25</v>
      </c>
      <c r="K9" s="96"/>
      <c r="L9" s="47"/>
    </row>
    <row r="10" spans="1:16" ht="16.5" customHeight="1" x14ac:dyDescent="0.25">
      <c r="A10" s="172"/>
      <c r="B10" s="38">
        <f>B9+1</f>
        <v>4</v>
      </c>
      <c r="C10" s="42" t="s">
        <v>92</v>
      </c>
      <c r="D10" s="43"/>
      <c r="E10" s="60" t="s">
        <v>76</v>
      </c>
      <c r="F10" s="44">
        <v>1000000</v>
      </c>
      <c r="G10" s="41">
        <f>IF(F10="",0,IF(F10&gt;1700000,F10*O$19,F10*O$18))</f>
        <v>600000</v>
      </c>
      <c r="H10" s="44">
        <v>600000</v>
      </c>
      <c r="I10" s="41">
        <f t="shared" si="0"/>
        <v>0</v>
      </c>
      <c r="J10" s="50" t="s">
        <v>25</v>
      </c>
      <c r="K10" s="96"/>
      <c r="L10" s="46"/>
      <c r="N10" s="174" t="s">
        <v>28</v>
      </c>
      <c r="O10" s="174"/>
      <c r="P10" s="175">
        <f>SUM(F7:F1006)</f>
        <v>16675000</v>
      </c>
    </row>
    <row r="11" spans="1:16" ht="16.5" customHeight="1" x14ac:dyDescent="0.25">
      <c r="A11" s="172"/>
      <c r="B11" s="38">
        <f t="shared" si="1"/>
        <v>5</v>
      </c>
      <c r="C11" s="42" t="s">
        <v>112</v>
      </c>
      <c r="D11" s="43"/>
      <c r="E11" s="60" t="s">
        <v>76</v>
      </c>
      <c r="F11" s="44">
        <v>250000</v>
      </c>
      <c r="G11" s="41">
        <f>IF(F11="",0,IF(F11&gt;1700000,F11*O$19,F11*O$18))</f>
        <v>150000</v>
      </c>
      <c r="H11" s="44">
        <v>150000</v>
      </c>
      <c r="I11" s="41">
        <f t="shared" ref="I11:I18" si="2">G11-H11</f>
        <v>0</v>
      </c>
      <c r="J11" s="50" t="s">
        <v>25</v>
      </c>
      <c r="K11" s="96"/>
      <c r="L11" s="46"/>
      <c r="N11" s="174"/>
      <c r="O11" s="174"/>
      <c r="P11" s="175"/>
    </row>
    <row r="12" spans="1:16" ht="16.5" customHeight="1" x14ac:dyDescent="0.25">
      <c r="A12" s="172"/>
      <c r="B12" s="38">
        <f t="shared" si="1"/>
        <v>6</v>
      </c>
      <c r="C12" s="42" t="s">
        <v>96</v>
      </c>
      <c r="D12" s="43"/>
      <c r="E12" s="60" t="s">
        <v>76</v>
      </c>
      <c r="F12" s="44"/>
      <c r="G12" s="41">
        <f t="shared" ref="G12:G18" si="3">IF(F12="",0,IF(F12&gt;1700000,F12*O$19,F12*O$18))</f>
        <v>0</v>
      </c>
      <c r="H12" s="44"/>
      <c r="I12" s="41">
        <f t="shared" si="2"/>
        <v>0</v>
      </c>
      <c r="J12" s="62"/>
      <c r="K12" s="96"/>
      <c r="L12" s="46"/>
      <c r="N12" s="176" t="s">
        <v>95</v>
      </c>
      <c r="O12" s="176"/>
      <c r="P12" s="175">
        <f>SUM(G7:G1006)</f>
        <v>9346000</v>
      </c>
    </row>
    <row r="13" spans="1:16" ht="22.5" customHeight="1" x14ac:dyDescent="0.25">
      <c r="A13" s="172"/>
      <c r="B13" s="38">
        <f t="shared" si="1"/>
        <v>7</v>
      </c>
      <c r="C13" s="42" t="s">
        <v>96</v>
      </c>
      <c r="D13" s="43"/>
      <c r="E13" s="60" t="s">
        <v>76</v>
      </c>
      <c r="F13" s="44"/>
      <c r="G13" s="41">
        <f t="shared" si="3"/>
        <v>0</v>
      </c>
      <c r="H13" s="44"/>
      <c r="I13" s="41">
        <f t="shared" si="2"/>
        <v>0</v>
      </c>
      <c r="J13" s="62"/>
      <c r="K13" s="96"/>
      <c r="L13" s="46"/>
      <c r="N13" s="176"/>
      <c r="O13" s="176"/>
      <c r="P13" s="175"/>
    </row>
    <row r="14" spans="1:16" ht="16.5" customHeight="1" x14ac:dyDescent="0.25">
      <c r="A14" s="172"/>
      <c r="B14" s="38">
        <f t="shared" si="1"/>
        <v>8</v>
      </c>
      <c r="C14" s="42" t="s">
        <v>96</v>
      </c>
      <c r="D14" s="43"/>
      <c r="E14" s="60" t="s">
        <v>76</v>
      </c>
      <c r="F14" s="44"/>
      <c r="G14" s="41">
        <f t="shared" si="3"/>
        <v>0</v>
      </c>
      <c r="H14" s="44"/>
      <c r="I14" s="41">
        <f t="shared" si="2"/>
        <v>0</v>
      </c>
      <c r="J14" s="62"/>
      <c r="K14" s="96"/>
      <c r="L14" s="46"/>
      <c r="N14" s="176"/>
      <c r="O14" s="176"/>
      <c r="P14" s="175"/>
    </row>
    <row r="15" spans="1:16" ht="22.5" customHeight="1" x14ac:dyDescent="0.3">
      <c r="A15" s="172"/>
      <c r="B15" s="38">
        <f>B14+1</f>
        <v>9</v>
      </c>
      <c r="C15" s="42" t="s">
        <v>96</v>
      </c>
      <c r="D15" s="43"/>
      <c r="E15" s="60" t="s">
        <v>76</v>
      </c>
      <c r="F15" s="44"/>
      <c r="G15" s="41">
        <f t="shared" si="3"/>
        <v>0</v>
      </c>
      <c r="H15" s="44"/>
      <c r="I15" s="41">
        <f t="shared" si="2"/>
        <v>0</v>
      </c>
      <c r="J15" s="62"/>
      <c r="K15" s="96"/>
      <c r="L15" s="46"/>
      <c r="N15" s="177" t="s">
        <v>88</v>
      </c>
      <c r="O15" s="177"/>
      <c r="P15" s="67">
        <f>SUM(H7:H1006)</f>
        <v>9285000</v>
      </c>
    </row>
    <row r="16" spans="1:16" ht="16.5" customHeight="1" x14ac:dyDescent="0.25">
      <c r="A16" s="172"/>
      <c r="B16" s="38">
        <f t="shared" si="1"/>
        <v>10</v>
      </c>
      <c r="C16" s="42" t="s">
        <v>96</v>
      </c>
      <c r="D16" s="43"/>
      <c r="E16" s="60" t="s">
        <v>76</v>
      </c>
      <c r="F16" s="44"/>
      <c r="G16" s="41">
        <f t="shared" si="3"/>
        <v>0</v>
      </c>
      <c r="H16" s="44"/>
      <c r="I16" s="41">
        <f t="shared" si="2"/>
        <v>0</v>
      </c>
      <c r="J16" s="62"/>
      <c r="K16" s="96"/>
      <c r="L16" s="46"/>
    </row>
    <row r="17" spans="1:17" ht="16.5" customHeight="1" x14ac:dyDescent="0.25">
      <c r="A17" s="172"/>
      <c r="B17" s="38">
        <f t="shared" si="1"/>
        <v>11</v>
      </c>
      <c r="C17" s="42" t="s">
        <v>96</v>
      </c>
      <c r="D17" s="43"/>
      <c r="E17" s="60" t="s">
        <v>76</v>
      </c>
      <c r="F17" s="44"/>
      <c r="G17" s="41">
        <f t="shared" si="3"/>
        <v>0</v>
      </c>
      <c r="H17" s="44"/>
      <c r="I17" s="41">
        <f t="shared" si="2"/>
        <v>0</v>
      </c>
      <c r="J17" s="62"/>
      <c r="K17" s="96"/>
      <c r="L17" s="46"/>
    </row>
    <row r="18" spans="1:17" ht="16.5" customHeight="1" x14ac:dyDescent="0.3">
      <c r="A18" s="172"/>
      <c r="B18" s="38">
        <f t="shared" si="1"/>
        <v>12</v>
      </c>
      <c r="C18" s="42" t="s">
        <v>96</v>
      </c>
      <c r="D18" s="43"/>
      <c r="E18" s="60" t="s">
        <v>76</v>
      </c>
      <c r="F18" s="44"/>
      <c r="G18" s="41">
        <f t="shared" si="3"/>
        <v>0</v>
      </c>
      <c r="H18" s="44"/>
      <c r="I18" s="41">
        <f t="shared" si="2"/>
        <v>0</v>
      </c>
      <c r="J18" s="62"/>
      <c r="K18" s="96"/>
      <c r="L18" s="46"/>
      <c r="N18" s="64" t="s">
        <v>60</v>
      </c>
      <c r="O18" s="68">
        <v>0.6</v>
      </c>
      <c r="Q18" s="70" t="s">
        <v>99</v>
      </c>
    </row>
    <row r="19" spans="1:17" ht="16.5" customHeight="1" x14ac:dyDescent="0.3">
      <c r="A19" s="173"/>
      <c r="B19" s="51"/>
      <c r="C19" s="52"/>
      <c r="D19" s="51"/>
      <c r="E19" s="53"/>
      <c r="F19" s="54"/>
      <c r="G19" s="54"/>
      <c r="H19" s="63"/>
      <c r="I19" s="61"/>
      <c r="J19" s="55"/>
      <c r="K19" s="97"/>
      <c r="L19" s="56"/>
      <c r="N19" s="64" t="s">
        <v>60</v>
      </c>
      <c r="O19" s="69">
        <v>0.5</v>
      </c>
      <c r="Q19" s="70" t="s">
        <v>100</v>
      </c>
    </row>
    <row r="20" spans="1:17" ht="16.5" customHeight="1" x14ac:dyDescent="0.25">
      <c r="A20" s="169" t="s">
        <v>89</v>
      </c>
      <c r="B20" s="38">
        <v>1</v>
      </c>
      <c r="C20" s="107" t="s">
        <v>39</v>
      </c>
      <c r="D20" s="108"/>
      <c r="E20" s="108" t="s">
        <v>13</v>
      </c>
      <c r="F20" s="109"/>
      <c r="G20" s="109">
        <f t="shared" ref="G20:G47" si="4">IF(F20="",0,IF(F20&gt;=1700000,F20*O$19,F20*O$18))</f>
        <v>0</v>
      </c>
      <c r="H20" s="109"/>
      <c r="I20" s="109">
        <f t="shared" ref="I20:I37" si="5">G20-H20</f>
        <v>0</v>
      </c>
      <c r="J20" s="48" t="s">
        <v>64</v>
      </c>
      <c r="K20" s="85" t="s">
        <v>113</v>
      </c>
      <c r="L20" s="76"/>
    </row>
    <row r="21" spans="1:17" ht="16.5" customHeight="1" x14ac:dyDescent="0.25">
      <c r="A21" s="170"/>
      <c r="B21" s="38">
        <f>B20+1</f>
        <v>2</v>
      </c>
      <c r="C21" s="77" t="s">
        <v>62</v>
      </c>
      <c r="D21" s="78"/>
      <c r="E21" s="78" t="s">
        <v>105</v>
      </c>
      <c r="F21" s="79">
        <v>1470000</v>
      </c>
      <c r="G21" s="75">
        <f t="shared" si="4"/>
        <v>882000</v>
      </c>
      <c r="H21" s="79">
        <v>882000</v>
      </c>
      <c r="I21" s="75">
        <f t="shared" si="5"/>
        <v>0</v>
      </c>
      <c r="J21" s="49" t="s">
        <v>63</v>
      </c>
      <c r="K21" s="85"/>
      <c r="L21" s="80"/>
    </row>
    <row r="22" spans="1:17" ht="16.5" customHeight="1" x14ac:dyDescent="0.25">
      <c r="A22" s="170"/>
      <c r="B22" s="38">
        <f t="shared" ref="B22:B47" si="6">B21+1</f>
        <v>3</v>
      </c>
      <c r="C22" s="107" t="s">
        <v>42</v>
      </c>
      <c r="D22" s="111"/>
      <c r="E22" s="111" t="s">
        <v>21</v>
      </c>
      <c r="F22" s="109"/>
      <c r="G22" s="109">
        <f t="shared" si="4"/>
        <v>0</v>
      </c>
      <c r="H22" s="115"/>
      <c r="I22" s="109">
        <f t="shared" si="5"/>
        <v>0</v>
      </c>
      <c r="J22" s="48" t="s">
        <v>64</v>
      </c>
      <c r="K22" s="85" t="s">
        <v>113</v>
      </c>
      <c r="L22" s="82"/>
    </row>
    <row r="23" spans="1:17" ht="16.5" customHeight="1" x14ac:dyDescent="0.25">
      <c r="A23" s="170"/>
      <c r="B23" s="38">
        <f t="shared" si="6"/>
        <v>4</v>
      </c>
      <c r="C23" s="101"/>
      <c r="D23" s="102"/>
      <c r="E23" s="102"/>
      <c r="F23" s="103"/>
      <c r="G23" s="103">
        <f t="shared" si="4"/>
        <v>0</v>
      </c>
      <c r="H23" s="103"/>
      <c r="I23" s="103">
        <f t="shared" si="5"/>
        <v>0</v>
      </c>
      <c r="J23" s="62"/>
      <c r="K23" s="84"/>
      <c r="L23" s="76"/>
    </row>
    <row r="24" spans="1:17" ht="16.5" customHeight="1" x14ac:dyDescent="0.25">
      <c r="A24" s="170"/>
      <c r="B24" s="38">
        <f t="shared" si="6"/>
        <v>5</v>
      </c>
      <c r="C24" s="107" t="s">
        <v>68</v>
      </c>
      <c r="D24" s="111"/>
      <c r="E24" s="111" t="s">
        <v>26</v>
      </c>
      <c r="F24" s="109"/>
      <c r="G24" s="109">
        <f t="shared" si="4"/>
        <v>0</v>
      </c>
      <c r="H24" s="115"/>
      <c r="I24" s="109">
        <f t="shared" si="5"/>
        <v>0</v>
      </c>
      <c r="J24" s="48" t="s">
        <v>64</v>
      </c>
      <c r="K24" s="85" t="s">
        <v>113</v>
      </c>
      <c r="L24" s="82"/>
    </row>
    <row r="25" spans="1:17" ht="16.5" customHeight="1" x14ac:dyDescent="0.25">
      <c r="A25" s="170"/>
      <c r="B25" s="38">
        <f t="shared" si="6"/>
        <v>6</v>
      </c>
      <c r="C25" s="73" t="s">
        <v>107</v>
      </c>
      <c r="D25" s="81"/>
      <c r="E25" s="81" t="s">
        <v>53</v>
      </c>
      <c r="F25" s="75">
        <v>1375000</v>
      </c>
      <c r="G25" s="75">
        <f t="shared" si="4"/>
        <v>825000</v>
      </c>
      <c r="H25" s="79">
        <v>825000</v>
      </c>
      <c r="I25" s="75">
        <f t="shared" si="5"/>
        <v>0</v>
      </c>
      <c r="J25" s="49" t="s">
        <v>63</v>
      </c>
      <c r="K25" s="84"/>
      <c r="L25" s="76"/>
    </row>
    <row r="26" spans="1:17" ht="22.15" customHeight="1" x14ac:dyDescent="0.25">
      <c r="A26" s="170"/>
      <c r="B26" s="38">
        <f t="shared" si="6"/>
        <v>7</v>
      </c>
      <c r="C26" s="107" t="s">
        <v>49</v>
      </c>
      <c r="D26" s="114"/>
      <c r="E26" s="114" t="s">
        <v>104</v>
      </c>
      <c r="F26" s="109"/>
      <c r="G26" s="109">
        <f t="shared" si="4"/>
        <v>0</v>
      </c>
      <c r="H26" s="109"/>
      <c r="I26" s="109">
        <f t="shared" si="5"/>
        <v>0</v>
      </c>
      <c r="J26" s="48" t="s">
        <v>64</v>
      </c>
      <c r="K26" s="85" t="s">
        <v>113</v>
      </c>
      <c r="L26" s="76"/>
    </row>
    <row r="27" spans="1:17" ht="20.45" customHeight="1" x14ac:dyDescent="0.25">
      <c r="A27" s="170"/>
      <c r="B27" s="38">
        <f t="shared" si="6"/>
        <v>8</v>
      </c>
      <c r="C27" s="77" t="s">
        <v>75</v>
      </c>
      <c r="D27" s="80"/>
      <c r="E27" s="76" t="s">
        <v>70</v>
      </c>
      <c r="F27" s="79">
        <v>2570000</v>
      </c>
      <c r="G27" s="75">
        <f t="shared" si="4"/>
        <v>1285000</v>
      </c>
      <c r="H27" s="75">
        <v>1285000</v>
      </c>
      <c r="I27" s="75">
        <f t="shared" si="5"/>
        <v>0</v>
      </c>
      <c r="J27" s="49" t="s">
        <v>63</v>
      </c>
      <c r="K27" s="85"/>
      <c r="L27" s="76"/>
    </row>
    <row r="28" spans="1:17" ht="16.5" customHeight="1" x14ac:dyDescent="0.3">
      <c r="A28" s="170"/>
      <c r="B28" s="38">
        <f t="shared" si="6"/>
        <v>9</v>
      </c>
      <c r="C28" s="77" t="s">
        <v>103</v>
      </c>
      <c r="D28" s="87"/>
      <c r="E28" s="86" t="s">
        <v>76</v>
      </c>
      <c r="F28" s="79">
        <v>1930000</v>
      </c>
      <c r="G28" s="75">
        <f t="shared" si="4"/>
        <v>965000</v>
      </c>
      <c r="H28" s="79">
        <v>965000</v>
      </c>
      <c r="I28" s="75">
        <f t="shared" si="5"/>
        <v>0</v>
      </c>
      <c r="J28" s="49" t="s">
        <v>63</v>
      </c>
      <c r="K28" s="91"/>
      <c r="L28" s="76"/>
    </row>
    <row r="29" spans="1:17" ht="16.5" customHeight="1" x14ac:dyDescent="0.3">
      <c r="A29" s="170"/>
      <c r="B29" s="38">
        <f t="shared" si="6"/>
        <v>10</v>
      </c>
      <c r="C29" s="104"/>
      <c r="D29" s="104"/>
      <c r="E29" s="104"/>
      <c r="F29" s="105"/>
      <c r="G29" s="103">
        <f t="shared" si="4"/>
        <v>0</v>
      </c>
      <c r="H29" s="105"/>
      <c r="I29" s="103">
        <f t="shared" si="5"/>
        <v>0</v>
      </c>
      <c r="J29" s="62"/>
      <c r="K29" s="106"/>
      <c r="L29" s="93"/>
    </row>
    <row r="30" spans="1:17" ht="16.5" customHeight="1" x14ac:dyDescent="0.25">
      <c r="A30" s="170"/>
      <c r="B30" s="38">
        <f t="shared" si="6"/>
        <v>11</v>
      </c>
      <c r="C30" s="110" t="s">
        <v>93</v>
      </c>
      <c r="D30" s="108"/>
      <c r="E30" s="111" t="s">
        <v>24</v>
      </c>
      <c r="F30" s="112"/>
      <c r="G30" s="109">
        <f t="shared" si="4"/>
        <v>0</v>
      </c>
      <c r="H30" s="113"/>
      <c r="I30" s="109">
        <f t="shared" si="5"/>
        <v>0</v>
      </c>
      <c r="J30" s="48" t="s">
        <v>64</v>
      </c>
      <c r="K30" s="85" t="s">
        <v>113</v>
      </c>
      <c r="L30" s="80"/>
    </row>
    <row r="31" spans="1:17" ht="15" customHeight="1" x14ac:dyDescent="0.3">
      <c r="A31" s="170"/>
      <c r="B31" s="38">
        <f t="shared" si="6"/>
        <v>12</v>
      </c>
      <c r="C31" s="88" t="s">
        <v>97</v>
      </c>
      <c r="D31" s="81"/>
      <c r="E31" s="76" t="s">
        <v>106</v>
      </c>
      <c r="F31" s="89">
        <v>2090000</v>
      </c>
      <c r="G31" s="75">
        <f t="shared" si="4"/>
        <v>1045000</v>
      </c>
      <c r="H31" s="89">
        <v>1045000</v>
      </c>
      <c r="I31" s="75">
        <f t="shared" si="5"/>
        <v>0</v>
      </c>
      <c r="J31" s="49" t="s">
        <v>63</v>
      </c>
      <c r="K31" s="106"/>
      <c r="L31" s="93"/>
    </row>
    <row r="32" spans="1:17" ht="15" customHeight="1" x14ac:dyDescent="0.3">
      <c r="A32" s="170"/>
      <c r="B32" s="38">
        <f t="shared" si="6"/>
        <v>13</v>
      </c>
      <c r="C32" s="88" t="s">
        <v>108</v>
      </c>
      <c r="D32" s="78"/>
      <c r="E32" s="81" t="s">
        <v>52</v>
      </c>
      <c r="F32" s="75">
        <v>1150000</v>
      </c>
      <c r="G32" s="75">
        <f t="shared" si="4"/>
        <v>690000</v>
      </c>
      <c r="H32" s="75">
        <v>690000</v>
      </c>
      <c r="I32" s="75">
        <f t="shared" si="5"/>
        <v>0</v>
      </c>
      <c r="J32" s="49" t="s">
        <v>63</v>
      </c>
      <c r="K32" s="106"/>
      <c r="L32" s="93"/>
    </row>
    <row r="33" spans="1:12" ht="18.75" customHeight="1" x14ac:dyDescent="0.3">
      <c r="A33" s="170"/>
      <c r="B33" s="38">
        <f t="shared" si="6"/>
        <v>14</v>
      </c>
      <c r="C33" s="73"/>
      <c r="D33" s="74"/>
      <c r="E33" s="74" t="s">
        <v>16</v>
      </c>
      <c r="F33" s="90"/>
      <c r="G33" s="75">
        <f t="shared" si="4"/>
        <v>0</v>
      </c>
      <c r="H33" s="89"/>
      <c r="I33" s="75">
        <f t="shared" si="5"/>
        <v>0</v>
      </c>
      <c r="J33" s="62"/>
      <c r="K33" s="106" t="s">
        <v>114</v>
      </c>
      <c r="L33" s="76"/>
    </row>
    <row r="34" spans="1:12" ht="18.75" x14ac:dyDescent="0.3">
      <c r="A34" s="170"/>
      <c r="B34" s="38">
        <f t="shared" si="6"/>
        <v>15</v>
      </c>
      <c r="C34" s="77" t="s">
        <v>110</v>
      </c>
      <c r="D34" s="87"/>
      <c r="E34" s="81" t="s">
        <v>98</v>
      </c>
      <c r="F34" s="79">
        <v>500000</v>
      </c>
      <c r="G34" s="75">
        <f t="shared" si="4"/>
        <v>300000</v>
      </c>
      <c r="H34" s="79">
        <v>300000</v>
      </c>
      <c r="I34" s="75">
        <f t="shared" si="5"/>
        <v>0</v>
      </c>
      <c r="J34" s="49" t="s">
        <v>63</v>
      </c>
      <c r="K34" s="92"/>
      <c r="L34" s="76"/>
    </row>
    <row r="35" spans="1:12" ht="18.75" x14ac:dyDescent="0.3">
      <c r="A35" s="170"/>
      <c r="B35" s="38">
        <f t="shared" si="6"/>
        <v>16</v>
      </c>
      <c r="C35" s="116" t="s">
        <v>109</v>
      </c>
      <c r="D35" s="116"/>
      <c r="E35" s="111" t="s">
        <v>35</v>
      </c>
      <c r="F35" s="117"/>
      <c r="G35" s="109">
        <f t="shared" si="4"/>
        <v>0</v>
      </c>
      <c r="H35" s="117"/>
      <c r="I35" s="109">
        <f t="shared" si="5"/>
        <v>0</v>
      </c>
      <c r="J35" s="48" t="s">
        <v>64</v>
      </c>
      <c r="K35" s="85" t="s">
        <v>113</v>
      </c>
      <c r="L35" s="80"/>
    </row>
    <row r="36" spans="1:12" ht="18.75" x14ac:dyDescent="0.3">
      <c r="A36" s="170"/>
      <c r="B36" s="38">
        <f t="shared" si="6"/>
        <v>17</v>
      </c>
      <c r="C36" s="93" t="s">
        <v>111</v>
      </c>
      <c r="D36" s="57"/>
      <c r="E36" s="81" t="s">
        <v>15</v>
      </c>
      <c r="F36" s="94">
        <v>1630000</v>
      </c>
      <c r="G36" s="75">
        <f t="shared" si="4"/>
        <v>978000</v>
      </c>
      <c r="H36" s="94">
        <v>978000</v>
      </c>
      <c r="I36" s="75">
        <f t="shared" si="5"/>
        <v>0</v>
      </c>
      <c r="J36" s="49" t="s">
        <v>63</v>
      </c>
      <c r="K36" s="96"/>
      <c r="L36" s="46"/>
    </row>
    <row r="37" spans="1:12" ht="18.75" x14ac:dyDescent="0.3">
      <c r="A37" s="170"/>
      <c r="B37" s="38">
        <f t="shared" si="6"/>
        <v>18</v>
      </c>
      <c r="C37" s="99"/>
      <c r="D37" s="43"/>
      <c r="E37" s="43"/>
      <c r="F37" s="100"/>
      <c r="G37" s="75">
        <f t="shared" si="4"/>
        <v>0</v>
      </c>
      <c r="H37" s="89"/>
      <c r="I37" s="75">
        <f t="shared" si="5"/>
        <v>0</v>
      </c>
      <c r="J37" s="83"/>
      <c r="K37" s="98"/>
      <c r="L37" s="47"/>
    </row>
    <row r="38" spans="1:12" ht="18.75" x14ac:dyDescent="0.3">
      <c r="A38" s="170"/>
      <c r="B38" s="38">
        <f t="shared" si="6"/>
        <v>19</v>
      </c>
      <c r="C38" s="99"/>
      <c r="D38" s="43"/>
      <c r="E38" s="43"/>
      <c r="F38" s="100"/>
      <c r="G38" s="75">
        <f t="shared" si="4"/>
        <v>0</v>
      </c>
      <c r="H38" s="89"/>
      <c r="I38" s="75">
        <f t="shared" ref="I38:I40" si="7">G38-H38</f>
        <v>0</v>
      </c>
      <c r="J38" s="83"/>
      <c r="K38" s="98"/>
      <c r="L38" s="47"/>
    </row>
    <row r="39" spans="1:12" ht="18.75" x14ac:dyDescent="0.3">
      <c r="A39" s="170"/>
      <c r="B39" s="38">
        <f t="shared" si="6"/>
        <v>20</v>
      </c>
      <c r="C39" s="99"/>
      <c r="D39" s="43"/>
      <c r="E39" s="43"/>
      <c r="F39" s="100"/>
      <c r="G39" s="75">
        <f t="shared" si="4"/>
        <v>0</v>
      </c>
      <c r="H39" s="89"/>
      <c r="I39" s="75">
        <f t="shared" si="7"/>
        <v>0</v>
      </c>
      <c r="J39" s="83"/>
      <c r="K39" s="98"/>
      <c r="L39" s="47"/>
    </row>
    <row r="40" spans="1:12" ht="18.75" x14ac:dyDescent="0.3">
      <c r="A40" s="170"/>
      <c r="B40" s="38">
        <f t="shared" si="6"/>
        <v>21</v>
      </c>
      <c r="C40" s="99"/>
      <c r="D40" s="43"/>
      <c r="E40" s="43"/>
      <c r="F40" s="100"/>
      <c r="G40" s="75">
        <f t="shared" si="4"/>
        <v>0</v>
      </c>
      <c r="H40" s="89"/>
      <c r="I40" s="75">
        <f t="shared" si="7"/>
        <v>0</v>
      </c>
      <c r="J40" s="83"/>
      <c r="K40" s="98"/>
      <c r="L40" s="47"/>
    </row>
    <row r="41" spans="1:12" ht="18.75" x14ac:dyDescent="0.3">
      <c r="A41" s="170"/>
      <c r="B41" s="38">
        <f t="shared" si="6"/>
        <v>22</v>
      </c>
      <c r="C41" s="99"/>
      <c r="D41" s="43"/>
      <c r="E41" s="43"/>
      <c r="F41" s="100"/>
      <c r="G41" s="75">
        <f t="shared" si="4"/>
        <v>0</v>
      </c>
      <c r="H41" s="89"/>
      <c r="I41" s="75">
        <f t="shared" ref="I41:I43" si="8">G41-H41</f>
        <v>0</v>
      </c>
      <c r="J41" s="83"/>
      <c r="K41" s="98"/>
      <c r="L41" s="47"/>
    </row>
    <row r="42" spans="1:12" ht="18.75" x14ac:dyDescent="0.3">
      <c r="A42" s="170"/>
      <c r="B42" s="38">
        <f t="shared" si="6"/>
        <v>23</v>
      </c>
      <c r="C42" s="99"/>
      <c r="D42" s="43"/>
      <c r="E42" s="43"/>
      <c r="F42" s="100"/>
      <c r="G42" s="75">
        <f t="shared" si="4"/>
        <v>0</v>
      </c>
      <c r="H42" s="89"/>
      <c r="I42" s="75">
        <f t="shared" si="8"/>
        <v>0</v>
      </c>
      <c r="J42" s="83"/>
      <c r="K42" s="98"/>
      <c r="L42" s="47"/>
    </row>
    <row r="43" spans="1:12" ht="18.75" x14ac:dyDescent="0.3">
      <c r="A43" s="170"/>
      <c r="B43" s="38">
        <f t="shared" si="6"/>
        <v>24</v>
      </c>
      <c r="C43" s="99"/>
      <c r="D43" s="43"/>
      <c r="E43" s="43"/>
      <c r="F43" s="100"/>
      <c r="G43" s="75">
        <f t="shared" si="4"/>
        <v>0</v>
      </c>
      <c r="H43" s="89"/>
      <c r="I43" s="75">
        <f t="shared" si="8"/>
        <v>0</v>
      </c>
      <c r="J43" s="83"/>
      <c r="K43" s="98"/>
      <c r="L43" s="47"/>
    </row>
    <row r="44" spans="1:12" ht="18.75" x14ac:dyDescent="0.3">
      <c r="A44" s="170"/>
      <c r="B44" s="38">
        <f t="shared" si="6"/>
        <v>25</v>
      </c>
      <c r="C44" s="99"/>
      <c r="D44" s="43"/>
      <c r="E44" s="43"/>
      <c r="F44" s="100"/>
      <c r="G44" s="75">
        <f t="shared" si="4"/>
        <v>0</v>
      </c>
      <c r="H44" s="89"/>
      <c r="I44" s="75">
        <f t="shared" ref="I44:I47" si="9">G44-H44</f>
        <v>0</v>
      </c>
      <c r="J44" s="83"/>
      <c r="K44" s="98"/>
      <c r="L44" s="47"/>
    </row>
    <row r="45" spans="1:12" ht="18.75" x14ac:dyDescent="0.3">
      <c r="A45" s="170"/>
      <c r="B45" s="38">
        <f t="shared" si="6"/>
        <v>26</v>
      </c>
      <c r="C45" s="99"/>
      <c r="D45" s="43"/>
      <c r="E45" s="43"/>
      <c r="F45" s="100"/>
      <c r="G45" s="75">
        <f t="shared" si="4"/>
        <v>0</v>
      </c>
      <c r="H45" s="89"/>
      <c r="I45" s="75">
        <f t="shared" si="9"/>
        <v>0</v>
      </c>
      <c r="J45" s="83"/>
      <c r="K45" s="98"/>
      <c r="L45" s="47"/>
    </row>
    <row r="46" spans="1:12" ht="18.75" x14ac:dyDescent="0.3">
      <c r="A46" s="170"/>
      <c r="B46" s="38">
        <f t="shared" si="6"/>
        <v>27</v>
      </c>
      <c r="C46" s="99"/>
      <c r="D46" s="43"/>
      <c r="E46" s="43"/>
      <c r="F46" s="100"/>
      <c r="G46" s="75">
        <f t="shared" si="4"/>
        <v>0</v>
      </c>
      <c r="H46" s="89"/>
      <c r="I46" s="75">
        <f t="shared" si="9"/>
        <v>0</v>
      </c>
      <c r="J46" s="83"/>
      <c r="K46" s="98"/>
      <c r="L46" s="47"/>
    </row>
    <row r="47" spans="1:12" ht="18.75" x14ac:dyDescent="0.3">
      <c r="A47" s="170"/>
      <c r="B47" s="38">
        <f t="shared" si="6"/>
        <v>28</v>
      </c>
      <c r="C47" s="99"/>
      <c r="D47" s="43"/>
      <c r="E47" s="43"/>
      <c r="F47" s="100"/>
      <c r="G47" s="75">
        <f t="shared" si="4"/>
        <v>0</v>
      </c>
      <c r="H47" s="89"/>
      <c r="I47" s="75">
        <f t="shared" si="9"/>
        <v>0</v>
      </c>
      <c r="J47" s="83"/>
      <c r="K47" s="98"/>
      <c r="L47" s="47"/>
    </row>
  </sheetData>
  <sheetProtection sheet="1" objects="1" scenarios="1"/>
  <mergeCells count="8">
    <mergeCell ref="A20:A47"/>
    <mergeCell ref="A7:A19"/>
    <mergeCell ref="B3:K3"/>
    <mergeCell ref="N10:O11"/>
    <mergeCell ref="P10:P11"/>
    <mergeCell ref="N12:O14"/>
    <mergeCell ref="P12:P14"/>
    <mergeCell ref="N15:O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A015-4E55-4C5A-A6A9-925DBA45A0C3}">
  <dimension ref="A3:Q47"/>
  <sheetViews>
    <sheetView zoomScale="70" zoomScaleNormal="70" workbookViewId="0">
      <selection activeCell="G30" sqref="G30:G31"/>
    </sheetView>
  </sheetViews>
  <sheetFormatPr defaultColWidth="9.140625" defaultRowHeight="15" x14ac:dyDescent="0.25"/>
  <cols>
    <col min="1" max="1" width="23.140625" style="1" customWidth="1"/>
    <col min="2" max="2" width="9.140625" style="1"/>
    <col min="3" max="3" width="37.7109375" style="1" customWidth="1"/>
    <col min="4" max="4" width="24.85546875" style="1" customWidth="1"/>
    <col min="5" max="5" width="19.5703125" style="1" customWidth="1"/>
    <col min="6" max="6" width="20.28515625" style="1" customWidth="1"/>
    <col min="7" max="7" width="19.5703125" style="1" customWidth="1"/>
    <col min="8" max="8" width="20.42578125" style="1" customWidth="1"/>
    <col min="9" max="9" width="18" style="1" customWidth="1"/>
    <col min="10" max="10" width="20" style="1" customWidth="1"/>
    <col min="11" max="11" width="39.85546875" style="1" customWidth="1"/>
    <col min="12" max="12" width="11.5703125" style="1" customWidth="1"/>
    <col min="13" max="13" width="5" style="1" customWidth="1"/>
    <col min="14" max="14" width="31.425781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6" ht="27.75" x14ac:dyDescent="0.25">
      <c r="B3" s="165" t="s">
        <v>30</v>
      </c>
      <c r="C3" s="165"/>
      <c r="D3" s="165"/>
      <c r="E3" s="165"/>
      <c r="F3" s="165"/>
      <c r="G3" s="165"/>
      <c r="H3" s="165"/>
      <c r="I3" s="165"/>
      <c r="J3" s="165"/>
      <c r="K3" s="165"/>
    </row>
    <row r="4" spans="1:16" ht="30.75" x14ac:dyDescent="0.25">
      <c r="C4" s="59"/>
      <c r="D4" s="59"/>
      <c r="E4" s="59"/>
      <c r="G4" s="58" t="s">
        <v>116</v>
      </c>
      <c r="I4" s="59"/>
      <c r="J4" s="59"/>
      <c r="K4" s="59"/>
    </row>
    <row r="5" spans="1:16" ht="12" customHeight="1" x14ac:dyDescent="0.25"/>
    <row r="6" spans="1:16" ht="53.25" customHeight="1" x14ac:dyDescent="0.25">
      <c r="A6" s="57"/>
      <c r="B6" s="65" t="s">
        <v>0</v>
      </c>
      <c r="C6" s="65" t="s">
        <v>1</v>
      </c>
      <c r="D6" s="65" t="s">
        <v>47</v>
      </c>
      <c r="E6" s="65" t="s">
        <v>46</v>
      </c>
      <c r="F6" s="65" t="s">
        <v>4</v>
      </c>
      <c r="G6" s="66" t="s">
        <v>94</v>
      </c>
      <c r="H6" s="65" t="s">
        <v>86</v>
      </c>
      <c r="I6" s="65" t="s">
        <v>87</v>
      </c>
      <c r="J6" s="65" t="s">
        <v>6</v>
      </c>
      <c r="K6" s="65" t="s">
        <v>33</v>
      </c>
      <c r="L6" s="65" t="s">
        <v>48</v>
      </c>
      <c r="N6" s="49" t="s">
        <v>63</v>
      </c>
    </row>
    <row r="7" spans="1:16" ht="23.25" customHeight="1" x14ac:dyDescent="0.25">
      <c r="A7" s="171" t="s">
        <v>90</v>
      </c>
      <c r="B7" s="38">
        <v>1</v>
      </c>
      <c r="C7" s="39" t="s">
        <v>91</v>
      </c>
      <c r="D7" s="40"/>
      <c r="E7" s="60" t="s">
        <v>76</v>
      </c>
      <c r="F7" s="41">
        <v>1300000</v>
      </c>
      <c r="G7" s="41">
        <f>IF(F7="",0,IF(F7&gt;1700000,F7*O$19,F7*O$18))</f>
        <v>780000</v>
      </c>
      <c r="H7" s="41">
        <v>780000</v>
      </c>
      <c r="I7" s="41">
        <f>G7-H7</f>
        <v>0</v>
      </c>
      <c r="J7" s="50" t="s">
        <v>25</v>
      </c>
      <c r="K7" s="95"/>
      <c r="L7" s="46"/>
      <c r="N7" s="50" t="s">
        <v>25</v>
      </c>
    </row>
    <row r="8" spans="1:16" ht="16.5" customHeight="1" x14ac:dyDescent="0.25">
      <c r="A8" s="172"/>
      <c r="B8" s="38">
        <f>B7+1</f>
        <v>2</v>
      </c>
      <c r="C8" s="39" t="s">
        <v>101</v>
      </c>
      <c r="D8" s="45"/>
      <c r="E8" s="72" t="s">
        <v>65</v>
      </c>
      <c r="F8" s="41">
        <v>1235000</v>
      </c>
      <c r="G8" s="41">
        <f>IF(F8="",0,IF(F8&gt;1700000,F8*O$19,F8*O$18))</f>
        <v>741000</v>
      </c>
      <c r="H8" s="41">
        <v>620000</v>
      </c>
      <c r="I8" s="41">
        <f t="shared" ref="I8:I18" si="0">G8-H8</f>
        <v>121000</v>
      </c>
      <c r="J8" s="50" t="s">
        <v>25</v>
      </c>
      <c r="K8" s="96"/>
      <c r="L8" s="46"/>
      <c r="N8" s="48" t="s">
        <v>64</v>
      </c>
    </row>
    <row r="9" spans="1:16" ht="16.5" customHeight="1" x14ac:dyDescent="0.25">
      <c r="A9" s="172"/>
      <c r="B9" s="38">
        <f t="shared" ref="B9:B18" si="1">B8+1</f>
        <v>3</v>
      </c>
      <c r="C9" s="39" t="s">
        <v>102</v>
      </c>
      <c r="D9" s="40"/>
      <c r="E9" s="71" t="s">
        <v>71</v>
      </c>
      <c r="F9" s="41">
        <v>800000</v>
      </c>
      <c r="G9" s="41">
        <f>IF(F9="",0,IF(F9&gt;1700000,F9*O$19,F9*O$18))</f>
        <v>480000</v>
      </c>
      <c r="H9" s="44"/>
      <c r="I9" s="41">
        <f t="shared" si="0"/>
        <v>480000</v>
      </c>
      <c r="J9" s="48" t="s">
        <v>64</v>
      </c>
      <c r="K9" s="96" t="s">
        <v>117</v>
      </c>
      <c r="L9" s="47"/>
    </row>
    <row r="10" spans="1:16" ht="16.5" customHeight="1" x14ac:dyDescent="0.25">
      <c r="A10" s="172"/>
      <c r="B10" s="38">
        <f>B9+1</f>
        <v>4</v>
      </c>
      <c r="C10" s="42" t="s">
        <v>92</v>
      </c>
      <c r="D10" s="43"/>
      <c r="E10" s="60" t="s">
        <v>76</v>
      </c>
      <c r="F10" s="44">
        <v>1200000</v>
      </c>
      <c r="G10" s="41">
        <f>IF(F10="",0,IF(F10&gt;1700000,F10*O$19,F10*O$18))</f>
        <v>720000</v>
      </c>
      <c r="H10" s="44">
        <v>720000</v>
      </c>
      <c r="I10" s="41">
        <f t="shared" si="0"/>
        <v>0</v>
      </c>
      <c r="J10" s="50" t="s">
        <v>25</v>
      </c>
      <c r="K10" s="96"/>
      <c r="L10" s="46"/>
      <c r="N10" s="174" t="s">
        <v>28</v>
      </c>
      <c r="O10" s="174"/>
      <c r="P10" s="175">
        <f>SUM(F7:F1006)</f>
        <v>30573000</v>
      </c>
    </row>
    <row r="11" spans="1:16" ht="16.5" customHeight="1" x14ac:dyDescent="0.25">
      <c r="A11" s="172"/>
      <c r="B11" s="38">
        <f t="shared" si="1"/>
        <v>5</v>
      </c>
      <c r="C11" s="42" t="s">
        <v>112</v>
      </c>
      <c r="D11" s="43"/>
      <c r="E11" s="60" t="s">
        <v>76</v>
      </c>
      <c r="F11" s="44">
        <v>150000</v>
      </c>
      <c r="G11" s="41">
        <f>IF(F11="",0,IF(F11&gt;1700000,F11*O$19,F11*O$18))</f>
        <v>90000</v>
      </c>
      <c r="H11" s="44">
        <v>90000</v>
      </c>
      <c r="I11" s="41">
        <f t="shared" si="0"/>
        <v>0</v>
      </c>
      <c r="J11" s="50" t="s">
        <v>25</v>
      </c>
      <c r="K11" s="96"/>
      <c r="L11" s="46"/>
      <c r="N11" s="174"/>
      <c r="O11" s="174"/>
      <c r="P11" s="175"/>
    </row>
    <row r="12" spans="1:16" ht="16.5" customHeight="1" x14ac:dyDescent="0.25">
      <c r="A12" s="172"/>
      <c r="B12" s="38">
        <f t="shared" si="1"/>
        <v>6</v>
      </c>
      <c r="C12" s="42" t="s">
        <v>96</v>
      </c>
      <c r="D12" s="43"/>
      <c r="E12" s="60" t="s">
        <v>76</v>
      </c>
      <c r="F12" s="44"/>
      <c r="G12" s="41">
        <f t="shared" ref="G12:G18" si="2">IF(F12="",0,IF(F12&gt;1700000,F12*O$19,F12*O$18))</f>
        <v>0</v>
      </c>
      <c r="H12" s="44"/>
      <c r="I12" s="41">
        <f t="shared" si="0"/>
        <v>0</v>
      </c>
      <c r="J12" s="62"/>
      <c r="K12" s="96"/>
      <c r="L12" s="46"/>
      <c r="N12" s="176" t="s">
        <v>95</v>
      </c>
      <c r="O12" s="176"/>
      <c r="P12" s="175">
        <f>SUM(G7:G1006)</f>
        <v>16022500</v>
      </c>
    </row>
    <row r="13" spans="1:16" ht="22.5" customHeight="1" x14ac:dyDescent="0.25">
      <c r="A13" s="172"/>
      <c r="B13" s="38">
        <f t="shared" si="1"/>
        <v>7</v>
      </c>
      <c r="C13" s="42" t="s">
        <v>96</v>
      </c>
      <c r="D13" s="43"/>
      <c r="E13" s="60" t="s">
        <v>76</v>
      </c>
      <c r="F13" s="44"/>
      <c r="G13" s="41">
        <f t="shared" si="2"/>
        <v>0</v>
      </c>
      <c r="H13" s="44"/>
      <c r="I13" s="41">
        <f t="shared" si="0"/>
        <v>0</v>
      </c>
      <c r="J13" s="62"/>
      <c r="K13" s="96"/>
      <c r="L13" s="46"/>
      <c r="N13" s="176"/>
      <c r="O13" s="176"/>
      <c r="P13" s="175"/>
    </row>
    <row r="14" spans="1:16" ht="16.5" customHeight="1" x14ac:dyDescent="0.25">
      <c r="A14" s="172"/>
      <c r="B14" s="38">
        <f t="shared" si="1"/>
        <v>8</v>
      </c>
      <c r="C14" s="42" t="s">
        <v>96</v>
      </c>
      <c r="D14" s="43"/>
      <c r="E14" s="60" t="s">
        <v>76</v>
      </c>
      <c r="F14" s="44"/>
      <c r="G14" s="41">
        <f t="shared" si="2"/>
        <v>0</v>
      </c>
      <c r="H14" s="44"/>
      <c r="I14" s="41">
        <f t="shared" si="0"/>
        <v>0</v>
      </c>
      <c r="J14" s="62"/>
      <c r="K14" s="96"/>
      <c r="L14" s="46"/>
      <c r="N14" s="176"/>
      <c r="O14" s="176"/>
      <c r="P14" s="175"/>
    </row>
    <row r="15" spans="1:16" ht="22.5" customHeight="1" x14ac:dyDescent="0.3">
      <c r="A15" s="172"/>
      <c r="B15" s="38">
        <f>B14+1</f>
        <v>9</v>
      </c>
      <c r="C15" s="42" t="s">
        <v>96</v>
      </c>
      <c r="D15" s="43"/>
      <c r="E15" s="60" t="s">
        <v>76</v>
      </c>
      <c r="F15" s="44"/>
      <c r="G15" s="41">
        <f t="shared" si="2"/>
        <v>0</v>
      </c>
      <c r="H15" s="44"/>
      <c r="I15" s="41">
        <f t="shared" si="0"/>
        <v>0</v>
      </c>
      <c r="J15" s="62"/>
      <c r="K15" s="96"/>
      <c r="L15" s="46"/>
      <c r="N15" s="177" t="s">
        <v>88</v>
      </c>
      <c r="O15" s="177"/>
      <c r="P15" s="67">
        <f>SUM(H7:H1006)</f>
        <v>15420500</v>
      </c>
    </row>
    <row r="16" spans="1:16" ht="16.5" customHeight="1" x14ac:dyDescent="0.25">
      <c r="A16" s="172"/>
      <c r="B16" s="38">
        <f t="shared" si="1"/>
        <v>10</v>
      </c>
      <c r="C16" s="42" t="s">
        <v>96</v>
      </c>
      <c r="D16" s="43"/>
      <c r="E16" s="60" t="s">
        <v>76</v>
      </c>
      <c r="F16" s="44"/>
      <c r="G16" s="41">
        <f t="shared" si="2"/>
        <v>0</v>
      </c>
      <c r="H16" s="44"/>
      <c r="I16" s="41">
        <f t="shared" si="0"/>
        <v>0</v>
      </c>
      <c r="J16" s="62"/>
      <c r="K16" s="96"/>
      <c r="L16" s="46"/>
    </row>
    <row r="17" spans="1:17" ht="16.5" customHeight="1" x14ac:dyDescent="0.25">
      <c r="A17" s="172"/>
      <c r="B17" s="38">
        <f t="shared" si="1"/>
        <v>11</v>
      </c>
      <c r="C17" s="42" t="s">
        <v>96</v>
      </c>
      <c r="D17" s="43"/>
      <c r="E17" s="60" t="s">
        <v>76</v>
      </c>
      <c r="F17" s="44"/>
      <c r="G17" s="41">
        <f t="shared" si="2"/>
        <v>0</v>
      </c>
      <c r="H17" s="44"/>
      <c r="I17" s="41">
        <f t="shared" si="0"/>
        <v>0</v>
      </c>
      <c r="J17" s="62"/>
      <c r="K17" s="96"/>
      <c r="L17" s="46"/>
    </row>
    <row r="18" spans="1:17" ht="16.5" customHeight="1" x14ac:dyDescent="0.3">
      <c r="A18" s="172"/>
      <c r="B18" s="38">
        <f t="shared" si="1"/>
        <v>12</v>
      </c>
      <c r="C18" s="42" t="s">
        <v>96</v>
      </c>
      <c r="D18" s="43"/>
      <c r="E18" s="60" t="s">
        <v>76</v>
      </c>
      <c r="F18" s="44"/>
      <c r="G18" s="41">
        <f t="shared" si="2"/>
        <v>0</v>
      </c>
      <c r="H18" s="44"/>
      <c r="I18" s="41">
        <f t="shared" si="0"/>
        <v>0</v>
      </c>
      <c r="J18" s="62"/>
      <c r="K18" s="96"/>
      <c r="L18" s="46"/>
      <c r="N18" s="64" t="s">
        <v>60</v>
      </c>
      <c r="O18" s="68">
        <v>0.6</v>
      </c>
      <c r="Q18" s="70" t="s">
        <v>99</v>
      </c>
    </row>
    <row r="19" spans="1:17" ht="16.5" customHeight="1" x14ac:dyDescent="0.3">
      <c r="A19" s="173"/>
      <c r="B19" s="51"/>
      <c r="C19" s="52"/>
      <c r="D19" s="51"/>
      <c r="E19" s="53"/>
      <c r="F19" s="54"/>
      <c r="G19" s="54"/>
      <c r="H19" s="63"/>
      <c r="I19" s="61"/>
      <c r="J19" s="55"/>
      <c r="K19" s="97"/>
      <c r="L19" s="56"/>
      <c r="N19" s="64" t="s">
        <v>60</v>
      </c>
      <c r="O19" s="69">
        <v>0.5</v>
      </c>
      <c r="Q19" s="70" t="s">
        <v>100</v>
      </c>
    </row>
    <row r="20" spans="1:17" ht="16.5" customHeight="1" x14ac:dyDescent="0.25">
      <c r="A20" s="169" t="s">
        <v>89</v>
      </c>
      <c r="B20" s="38">
        <v>1</v>
      </c>
      <c r="C20" s="73" t="s">
        <v>39</v>
      </c>
      <c r="D20" s="74"/>
      <c r="E20" s="74" t="s">
        <v>13</v>
      </c>
      <c r="F20" s="75">
        <v>2320000</v>
      </c>
      <c r="G20" s="75">
        <f t="shared" ref="G20:G47" si="3">IF(F20="",0,IF(F20&gt;=1700000,F20*O$19,F20*O$18))</f>
        <v>1160000</v>
      </c>
      <c r="H20" s="75">
        <v>1160000</v>
      </c>
      <c r="I20" s="75">
        <f t="shared" ref="I20:I47" si="4">G20-H20</f>
        <v>0</v>
      </c>
      <c r="J20" s="49" t="s">
        <v>63</v>
      </c>
      <c r="K20" s="85"/>
      <c r="L20" s="76"/>
    </row>
    <row r="21" spans="1:17" ht="16.5" customHeight="1" x14ac:dyDescent="0.25">
      <c r="A21" s="170"/>
      <c r="B21" s="38">
        <f>B20+1</f>
        <v>2</v>
      </c>
      <c r="C21" s="77" t="s">
        <v>62</v>
      </c>
      <c r="D21" s="78"/>
      <c r="E21" s="78" t="s">
        <v>105</v>
      </c>
      <c r="F21" s="79">
        <v>500000</v>
      </c>
      <c r="G21" s="75">
        <f t="shared" si="3"/>
        <v>300000</v>
      </c>
      <c r="H21" s="79">
        <v>300000</v>
      </c>
      <c r="I21" s="75">
        <f t="shared" si="4"/>
        <v>0</v>
      </c>
      <c r="J21" s="49" t="s">
        <v>63</v>
      </c>
      <c r="K21" s="85"/>
      <c r="L21" s="80"/>
    </row>
    <row r="22" spans="1:17" ht="16.5" customHeight="1" x14ac:dyDescent="0.25">
      <c r="A22" s="170"/>
      <c r="B22" s="38">
        <f t="shared" ref="B22:B47" si="5">B21+1</f>
        <v>3</v>
      </c>
      <c r="C22" s="73" t="s">
        <v>42</v>
      </c>
      <c r="D22" s="81"/>
      <c r="E22" s="81" t="s">
        <v>21</v>
      </c>
      <c r="F22" s="75">
        <v>2320000</v>
      </c>
      <c r="G22" s="75">
        <f t="shared" si="3"/>
        <v>1160000</v>
      </c>
      <c r="H22" s="79">
        <v>1160000</v>
      </c>
      <c r="I22" s="75">
        <f t="shared" si="4"/>
        <v>0</v>
      </c>
      <c r="J22" s="49" t="s">
        <v>63</v>
      </c>
      <c r="K22" s="85"/>
      <c r="L22" s="82"/>
    </row>
    <row r="23" spans="1:17" ht="16.5" customHeight="1" x14ac:dyDescent="0.25">
      <c r="A23" s="170"/>
      <c r="B23" s="38">
        <f t="shared" si="5"/>
        <v>4</v>
      </c>
      <c r="C23" s="73"/>
      <c r="D23" s="81"/>
      <c r="E23" s="81"/>
      <c r="F23" s="75"/>
      <c r="G23" s="75">
        <f t="shared" si="3"/>
        <v>0</v>
      </c>
      <c r="H23" s="75"/>
      <c r="I23" s="75">
        <f t="shared" si="4"/>
        <v>0</v>
      </c>
      <c r="J23" s="62"/>
      <c r="K23" s="84"/>
      <c r="L23" s="76"/>
    </row>
    <row r="24" spans="1:17" ht="16.5" customHeight="1" x14ac:dyDescent="0.25">
      <c r="A24" s="170"/>
      <c r="B24" s="38">
        <f t="shared" si="5"/>
        <v>5</v>
      </c>
      <c r="C24" s="73" t="s">
        <v>68</v>
      </c>
      <c r="D24" s="81"/>
      <c r="E24" s="81" t="s">
        <v>26</v>
      </c>
      <c r="F24" s="75">
        <v>1700000</v>
      </c>
      <c r="G24" s="75">
        <f t="shared" si="3"/>
        <v>850000</v>
      </c>
      <c r="H24" s="79">
        <v>850000</v>
      </c>
      <c r="I24" s="75">
        <f t="shared" si="4"/>
        <v>0</v>
      </c>
      <c r="J24" s="49" t="s">
        <v>63</v>
      </c>
      <c r="K24" s="85"/>
      <c r="L24" s="82"/>
    </row>
    <row r="25" spans="1:17" ht="16.5" customHeight="1" x14ac:dyDescent="0.25">
      <c r="A25" s="170"/>
      <c r="B25" s="38">
        <f t="shared" si="5"/>
        <v>6</v>
      </c>
      <c r="C25" s="73" t="s">
        <v>107</v>
      </c>
      <c r="D25" s="81"/>
      <c r="E25" s="81" t="s">
        <v>53</v>
      </c>
      <c r="F25" s="75">
        <v>1105000</v>
      </c>
      <c r="G25" s="75">
        <f t="shared" si="3"/>
        <v>663000</v>
      </c>
      <c r="H25" s="79">
        <v>663000</v>
      </c>
      <c r="I25" s="75">
        <f t="shared" si="4"/>
        <v>0</v>
      </c>
      <c r="J25" s="49" t="s">
        <v>63</v>
      </c>
      <c r="K25" s="84"/>
      <c r="L25" s="76"/>
    </row>
    <row r="26" spans="1:17" ht="22.15" customHeight="1" x14ac:dyDescent="0.25">
      <c r="A26" s="170"/>
      <c r="B26" s="38">
        <f t="shared" si="5"/>
        <v>7</v>
      </c>
      <c r="C26" s="73" t="s">
        <v>49</v>
      </c>
      <c r="D26" s="76"/>
      <c r="E26" s="76" t="s">
        <v>104</v>
      </c>
      <c r="F26" s="75">
        <v>1700000</v>
      </c>
      <c r="G26" s="75">
        <f t="shared" si="3"/>
        <v>850000</v>
      </c>
      <c r="H26" s="75">
        <v>850000</v>
      </c>
      <c r="I26" s="75">
        <f t="shared" si="4"/>
        <v>0</v>
      </c>
      <c r="J26" s="49" t="s">
        <v>63</v>
      </c>
      <c r="K26" s="85"/>
      <c r="L26" s="76"/>
    </row>
    <row r="27" spans="1:17" ht="20.45" customHeight="1" x14ac:dyDescent="0.25">
      <c r="A27" s="170"/>
      <c r="B27" s="38">
        <f t="shared" si="5"/>
        <v>8</v>
      </c>
      <c r="C27" s="77" t="s">
        <v>75</v>
      </c>
      <c r="D27" s="80"/>
      <c r="E27" s="76" t="s">
        <v>70</v>
      </c>
      <c r="F27" s="79">
        <v>3155000</v>
      </c>
      <c r="G27" s="75">
        <f t="shared" si="3"/>
        <v>1577500</v>
      </c>
      <c r="H27" s="75">
        <v>1577500</v>
      </c>
      <c r="I27" s="75">
        <f t="shared" si="4"/>
        <v>0</v>
      </c>
      <c r="J27" s="49" t="s">
        <v>63</v>
      </c>
      <c r="K27" s="85"/>
      <c r="L27" s="76"/>
    </row>
    <row r="28" spans="1:17" ht="16.5" customHeight="1" x14ac:dyDescent="0.3">
      <c r="A28" s="170"/>
      <c r="B28" s="38">
        <f t="shared" si="5"/>
        <v>9</v>
      </c>
      <c r="C28" s="77" t="s">
        <v>103</v>
      </c>
      <c r="D28" s="87"/>
      <c r="E28" s="86" t="s">
        <v>76</v>
      </c>
      <c r="F28" s="79">
        <v>2065000</v>
      </c>
      <c r="G28" s="75">
        <f t="shared" si="3"/>
        <v>1032500</v>
      </c>
      <c r="H28" s="79">
        <v>1032000</v>
      </c>
      <c r="I28" s="75">
        <f t="shared" si="4"/>
        <v>500</v>
      </c>
      <c r="J28" s="49" t="s">
        <v>63</v>
      </c>
      <c r="K28" s="91"/>
      <c r="L28" s="76"/>
    </row>
    <row r="29" spans="1:17" ht="16.5" customHeight="1" x14ac:dyDescent="0.3">
      <c r="A29" s="170"/>
      <c r="B29" s="38">
        <f t="shared" si="5"/>
        <v>10</v>
      </c>
      <c r="C29" s="87"/>
      <c r="D29" s="87"/>
      <c r="E29" s="87"/>
      <c r="F29" s="118"/>
      <c r="G29" s="75">
        <f t="shared" si="3"/>
        <v>0</v>
      </c>
      <c r="H29" s="118"/>
      <c r="I29" s="75">
        <f t="shared" si="4"/>
        <v>0</v>
      </c>
      <c r="J29" s="62"/>
      <c r="K29" s="106"/>
      <c r="L29" s="93"/>
    </row>
    <row r="30" spans="1:17" ht="16.5" customHeight="1" x14ac:dyDescent="0.25">
      <c r="A30" s="170"/>
      <c r="B30" s="38">
        <f t="shared" si="5"/>
        <v>11</v>
      </c>
      <c r="C30" s="88" t="s">
        <v>93</v>
      </c>
      <c r="D30" s="74"/>
      <c r="E30" s="81" t="s">
        <v>24</v>
      </c>
      <c r="F30" s="89">
        <v>1900000</v>
      </c>
      <c r="G30" s="75">
        <f t="shared" si="3"/>
        <v>950000</v>
      </c>
      <c r="H30" s="119">
        <v>950000</v>
      </c>
      <c r="I30" s="75">
        <f t="shared" si="4"/>
        <v>0</v>
      </c>
      <c r="J30" s="49" t="s">
        <v>63</v>
      </c>
      <c r="K30" s="85"/>
      <c r="L30" s="80"/>
    </row>
    <row r="31" spans="1:17" ht="15" customHeight="1" x14ac:dyDescent="0.3">
      <c r="A31" s="170"/>
      <c r="B31" s="38">
        <f t="shared" si="5"/>
        <v>12</v>
      </c>
      <c r="C31" s="88" t="s">
        <v>97</v>
      </c>
      <c r="D31" s="81"/>
      <c r="E31" s="76" t="s">
        <v>106</v>
      </c>
      <c r="F31" s="89">
        <v>2070000</v>
      </c>
      <c r="G31" s="75">
        <f t="shared" si="3"/>
        <v>1035000</v>
      </c>
      <c r="H31" s="89">
        <v>1035000</v>
      </c>
      <c r="I31" s="75">
        <f t="shared" si="4"/>
        <v>0</v>
      </c>
      <c r="J31" s="49" t="s">
        <v>63</v>
      </c>
      <c r="K31" s="106"/>
      <c r="L31" s="93"/>
    </row>
    <row r="32" spans="1:17" ht="15" customHeight="1" x14ac:dyDescent="0.3">
      <c r="A32" s="170"/>
      <c r="B32" s="38">
        <f t="shared" si="5"/>
        <v>13</v>
      </c>
      <c r="C32" s="88" t="s">
        <v>108</v>
      </c>
      <c r="D32" s="78"/>
      <c r="E32" s="81" t="s">
        <v>52</v>
      </c>
      <c r="F32" s="75">
        <v>1070000</v>
      </c>
      <c r="G32" s="75">
        <f t="shared" si="3"/>
        <v>642000</v>
      </c>
      <c r="H32" s="75">
        <v>642000</v>
      </c>
      <c r="I32" s="75">
        <f t="shared" si="4"/>
        <v>0</v>
      </c>
      <c r="J32" s="49" t="s">
        <v>63</v>
      </c>
      <c r="K32" s="106"/>
      <c r="L32" s="93"/>
    </row>
    <row r="33" spans="1:12" ht="18.75" customHeight="1" x14ac:dyDescent="0.3">
      <c r="A33" s="170"/>
      <c r="B33" s="38">
        <f t="shared" si="5"/>
        <v>14</v>
      </c>
      <c r="C33" s="73"/>
      <c r="D33" s="74"/>
      <c r="E33" s="74" t="s">
        <v>16</v>
      </c>
      <c r="F33" s="90"/>
      <c r="G33" s="75">
        <f t="shared" si="3"/>
        <v>0</v>
      </c>
      <c r="H33" s="89"/>
      <c r="I33" s="75">
        <f t="shared" si="4"/>
        <v>0</v>
      </c>
      <c r="J33" s="62"/>
      <c r="K33" s="106"/>
      <c r="L33" s="76"/>
    </row>
    <row r="34" spans="1:12" ht="18.75" x14ac:dyDescent="0.3">
      <c r="A34" s="170"/>
      <c r="B34" s="38">
        <f t="shared" si="5"/>
        <v>15</v>
      </c>
      <c r="C34" s="77" t="s">
        <v>110</v>
      </c>
      <c r="D34" s="87"/>
      <c r="E34" s="81" t="s">
        <v>98</v>
      </c>
      <c r="F34" s="79">
        <v>1910000</v>
      </c>
      <c r="G34" s="75">
        <f t="shared" si="3"/>
        <v>955000</v>
      </c>
      <c r="H34" s="79">
        <v>955000</v>
      </c>
      <c r="I34" s="75">
        <f t="shared" si="4"/>
        <v>0</v>
      </c>
      <c r="J34" s="49" t="s">
        <v>63</v>
      </c>
      <c r="K34" s="92"/>
      <c r="L34" s="76"/>
    </row>
    <row r="35" spans="1:12" ht="18.75" x14ac:dyDescent="0.3">
      <c r="A35" s="170"/>
      <c r="B35" s="38">
        <f t="shared" si="5"/>
        <v>16</v>
      </c>
      <c r="C35" s="87" t="s">
        <v>109</v>
      </c>
      <c r="D35" s="87"/>
      <c r="E35" s="81" t="s">
        <v>35</v>
      </c>
      <c r="F35" s="118">
        <v>1890000</v>
      </c>
      <c r="G35" s="75">
        <f t="shared" si="3"/>
        <v>945000</v>
      </c>
      <c r="H35" s="118">
        <v>945000</v>
      </c>
      <c r="I35" s="75">
        <f t="shared" si="4"/>
        <v>0</v>
      </c>
      <c r="J35" s="49" t="s">
        <v>63</v>
      </c>
      <c r="K35" s="85"/>
      <c r="L35" s="80"/>
    </row>
    <row r="36" spans="1:12" ht="18.75" x14ac:dyDescent="0.3">
      <c r="A36" s="170"/>
      <c r="B36" s="38">
        <f t="shared" si="5"/>
        <v>17</v>
      </c>
      <c r="C36" s="87" t="s">
        <v>111</v>
      </c>
      <c r="D36" s="120"/>
      <c r="E36" s="81" t="s">
        <v>15</v>
      </c>
      <c r="F36" s="118">
        <v>2183000</v>
      </c>
      <c r="G36" s="75">
        <f t="shared" si="3"/>
        <v>1091500</v>
      </c>
      <c r="H36" s="118">
        <v>1091000</v>
      </c>
      <c r="I36" s="75">
        <f t="shared" si="4"/>
        <v>500</v>
      </c>
      <c r="J36" s="49" t="s">
        <v>63</v>
      </c>
      <c r="K36" s="96"/>
      <c r="L36" s="46"/>
    </row>
    <row r="37" spans="1:12" ht="18.75" x14ac:dyDescent="0.3">
      <c r="A37" s="170"/>
      <c r="B37" s="38">
        <f t="shared" si="5"/>
        <v>18</v>
      </c>
      <c r="C37" s="99"/>
      <c r="D37" s="43"/>
      <c r="E37" s="43"/>
      <c r="F37" s="100"/>
      <c r="G37" s="75">
        <f t="shared" si="3"/>
        <v>0</v>
      </c>
      <c r="H37" s="89"/>
      <c r="I37" s="75">
        <f t="shared" si="4"/>
        <v>0</v>
      </c>
      <c r="J37" s="83"/>
      <c r="K37" s="98"/>
      <c r="L37" s="47"/>
    </row>
    <row r="38" spans="1:12" ht="18.75" x14ac:dyDescent="0.3">
      <c r="A38" s="170"/>
      <c r="B38" s="38">
        <f t="shared" si="5"/>
        <v>19</v>
      </c>
      <c r="C38" s="99"/>
      <c r="D38" s="43"/>
      <c r="E38" s="43"/>
      <c r="F38" s="100"/>
      <c r="G38" s="75">
        <f t="shared" si="3"/>
        <v>0</v>
      </c>
      <c r="H38" s="89"/>
      <c r="I38" s="75">
        <f t="shared" si="4"/>
        <v>0</v>
      </c>
      <c r="J38" s="83"/>
      <c r="K38" s="98"/>
      <c r="L38" s="47"/>
    </row>
    <row r="39" spans="1:12" ht="18.75" x14ac:dyDescent="0.3">
      <c r="A39" s="170"/>
      <c r="B39" s="38">
        <f t="shared" si="5"/>
        <v>20</v>
      </c>
      <c r="C39" s="99"/>
      <c r="D39" s="43"/>
      <c r="E39" s="43"/>
      <c r="F39" s="100"/>
      <c r="G39" s="75">
        <f t="shared" si="3"/>
        <v>0</v>
      </c>
      <c r="H39" s="89"/>
      <c r="I39" s="75">
        <f t="shared" si="4"/>
        <v>0</v>
      </c>
      <c r="J39" s="83"/>
      <c r="K39" s="98"/>
      <c r="L39" s="47"/>
    </row>
    <row r="40" spans="1:12" ht="18.75" x14ac:dyDescent="0.3">
      <c r="A40" s="170"/>
      <c r="B40" s="38">
        <f t="shared" si="5"/>
        <v>21</v>
      </c>
      <c r="C40" s="99"/>
      <c r="D40" s="43"/>
      <c r="E40" s="43"/>
      <c r="F40" s="100"/>
      <c r="G40" s="75">
        <f t="shared" si="3"/>
        <v>0</v>
      </c>
      <c r="H40" s="89"/>
      <c r="I40" s="75">
        <f t="shared" si="4"/>
        <v>0</v>
      </c>
      <c r="J40" s="83"/>
      <c r="K40" s="98"/>
      <c r="L40" s="47"/>
    </row>
    <row r="41" spans="1:12" ht="18.75" x14ac:dyDescent="0.3">
      <c r="A41" s="170"/>
      <c r="B41" s="38">
        <f t="shared" si="5"/>
        <v>22</v>
      </c>
      <c r="C41" s="99"/>
      <c r="D41" s="43"/>
      <c r="E41" s="43"/>
      <c r="F41" s="100"/>
      <c r="G41" s="75">
        <f t="shared" si="3"/>
        <v>0</v>
      </c>
      <c r="H41" s="89"/>
      <c r="I41" s="75">
        <f t="shared" si="4"/>
        <v>0</v>
      </c>
      <c r="J41" s="83"/>
      <c r="K41" s="98"/>
      <c r="L41" s="47"/>
    </row>
    <row r="42" spans="1:12" ht="18.75" x14ac:dyDescent="0.3">
      <c r="A42" s="170"/>
      <c r="B42" s="38">
        <f t="shared" si="5"/>
        <v>23</v>
      </c>
      <c r="C42" s="99"/>
      <c r="D42" s="43"/>
      <c r="E42" s="43"/>
      <c r="F42" s="100"/>
      <c r="G42" s="75">
        <f t="shared" si="3"/>
        <v>0</v>
      </c>
      <c r="H42" s="89"/>
      <c r="I42" s="75">
        <f t="shared" si="4"/>
        <v>0</v>
      </c>
      <c r="J42" s="83"/>
      <c r="K42" s="98"/>
      <c r="L42" s="47"/>
    </row>
    <row r="43" spans="1:12" ht="18.75" x14ac:dyDescent="0.3">
      <c r="A43" s="170"/>
      <c r="B43" s="38">
        <f t="shared" si="5"/>
        <v>24</v>
      </c>
      <c r="C43" s="99"/>
      <c r="D43" s="43"/>
      <c r="E43" s="43"/>
      <c r="F43" s="100"/>
      <c r="G43" s="75">
        <f t="shared" si="3"/>
        <v>0</v>
      </c>
      <c r="H43" s="89"/>
      <c r="I43" s="75">
        <f t="shared" si="4"/>
        <v>0</v>
      </c>
      <c r="J43" s="83"/>
      <c r="K43" s="98"/>
      <c r="L43" s="47"/>
    </row>
    <row r="44" spans="1:12" ht="18.75" x14ac:dyDescent="0.3">
      <c r="A44" s="170"/>
      <c r="B44" s="38">
        <f t="shared" si="5"/>
        <v>25</v>
      </c>
      <c r="C44" s="99"/>
      <c r="D44" s="43"/>
      <c r="E44" s="43"/>
      <c r="F44" s="100"/>
      <c r="G44" s="75">
        <f t="shared" si="3"/>
        <v>0</v>
      </c>
      <c r="H44" s="89"/>
      <c r="I44" s="75">
        <f t="shared" si="4"/>
        <v>0</v>
      </c>
      <c r="J44" s="83"/>
      <c r="K44" s="98"/>
      <c r="L44" s="47"/>
    </row>
    <row r="45" spans="1:12" ht="18.75" x14ac:dyDescent="0.3">
      <c r="A45" s="170"/>
      <c r="B45" s="38">
        <f t="shared" si="5"/>
        <v>26</v>
      </c>
      <c r="C45" s="99"/>
      <c r="D45" s="43"/>
      <c r="E45" s="43"/>
      <c r="F45" s="100"/>
      <c r="G45" s="75">
        <f t="shared" si="3"/>
        <v>0</v>
      </c>
      <c r="H45" s="89"/>
      <c r="I45" s="75">
        <f t="shared" si="4"/>
        <v>0</v>
      </c>
      <c r="J45" s="83"/>
      <c r="K45" s="98"/>
      <c r="L45" s="47"/>
    </row>
    <row r="46" spans="1:12" ht="18.75" x14ac:dyDescent="0.3">
      <c r="A46" s="170"/>
      <c r="B46" s="38">
        <f t="shared" si="5"/>
        <v>27</v>
      </c>
      <c r="C46" s="99"/>
      <c r="D46" s="43"/>
      <c r="E46" s="43"/>
      <c r="F46" s="100"/>
      <c r="G46" s="75">
        <f t="shared" si="3"/>
        <v>0</v>
      </c>
      <c r="H46" s="89"/>
      <c r="I46" s="75">
        <f t="shared" si="4"/>
        <v>0</v>
      </c>
      <c r="J46" s="83"/>
      <c r="K46" s="98"/>
      <c r="L46" s="47"/>
    </row>
    <row r="47" spans="1:12" ht="18.75" x14ac:dyDescent="0.3">
      <c r="A47" s="170"/>
      <c r="B47" s="38">
        <f t="shared" si="5"/>
        <v>28</v>
      </c>
      <c r="C47" s="99"/>
      <c r="D47" s="43"/>
      <c r="E47" s="43"/>
      <c r="F47" s="100"/>
      <c r="G47" s="75">
        <f t="shared" si="3"/>
        <v>0</v>
      </c>
      <c r="H47" s="89"/>
      <c r="I47" s="75">
        <f t="shared" si="4"/>
        <v>0</v>
      </c>
      <c r="J47" s="83"/>
      <c r="K47" s="98"/>
      <c r="L47" s="47"/>
    </row>
  </sheetData>
  <sheetProtection sheet="1" objects="1" scenarios="1"/>
  <mergeCells count="8">
    <mergeCell ref="A20:A47"/>
    <mergeCell ref="B3:K3"/>
    <mergeCell ref="A7:A19"/>
    <mergeCell ref="N10:O11"/>
    <mergeCell ref="P10:P11"/>
    <mergeCell ref="N12:O14"/>
    <mergeCell ref="P12:P14"/>
    <mergeCell ref="N15:O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7B8B-2BBD-4D18-BE8C-6301B6B835E6}">
  <dimension ref="A3:Q47"/>
  <sheetViews>
    <sheetView zoomScale="70" zoomScaleNormal="70" workbookViewId="0">
      <selection activeCell="E22" sqref="E22"/>
    </sheetView>
  </sheetViews>
  <sheetFormatPr defaultColWidth="9.140625" defaultRowHeight="15" x14ac:dyDescent="0.25"/>
  <cols>
    <col min="1" max="1" width="23.140625" style="1" customWidth="1"/>
    <col min="2" max="2" width="9.140625" style="1"/>
    <col min="3" max="3" width="37.7109375" style="1" customWidth="1"/>
    <col min="4" max="4" width="24.85546875" style="1" customWidth="1"/>
    <col min="5" max="5" width="19.5703125" style="1" customWidth="1"/>
    <col min="6" max="6" width="20.28515625" style="1" customWidth="1"/>
    <col min="7" max="7" width="19.5703125" style="1" customWidth="1"/>
    <col min="8" max="8" width="20.42578125" style="1" customWidth="1"/>
    <col min="9" max="9" width="18" style="1" customWidth="1"/>
    <col min="10" max="10" width="20" style="1" customWidth="1"/>
    <col min="11" max="11" width="39.85546875" style="1" customWidth="1"/>
    <col min="12" max="12" width="11.5703125" style="1" customWidth="1"/>
    <col min="13" max="13" width="5" style="1" customWidth="1"/>
    <col min="14" max="14" width="31.425781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6" ht="27.75" x14ac:dyDescent="0.25">
      <c r="B3" s="165" t="s">
        <v>30</v>
      </c>
      <c r="C3" s="165"/>
      <c r="D3" s="165"/>
      <c r="E3" s="165"/>
      <c r="F3" s="165"/>
      <c r="G3" s="165"/>
      <c r="H3" s="165"/>
      <c r="I3" s="165"/>
      <c r="J3" s="165"/>
      <c r="K3" s="165"/>
    </row>
    <row r="4" spans="1:16" ht="30.75" x14ac:dyDescent="0.25">
      <c r="C4" s="59"/>
      <c r="D4" s="59"/>
      <c r="E4" s="59"/>
      <c r="G4" s="58" t="s">
        <v>120</v>
      </c>
      <c r="I4" s="59"/>
      <c r="J4" s="59"/>
      <c r="K4" s="59"/>
    </row>
    <row r="5" spans="1:16" ht="12" customHeight="1" x14ac:dyDescent="0.25"/>
    <row r="6" spans="1:16" ht="53.25" customHeight="1" x14ac:dyDescent="0.25">
      <c r="A6" s="57"/>
      <c r="B6" s="65" t="s">
        <v>0</v>
      </c>
      <c r="C6" s="65" t="s">
        <v>1</v>
      </c>
      <c r="D6" s="65" t="s">
        <v>47</v>
      </c>
      <c r="E6" s="65" t="s">
        <v>46</v>
      </c>
      <c r="F6" s="65" t="s">
        <v>4</v>
      </c>
      <c r="G6" s="66" t="s">
        <v>94</v>
      </c>
      <c r="H6" s="65" t="s">
        <v>86</v>
      </c>
      <c r="I6" s="65" t="s">
        <v>87</v>
      </c>
      <c r="J6" s="65" t="s">
        <v>6</v>
      </c>
      <c r="K6" s="65" t="s">
        <v>33</v>
      </c>
      <c r="L6" s="65" t="s">
        <v>48</v>
      </c>
      <c r="N6" s="49" t="s">
        <v>63</v>
      </c>
    </row>
    <row r="7" spans="1:16" ht="23.25" customHeight="1" x14ac:dyDescent="0.25">
      <c r="A7" s="171" t="s">
        <v>90</v>
      </c>
      <c r="B7" s="38">
        <v>1</v>
      </c>
      <c r="C7" s="39" t="s">
        <v>91</v>
      </c>
      <c r="D7" s="40"/>
      <c r="E7" s="60" t="s">
        <v>76</v>
      </c>
      <c r="F7" s="41">
        <v>1100000</v>
      </c>
      <c r="G7" s="41">
        <f>IF(F7="",0,IF(F7&gt;1700000,F7*O$19,F7*O$18))</f>
        <v>660000</v>
      </c>
      <c r="H7" s="41">
        <v>660000</v>
      </c>
      <c r="I7" s="41">
        <f>G7-H7</f>
        <v>0</v>
      </c>
      <c r="J7" s="50" t="s">
        <v>25</v>
      </c>
      <c r="K7" s="95"/>
      <c r="L7" s="46"/>
      <c r="N7" s="50" t="s">
        <v>25</v>
      </c>
    </row>
    <row r="8" spans="1:16" ht="16.5" customHeight="1" x14ac:dyDescent="0.25">
      <c r="A8" s="172"/>
      <c r="B8" s="38">
        <f>B7+1</f>
        <v>2</v>
      </c>
      <c r="C8" s="39" t="s">
        <v>101</v>
      </c>
      <c r="D8" s="45"/>
      <c r="E8" s="72" t="s">
        <v>65</v>
      </c>
      <c r="F8" s="41">
        <v>1145000</v>
      </c>
      <c r="G8" s="41">
        <f>IF(F8="",0,IF(F8&gt;1700000,F8*O$19,F8*O$18))</f>
        <v>687000</v>
      </c>
      <c r="H8" s="41">
        <v>570000</v>
      </c>
      <c r="I8" s="41">
        <f t="shared" ref="I8:I18" si="0">G8-H8</f>
        <v>117000</v>
      </c>
      <c r="J8" s="50" t="s">
        <v>25</v>
      </c>
      <c r="K8" s="96"/>
      <c r="L8" s="46"/>
      <c r="N8" s="48" t="s">
        <v>64</v>
      </c>
    </row>
    <row r="9" spans="1:16" ht="16.5" customHeight="1" x14ac:dyDescent="0.25">
      <c r="A9" s="172"/>
      <c r="B9" s="38">
        <f t="shared" ref="B9:B18" si="1">B8+1</f>
        <v>3</v>
      </c>
      <c r="C9" s="122" t="s">
        <v>102</v>
      </c>
      <c r="D9" s="123"/>
      <c r="E9" s="124" t="s">
        <v>71</v>
      </c>
      <c r="F9" s="125"/>
      <c r="G9" s="125">
        <f>IF(F9="",0,IF(F9&gt;1700000,F9*O$19,F9*O$18))</f>
        <v>0</v>
      </c>
      <c r="H9" s="126"/>
      <c r="I9" s="125">
        <f t="shared" si="0"/>
        <v>0</v>
      </c>
      <c r="J9" s="127"/>
      <c r="K9" s="96" t="s">
        <v>119</v>
      </c>
      <c r="L9" s="47"/>
    </row>
    <row r="10" spans="1:16" ht="16.5" customHeight="1" x14ac:dyDescent="0.25">
      <c r="A10" s="172"/>
      <c r="B10" s="38">
        <f>B9+1</f>
        <v>4</v>
      </c>
      <c r="C10" s="42" t="s">
        <v>92</v>
      </c>
      <c r="D10" s="43"/>
      <c r="E10" s="60" t="s">
        <v>76</v>
      </c>
      <c r="F10" s="44">
        <v>1000000</v>
      </c>
      <c r="G10" s="41">
        <f>IF(F10="",0,IF(F10&gt;1700000,F10*O$19,F10*O$18))</f>
        <v>600000</v>
      </c>
      <c r="H10" s="44">
        <v>600000</v>
      </c>
      <c r="I10" s="41">
        <f t="shared" si="0"/>
        <v>0</v>
      </c>
      <c r="J10" s="50" t="s">
        <v>25</v>
      </c>
      <c r="K10" s="96"/>
      <c r="L10" s="46"/>
      <c r="N10" s="174" t="s">
        <v>28</v>
      </c>
      <c r="O10" s="174"/>
      <c r="P10" s="175">
        <f>SUM(F7:F1006)</f>
        <v>3545000</v>
      </c>
    </row>
    <row r="11" spans="1:16" ht="16.5" customHeight="1" x14ac:dyDescent="0.25">
      <c r="A11" s="172"/>
      <c r="B11" s="38">
        <f t="shared" si="1"/>
        <v>5</v>
      </c>
      <c r="C11" s="42" t="s">
        <v>112</v>
      </c>
      <c r="D11" s="43"/>
      <c r="E11" s="60" t="s">
        <v>76</v>
      </c>
      <c r="F11" s="44">
        <v>300000</v>
      </c>
      <c r="G11" s="41">
        <f>IF(F11="",0,IF(F11&gt;1700000,F11*O$19,F11*O$18))</f>
        <v>180000</v>
      </c>
      <c r="H11" s="44">
        <v>180000</v>
      </c>
      <c r="I11" s="41">
        <f t="shared" si="0"/>
        <v>0</v>
      </c>
      <c r="J11" s="50" t="s">
        <v>25</v>
      </c>
      <c r="K11" s="96"/>
      <c r="L11" s="46"/>
      <c r="N11" s="174"/>
      <c r="O11" s="174"/>
      <c r="P11" s="175"/>
    </row>
    <row r="12" spans="1:16" ht="16.5" customHeight="1" x14ac:dyDescent="0.25">
      <c r="A12" s="172"/>
      <c r="B12" s="38">
        <f t="shared" si="1"/>
        <v>6</v>
      </c>
      <c r="C12" s="42" t="s">
        <v>96</v>
      </c>
      <c r="D12" s="43"/>
      <c r="E12" s="60" t="s">
        <v>76</v>
      </c>
      <c r="F12" s="44"/>
      <c r="G12" s="41">
        <f t="shared" ref="G12:G18" si="2">IF(F12="",0,IF(F12&gt;1700000,F12*O$19,F12*O$18))</f>
        <v>0</v>
      </c>
      <c r="H12" s="44"/>
      <c r="I12" s="41">
        <f t="shared" si="0"/>
        <v>0</v>
      </c>
      <c r="J12" s="62"/>
      <c r="K12" s="96"/>
      <c r="L12" s="46"/>
      <c r="N12" s="176" t="s">
        <v>95</v>
      </c>
      <c r="O12" s="176"/>
      <c r="P12" s="175">
        <f>SUM(G7:G1006)</f>
        <v>2127000</v>
      </c>
    </row>
    <row r="13" spans="1:16" ht="22.5" customHeight="1" x14ac:dyDescent="0.25">
      <c r="A13" s="172"/>
      <c r="B13" s="38">
        <f t="shared" si="1"/>
        <v>7</v>
      </c>
      <c r="C13" s="42" t="s">
        <v>96</v>
      </c>
      <c r="D13" s="43"/>
      <c r="E13" s="60" t="s">
        <v>76</v>
      </c>
      <c r="F13" s="44"/>
      <c r="G13" s="41">
        <f t="shared" si="2"/>
        <v>0</v>
      </c>
      <c r="H13" s="44"/>
      <c r="I13" s="41">
        <f t="shared" si="0"/>
        <v>0</v>
      </c>
      <c r="J13" s="62"/>
      <c r="K13" s="96"/>
      <c r="L13" s="46"/>
      <c r="N13" s="176"/>
      <c r="O13" s="176"/>
      <c r="P13" s="175"/>
    </row>
    <row r="14" spans="1:16" ht="16.5" customHeight="1" x14ac:dyDescent="0.25">
      <c r="A14" s="172"/>
      <c r="B14" s="38">
        <f t="shared" si="1"/>
        <v>8</v>
      </c>
      <c r="C14" s="42" t="s">
        <v>96</v>
      </c>
      <c r="D14" s="43"/>
      <c r="E14" s="60" t="s">
        <v>76</v>
      </c>
      <c r="F14" s="44"/>
      <c r="G14" s="41">
        <f t="shared" si="2"/>
        <v>0</v>
      </c>
      <c r="H14" s="44"/>
      <c r="I14" s="41">
        <f t="shared" si="0"/>
        <v>0</v>
      </c>
      <c r="J14" s="62"/>
      <c r="K14" s="96"/>
      <c r="L14" s="46"/>
      <c r="N14" s="176"/>
      <c r="O14" s="176"/>
      <c r="P14" s="175"/>
    </row>
    <row r="15" spans="1:16" ht="22.5" customHeight="1" x14ac:dyDescent="0.3">
      <c r="A15" s="172"/>
      <c r="B15" s="38">
        <f>B14+1</f>
        <v>9</v>
      </c>
      <c r="C15" s="42" t="s">
        <v>96</v>
      </c>
      <c r="D15" s="43"/>
      <c r="E15" s="60" t="s">
        <v>76</v>
      </c>
      <c r="F15" s="44"/>
      <c r="G15" s="41">
        <f t="shared" si="2"/>
        <v>0</v>
      </c>
      <c r="H15" s="44"/>
      <c r="I15" s="41">
        <f t="shared" si="0"/>
        <v>0</v>
      </c>
      <c r="J15" s="62"/>
      <c r="K15" s="96"/>
      <c r="L15" s="46"/>
      <c r="N15" s="177" t="s">
        <v>88</v>
      </c>
      <c r="O15" s="177"/>
      <c r="P15" s="67">
        <f>SUM(H7:H1006)</f>
        <v>2010000</v>
      </c>
    </row>
    <row r="16" spans="1:16" ht="16.5" customHeight="1" x14ac:dyDescent="0.25">
      <c r="A16" s="172"/>
      <c r="B16" s="38">
        <f t="shared" si="1"/>
        <v>10</v>
      </c>
      <c r="C16" s="42" t="s">
        <v>96</v>
      </c>
      <c r="D16" s="43"/>
      <c r="E16" s="60" t="s">
        <v>76</v>
      </c>
      <c r="F16" s="44"/>
      <c r="G16" s="41">
        <f t="shared" si="2"/>
        <v>0</v>
      </c>
      <c r="H16" s="44"/>
      <c r="I16" s="41">
        <f t="shared" si="0"/>
        <v>0</v>
      </c>
      <c r="J16" s="62"/>
      <c r="K16" s="96"/>
      <c r="L16" s="46"/>
    </row>
    <row r="17" spans="1:17" ht="16.5" customHeight="1" x14ac:dyDescent="0.25">
      <c r="A17" s="172"/>
      <c r="B17" s="38">
        <f t="shared" si="1"/>
        <v>11</v>
      </c>
      <c r="C17" s="42" t="s">
        <v>96</v>
      </c>
      <c r="D17" s="43"/>
      <c r="E17" s="60" t="s">
        <v>76</v>
      </c>
      <c r="F17" s="44"/>
      <c r="G17" s="41">
        <f t="shared" si="2"/>
        <v>0</v>
      </c>
      <c r="H17" s="44"/>
      <c r="I17" s="41">
        <f t="shared" si="0"/>
        <v>0</v>
      </c>
      <c r="J17" s="62"/>
      <c r="K17" s="96"/>
      <c r="L17" s="46"/>
    </row>
    <row r="18" spans="1:17" ht="16.5" customHeight="1" x14ac:dyDescent="0.3">
      <c r="A18" s="172"/>
      <c r="B18" s="38">
        <f t="shared" si="1"/>
        <v>12</v>
      </c>
      <c r="C18" s="42" t="s">
        <v>96</v>
      </c>
      <c r="D18" s="43"/>
      <c r="E18" s="60" t="s">
        <v>76</v>
      </c>
      <c r="F18" s="44"/>
      <c r="G18" s="41">
        <f t="shared" si="2"/>
        <v>0</v>
      </c>
      <c r="H18" s="44"/>
      <c r="I18" s="41">
        <f t="shared" si="0"/>
        <v>0</v>
      </c>
      <c r="J18" s="62"/>
      <c r="K18" s="96"/>
      <c r="L18" s="46"/>
      <c r="N18" s="64" t="s">
        <v>60</v>
      </c>
      <c r="O18" s="68">
        <v>0.6</v>
      </c>
      <c r="Q18" s="70" t="s">
        <v>99</v>
      </c>
    </row>
    <row r="19" spans="1:17" ht="16.5" customHeight="1" x14ac:dyDescent="0.3">
      <c r="A19" s="173"/>
      <c r="B19" s="51"/>
      <c r="C19" s="52"/>
      <c r="D19" s="51"/>
      <c r="E19" s="53"/>
      <c r="F19" s="54"/>
      <c r="G19" s="54"/>
      <c r="H19" s="63"/>
      <c r="I19" s="61"/>
      <c r="J19" s="55"/>
      <c r="K19" s="97"/>
      <c r="L19" s="56"/>
      <c r="N19" s="64" t="s">
        <v>60</v>
      </c>
      <c r="O19" s="69">
        <v>0.5</v>
      </c>
      <c r="Q19" s="70" t="s">
        <v>100</v>
      </c>
    </row>
    <row r="20" spans="1:17" ht="16.5" customHeight="1" x14ac:dyDescent="0.25">
      <c r="A20" s="169" t="s">
        <v>89</v>
      </c>
      <c r="B20" s="38">
        <v>1</v>
      </c>
      <c r="C20" s="73" t="s">
        <v>39</v>
      </c>
      <c r="D20" s="74"/>
      <c r="E20" s="74" t="s">
        <v>13</v>
      </c>
      <c r="F20" s="75"/>
      <c r="G20" s="75">
        <f t="shared" ref="G20:G47" si="3">IF(F20="",0,IF(F20&gt;=1700000,F20*O$19,F20*O$18))</f>
        <v>0</v>
      </c>
      <c r="H20" s="75"/>
      <c r="I20" s="75">
        <f t="shared" ref="I20:I47" si="4">G20-H20</f>
        <v>0</v>
      </c>
      <c r="J20" s="49"/>
      <c r="K20" s="121" t="s">
        <v>118</v>
      </c>
      <c r="L20" s="76"/>
    </row>
    <row r="21" spans="1:17" ht="16.5" customHeight="1" x14ac:dyDescent="0.25">
      <c r="A21" s="170"/>
      <c r="B21" s="38">
        <f>B20+1</f>
        <v>2</v>
      </c>
      <c r="C21" s="77" t="s">
        <v>62</v>
      </c>
      <c r="D21" s="78"/>
      <c r="E21" s="78" t="s">
        <v>105</v>
      </c>
      <c r="F21" s="79"/>
      <c r="G21" s="75">
        <f t="shared" si="3"/>
        <v>0</v>
      </c>
      <c r="H21" s="79"/>
      <c r="I21" s="75">
        <f t="shared" si="4"/>
        <v>0</v>
      </c>
      <c r="J21" s="49"/>
      <c r="K21" s="121" t="s">
        <v>118</v>
      </c>
      <c r="L21" s="80"/>
    </row>
    <row r="22" spans="1:17" ht="16.5" customHeight="1" x14ac:dyDescent="0.25">
      <c r="A22" s="170"/>
      <c r="B22" s="38">
        <f t="shared" ref="B22:B47" si="5">B21+1</f>
        <v>3</v>
      </c>
      <c r="C22" s="73" t="s">
        <v>42</v>
      </c>
      <c r="D22" s="81"/>
      <c r="E22" s="81" t="s">
        <v>21</v>
      </c>
      <c r="F22" s="75"/>
      <c r="G22" s="75">
        <f t="shared" si="3"/>
        <v>0</v>
      </c>
      <c r="H22" s="79"/>
      <c r="I22" s="75">
        <f t="shared" si="4"/>
        <v>0</v>
      </c>
      <c r="J22" s="49"/>
      <c r="K22" s="121" t="s">
        <v>118</v>
      </c>
      <c r="L22" s="82"/>
    </row>
    <row r="23" spans="1:17" ht="16.5" customHeight="1" x14ac:dyDescent="0.25">
      <c r="A23" s="170"/>
      <c r="B23" s="38">
        <f t="shared" si="5"/>
        <v>4</v>
      </c>
      <c r="C23" s="73"/>
      <c r="D23" s="81"/>
      <c r="E23" s="81"/>
      <c r="F23" s="75"/>
      <c r="G23" s="75">
        <f t="shared" si="3"/>
        <v>0</v>
      </c>
      <c r="H23" s="75"/>
      <c r="I23" s="75">
        <f t="shared" si="4"/>
        <v>0</v>
      </c>
      <c r="J23" s="62"/>
      <c r="K23" s="121" t="s">
        <v>118</v>
      </c>
      <c r="L23" s="76"/>
    </row>
    <row r="24" spans="1:17" ht="16.5" customHeight="1" x14ac:dyDescent="0.25">
      <c r="A24" s="170"/>
      <c r="B24" s="38">
        <f t="shared" si="5"/>
        <v>5</v>
      </c>
      <c r="C24" s="73" t="s">
        <v>68</v>
      </c>
      <c r="D24" s="81"/>
      <c r="E24" s="81" t="s">
        <v>26</v>
      </c>
      <c r="F24" s="75"/>
      <c r="G24" s="75">
        <f t="shared" si="3"/>
        <v>0</v>
      </c>
      <c r="H24" s="79"/>
      <c r="I24" s="75">
        <f t="shared" si="4"/>
        <v>0</v>
      </c>
      <c r="J24" s="49"/>
      <c r="K24" s="121" t="s">
        <v>118</v>
      </c>
      <c r="L24" s="82"/>
    </row>
    <row r="25" spans="1:17" ht="16.5" customHeight="1" x14ac:dyDescent="0.25">
      <c r="A25" s="170"/>
      <c r="B25" s="38">
        <f t="shared" si="5"/>
        <v>6</v>
      </c>
      <c r="C25" s="73" t="s">
        <v>107</v>
      </c>
      <c r="D25" s="81"/>
      <c r="E25" s="81" t="s">
        <v>53</v>
      </c>
      <c r="F25" s="75"/>
      <c r="G25" s="75">
        <f t="shared" si="3"/>
        <v>0</v>
      </c>
      <c r="H25" s="79"/>
      <c r="I25" s="75">
        <f t="shared" si="4"/>
        <v>0</v>
      </c>
      <c r="J25" s="49"/>
      <c r="K25" s="121" t="s">
        <v>118</v>
      </c>
      <c r="L25" s="76"/>
    </row>
    <row r="26" spans="1:17" ht="22.15" customHeight="1" x14ac:dyDescent="0.25">
      <c r="A26" s="170"/>
      <c r="B26" s="38">
        <f t="shared" si="5"/>
        <v>7</v>
      </c>
      <c r="C26" s="73" t="s">
        <v>49</v>
      </c>
      <c r="D26" s="76"/>
      <c r="E26" s="76" t="s">
        <v>104</v>
      </c>
      <c r="F26" s="75"/>
      <c r="G26" s="75">
        <f t="shared" si="3"/>
        <v>0</v>
      </c>
      <c r="H26" s="75"/>
      <c r="I26" s="75">
        <f t="shared" si="4"/>
        <v>0</v>
      </c>
      <c r="J26" s="49"/>
      <c r="K26" s="121" t="s">
        <v>118</v>
      </c>
      <c r="L26" s="76"/>
    </row>
    <row r="27" spans="1:17" ht="20.45" customHeight="1" x14ac:dyDescent="0.25">
      <c r="A27" s="170"/>
      <c r="B27" s="38">
        <f t="shared" si="5"/>
        <v>8</v>
      </c>
      <c r="C27" s="77" t="s">
        <v>75</v>
      </c>
      <c r="D27" s="80"/>
      <c r="E27" s="76" t="s">
        <v>70</v>
      </c>
      <c r="F27" s="79"/>
      <c r="G27" s="75">
        <f t="shared" si="3"/>
        <v>0</v>
      </c>
      <c r="H27" s="75"/>
      <c r="I27" s="75">
        <f t="shared" si="4"/>
        <v>0</v>
      </c>
      <c r="J27" s="49"/>
      <c r="K27" s="121" t="s">
        <v>118</v>
      </c>
      <c r="L27" s="76"/>
    </row>
    <row r="28" spans="1:17" ht="16.5" customHeight="1" x14ac:dyDescent="0.3">
      <c r="A28" s="170"/>
      <c r="B28" s="38">
        <f t="shared" si="5"/>
        <v>9</v>
      </c>
      <c r="C28" s="77" t="s">
        <v>103</v>
      </c>
      <c r="D28" s="87"/>
      <c r="E28" s="86" t="s">
        <v>76</v>
      </c>
      <c r="F28" s="79"/>
      <c r="G28" s="75">
        <f t="shared" si="3"/>
        <v>0</v>
      </c>
      <c r="H28" s="79"/>
      <c r="I28" s="75">
        <f t="shared" si="4"/>
        <v>0</v>
      </c>
      <c r="J28" s="49"/>
      <c r="K28" s="121" t="s">
        <v>118</v>
      </c>
      <c r="L28" s="76"/>
    </row>
    <row r="29" spans="1:17" ht="16.5" customHeight="1" x14ac:dyDescent="0.3">
      <c r="A29" s="170"/>
      <c r="B29" s="38">
        <f t="shared" si="5"/>
        <v>10</v>
      </c>
      <c r="C29" s="87"/>
      <c r="D29" s="87"/>
      <c r="E29" s="87"/>
      <c r="F29" s="118"/>
      <c r="G29" s="75">
        <f t="shared" si="3"/>
        <v>0</v>
      </c>
      <c r="H29" s="118"/>
      <c r="I29" s="75">
        <f t="shared" si="4"/>
        <v>0</v>
      </c>
      <c r="J29" s="62"/>
      <c r="K29" s="121" t="s">
        <v>118</v>
      </c>
      <c r="L29" s="93"/>
    </row>
    <row r="30" spans="1:17" ht="16.5" customHeight="1" x14ac:dyDescent="0.25">
      <c r="A30" s="170"/>
      <c r="B30" s="38">
        <f t="shared" si="5"/>
        <v>11</v>
      </c>
      <c r="C30" s="88" t="s">
        <v>93</v>
      </c>
      <c r="D30" s="74"/>
      <c r="E30" s="81" t="s">
        <v>24</v>
      </c>
      <c r="F30" s="89"/>
      <c r="G30" s="75">
        <f t="shared" si="3"/>
        <v>0</v>
      </c>
      <c r="H30" s="119"/>
      <c r="I30" s="75">
        <f t="shared" si="4"/>
        <v>0</v>
      </c>
      <c r="J30" s="49"/>
      <c r="K30" s="121" t="s">
        <v>118</v>
      </c>
      <c r="L30" s="80"/>
    </row>
    <row r="31" spans="1:17" ht="15" customHeight="1" x14ac:dyDescent="0.3">
      <c r="A31" s="170"/>
      <c r="B31" s="38">
        <f t="shared" si="5"/>
        <v>12</v>
      </c>
      <c r="C31" s="88" t="s">
        <v>97</v>
      </c>
      <c r="D31" s="81"/>
      <c r="E31" s="76" t="s">
        <v>106</v>
      </c>
      <c r="F31" s="89"/>
      <c r="G31" s="75">
        <f t="shared" si="3"/>
        <v>0</v>
      </c>
      <c r="H31" s="89"/>
      <c r="I31" s="75">
        <f t="shared" si="4"/>
        <v>0</v>
      </c>
      <c r="J31" s="49"/>
      <c r="K31" s="121" t="s">
        <v>118</v>
      </c>
      <c r="L31" s="93"/>
    </row>
    <row r="32" spans="1:17" ht="15" customHeight="1" x14ac:dyDescent="0.3">
      <c r="A32" s="170"/>
      <c r="B32" s="38">
        <f t="shared" si="5"/>
        <v>13</v>
      </c>
      <c r="C32" s="88" t="s">
        <v>108</v>
      </c>
      <c r="D32" s="78"/>
      <c r="E32" s="81" t="s">
        <v>52</v>
      </c>
      <c r="F32" s="75"/>
      <c r="G32" s="75">
        <f t="shared" si="3"/>
        <v>0</v>
      </c>
      <c r="H32" s="75"/>
      <c r="I32" s="75">
        <f t="shared" si="4"/>
        <v>0</v>
      </c>
      <c r="J32" s="49"/>
      <c r="K32" s="121" t="s">
        <v>118</v>
      </c>
      <c r="L32" s="93"/>
    </row>
    <row r="33" spans="1:12" ht="18.75" customHeight="1" x14ac:dyDescent="0.3">
      <c r="A33" s="170"/>
      <c r="B33" s="38">
        <f t="shared" si="5"/>
        <v>14</v>
      </c>
      <c r="C33" s="73"/>
      <c r="D33" s="74"/>
      <c r="E33" s="74" t="s">
        <v>16</v>
      </c>
      <c r="F33" s="90"/>
      <c r="G33" s="75">
        <f t="shared" si="3"/>
        <v>0</v>
      </c>
      <c r="H33" s="89"/>
      <c r="I33" s="75">
        <f t="shared" si="4"/>
        <v>0</v>
      </c>
      <c r="J33" s="62"/>
      <c r="K33" s="121" t="s">
        <v>118</v>
      </c>
      <c r="L33" s="76"/>
    </row>
    <row r="34" spans="1:12" ht="18.75" x14ac:dyDescent="0.3">
      <c r="A34" s="170"/>
      <c r="B34" s="38">
        <f t="shared" si="5"/>
        <v>15</v>
      </c>
      <c r="C34" s="77" t="s">
        <v>110</v>
      </c>
      <c r="D34" s="87"/>
      <c r="E34" s="81" t="s">
        <v>98</v>
      </c>
      <c r="F34" s="79"/>
      <c r="G34" s="75">
        <f t="shared" si="3"/>
        <v>0</v>
      </c>
      <c r="H34" s="79"/>
      <c r="I34" s="75">
        <f t="shared" si="4"/>
        <v>0</v>
      </c>
      <c r="J34" s="49"/>
      <c r="K34" s="121" t="s">
        <v>118</v>
      </c>
      <c r="L34" s="76"/>
    </row>
    <row r="35" spans="1:12" ht="18.75" x14ac:dyDescent="0.3">
      <c r="A35" s="170"/>
      <c r="B35" s="38">
        <f t="shared" si="5"/>
        <v>16</v>
      </c>
      <c r="C35" s="87" t="s">
        <v>109</v>
      </c>
      <c r="D35" s="87"/>
      <c r="E35" s="81" t="s">
        <v>35</v>
      </c>
      <c r="F35" s="118"/>
      <c r="G35" s="75">
        <f t="shared" si="3"/>
        <v>0</v>
      </c>
      <c r="H35" s="118"/>
      <c r="I35" s="75">
        <f t="shared" si="4"/>
        <v>0</v>
      </c>
      <c r="J35" s="49"/>
      <c r="K35" s="121" t="s">
        <v>118</v>
      </c>
      <c r="L35" s="80"/>
    </row>
    <row r="36" spans="1:12" ht="18.75" x14ac:dyDescent="0.3">
      <c r="A36" s="170"/>
      <c r="B36" s="38">
        <f t="shared" si="5"/>
        <v>17</v>
      </c>
      <c r="C36" s="87" t="s">
        <v>111</v>
      </c>
      <c r="D36" s="120"/>
      <c r="E36" s="81" t="s">
        <v>15</v>
      </c>
      <c r="F36" s="118"/>
      <c r="G36" s="75">
        <f t="shared" si="3"/>
        <v>0</v>
      </c>
      <c r="H36" s="118"/>
      <c r="I36" s="75">
        <f t="shared" si="4"/>
        <v>0</v>
      </c>
      <c r="J36" s="49"/>
      <c r="K36" s="121" t="s">
        <v>118</v>
      </c>
      <c r="L36" s="46"/>
    </row>
    <row r="37" spans="1:12" ht="18.75" x14ac:dyDescent="0.3">
      <c r="A37" s="170"/>
      <c r="B37" s="38">
        <f t="shared" si="5"/>
        <v>18</v>
      </c>
      <c r="C37" s="99"/>
      <c r="D37" s="43"/>
      <c r="E37" s="43"/>
      <c r="F37" s="100"/>
      <c r="G37" s="75">
        <f t="shared" si="3"/>
        <v>0</v>
      </c>
      <c r="H37" s="89"/>
      <c r="I37" s="75">
        <f t="shared" si="4"/>
        <v>0</v>
      </c>
      <c r="J37" s="83"/>
      <c r="K37" s="98"/>
      <c r="L37" s="47"/>
    </row>
    <row r="38" spans="1:12" ht="18.75" x14ac:dyDescent="0.3">
      <c r="A38" s="170"/>
      <c r="B38" s="38">
        <f t="shared" si="5"/>
        <v>19</v>
      </c>
      <c r="C38" s="99"/>
      <c r="D38" s="43"/>
      <c r="E38" s="43"/>
      <c r="F38" s="100"/>
      <c r="G38" s="75">
        <f t="shared" si="3"/>
        <v>0</v>
      </c>
      <c r="H38" s="89"/>
      <c r="I38" s="75">
        <f t="shared" si="4"/>
        <v>0</v>
      </c>
      <c r="J38" s="83"/>
      <c r="K38" s="98"/>
      <c r="L38" s="47"/>
    </row>
    <row r="39" spans="1:12" ht="18.75" x14ac:dyDescent="0.3">
      <c r="A39" s="170"/>
      <c r="B39" s="38">
        <f t="shared" si="5"/>
        <v>20</v>
      </c>
      <c r="C39" s="99"/>
      <c r="D39" s="43"/>
      <c r="E39" s="43"/>
      <c r="F39" s="100"/>
      <c r="G39" s="75">
        <f t="shared" si="3"/>
        <v>0</v>
      </c>
      <c r="H39" s="89"/>
      <c r="I39" s="75">
        <f t="shared" si="4"/>
        <v>0</v>
      </c>
      <c r="J39" s="83"/>
      <c r="K39" s="98"/>
      <c r="L39" s="47"/>
    </row>
    <row r="40" spans="1:12" ht="18.75" x14ac:dyDescent="0.3">
      <c r="A40" s="170"/>
      <c r="B40" s="38">
        <f t="shared" si="5"/>
        <v>21</v>
      </c>
      <c r="C40" s="99"/>
      <c r="D40" s="43"/>
      <c r="E40" s="43"/>
      <c r="F40" s="100"/>
      <c r="G40" s="75">
        <f t="shared" si="3"/>
        <v>0</v>
      </c>
      <c r="H40" s="89"/>
      <c r="I40" s="75">
        <f t="shared" si="4"/>
        <v>0</v>
      </c>
      <c r="J40" s="83"/>
      <c r="K40" s="98"/>
      <c r="L40" s="47"/>
    </row>
    <row r="41" spans="1:12" ht="18.75" x14ac:dyDescent="0.3">
      <c r="A41" s="170"/>
      <c r="B41" s="38">
        <f t="shared" si="5"/>
        <v>22</v>
      </c>
      <c r="C41" s="99"/>
      <c r="D41" s="43"/>
      <c r="E41" s="43"/>
      <c r="F41" s="100"/>
      <c r="G41" s="75">
        <f t="shared" si="3"/>
        <v>0</v>
      </c>
      <c r="H41" s="89"/>
      <c r="I41" s="75">
        <f t="shared" si="4"/>
        <v>0</v>
      </c>
      <c r="J41" s="83"/>
      <c r="K41" s="98"/>
      <c r="L41" s="47"/>
    </row>
    <row r="42" spans="1:12" ht="18.75" x14ac:dyDescent="0.3">
      <c r="A42" s="170"/>
      <c r="B42" s="38">
        <f t="shared" si="5"/>
        <v>23</v>
      </c>
      <c r="C42" s="99"/>
      <c r="D42" s="43"/>
      <c r="E42" s="43"/>
      <c r="F42" s="100"/>
      <c r="G42" s="75">
        <f t="shared" si="3"/>
        <v>0</v>
      </c>
      <c r="H42" s="89"/>
      <c r="I42" s="75">
        <f t="shared" si="4"/>
        <v>0</v>
      </c>
      <c r="J42" s="83"/>
      <c r="K42" s="98"/>
      <c r="L42" s="47"/>
    </row>
    <row r="43" spans="1:12" ht="18.75" x14ac:dyDescent="0.3">
      <c r="A43" s="170"/>
      <c r="B43" s="38">
        <f t="shared" si="5"/>
        <v>24</v>
      </c>
      <c r="C43" s="99"/>
      <c r="D43" s="43"/>
      <c r="E43" s="43"/>
      <c r="F43" s="100"/>
      <c r="G43" s="75">
        <f t="shared" si="3"/>
        <v>0</v>
      </c>
      <c r="H43" s="89"/>
      <c r="I43" s="75">
        <f t="shared" si="4"/>
        <v>0</v>
      </c>
      <c r="J43" s="83"/>
      <c r="K43" s="98"/>
      <c r="L43" s="47"/>
    </row>
    <row r="44" spans="1:12" ht="18.75" x14ac:dyDescent="0.3">
      <c r="A44" s="170"/>
      <c r="B44" s="38">
        <f t="shared" si="5"/>
        <v>25</v>
      </c>
      <c r="C44" s="99"/>
      <c r="D44" s="43"/>
      <c r="E44" s="43"/>
      <c r="F44" s="100"/>
      <c r="G44" s="75">
        <f t="shared" si="3"/>
        <v>0</v>
      </c>
      <c r="H44" s="89"/>
      <c r="I44" s="75">
        <f t="shared" si="4"/>
        <v>0</v>
      </c>
      <c r="J44" s="83"/>
      <c r="K44" s="98"/>
      <c r="L44" s="47"/>
    </row>
    <row r="45" spans="1:12" ht="18.75" x14ac:dyDescent="0.3">
      <c r="A45" s="170"/>
      <c r="B45" s="38">
        <f t="shared" si="5"/>
        <v>26</v>
      </c>
      <c r="C45" s="99"/>
      <c r="D45" s="43"/>
      <c r="E45" s="43"/>
      <c r="F45" s="100"/>
      <c r="G45" s="75">
        <f t="shared" si="3"/>
        <v>0</v>
      </c>
      <c r="H45" s="89"/>
      <c r="I45" s="75">
        <f t="shared" si="4"/>
        <v>0</v>
      </c>
      <c r="J45" s="83"/>
      <c r="K45" s="98"/>
      <c r="L45" s="47"/>
    </row>
    <row r="46" spans="1:12" ht="18.75" x14ac:dyDescent="0.3">
      <c r="A46" s="170"/>
      <c r="B46" s="38">
        <f t="shared" si="5"/>
        <v>27</v>
      </c>
      <c r="C46" s="99"/>
      <c r="D46" s="43"/>
      <c r="E46" s="43"/>
      <c r="F46" s="100"/>
      <c r="G46" s="75">
        <f t="shared" si="3"/>
        <v>0</v>
      </c>
      <c r="H46" s="89"/>
      <c r="I46" s="75">
        <f t="shared" si="4"/>
        <v>0</v>
      </c>
      <c r="J46" s="83"/>
      <c r="K46" s="98"/>
      <c r="L46" s="47"/>
    </row>
    <row r="47" spans="1:12" ht="18.75" x14ac:dyDescent="0.3">
      <c r="A47" s="170"/>
      <c r="B47" s="38">
        <f t="shared" si="5"/>
        <v>28</v>
      </c>
      <c r="C47" s="99"/>
      <c r="D47" s="43"/>
      <c r="E47" s="43"/>
      <c r="F47" s="100"/>
      <c r="G47" s="75">
        <f t="shared" si="3"/>
        <v>0</v>
      </c>
      <c r="H47" s="89"/>
      <c r="I47" s="75">
        <f t="shared" si="4"/>
        <v>0</v>
      </c>
      <c r="J47" s="83"/>
      <c r="K47" s="98"/>
      <c r="L47" s="47"/>
    </row>
  </sheetData>
  <sheetProtection sheet="1" objects="1" scenarios="1"/>
  <mergeCells count="8">
    <mergeCell ref="A20:A47"/>
    <mergeCell ref="B3:K3"/>
    <mergeCell ref="A7:A19"/>
    <mergeCell ref="N10:O11"/>
    <mergeCell ref="P10:P11"/>
    <mergeCell ref="N12:O14"/>
    <mergeCell ref="P12:P14"/>
    <mergeCell ref="N15:O1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C35F-5774-4DEE-9905-7B7C61A41D99}">
  <dimension ref="A3:Q47"/>
  <sheetViews>
    <sheetView zoomScale="70" zoomScaleNormal="70" workbookViewId="0">
      <selection activeCell="C23" sqref="C23"/>
    </sheetView>
  </sheetViews>
  <sheetFormatPr defaultColWidth="9.140625" defaultRowHeight="15" x14ac:dyDescent="0.25"/>
  <cols>
    <col min="1" max="1" width="23.140625" style="1" customWidth="1"/>
    <col min="2" max="2" width="9.140625" style="1"/>
    <col min="3" max="3" width="37.7109375" style="1" customWidth="1"/>
    <col min="4" max="4" width="24.85546875" style="1" customWidth="1"/>
    <col min="5" max="5" width="19.5703125" style="1" customWidth="1"/>
    <col min="6" max="6" width="20.28515625" style="1" customWidth="1"/>
    <col min="7" max="7" width="19.5703125" style="1" customWidth="1"/>
    <col min="8" max="8" width="20.42578125" style="1" customWidth="1"/>
    <col min="9" max="9" width="18" style="1" customWidth="1"/>
    <col min="10" max="10" width="20" style="1" customWidth="1"/>
    <col min="11" max="11" width="39.85546875" style="1" customWidth="1"/>
    <col min="12" max="12" width="11.5703125" style="1" customWidth="1"/>
    <col min="13" max="13" width="5" style="1" customWidth="1"/>
    <col min="14" max="14" width="31.425781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6" ht="27.75" x14ac:dyDescent="0.25">
      <c r="B3" s="165" t="s">
        <v>30</v>
      </c>
      <c r="C3" s="165"/>
      <c r="D3" s="165"/>
      <c r="E3" s="165"/>
      <c r="F3" s="165"/>
      <c r="G3" s="165"/>
      <c r="H3" s="165"/>
      <c r="I3" s="165"/>
      <c r="J3" s="165"/>
      <c r="K3" s="165"/>
    </row>
    <row r="4" spans="1:16" ht="30.75" x14ac:dyDescent="0.25">
      <c r="C4" s="59"/>
      <c r="D4" s="59"/>
      <c r="E4" s="59"/>
      <c r="G4" s="58" t="s">
        <v>137</v>
      </c>
      <c r="I4" s="59"/>
      <c r="J4" s="59"/>
      <c r="K4" s="59"/>
    </row>
    <row r="5" spans="1:16" ht="12" customHeight="1" x14ac:dyDescent="0.25"/>
    <row r="6" spans="1:16" ht="53.25" customHeight="1" x14ac:dyDescent="0.25">
      <c r="A6" s="57"/>
      <c r="B6" s="65" t="s">
        <v>0</v>
      </c>
      <c r="C6" s="65" t="s">
        <v>1</v>
      </c>
      <c r="D6" s="65" t="s">
        <v>47</v>
      </c>
      <c r="E6" s="65" t="s">
        <v>46</v>
      </c>
      <c r="F6" s="65" t="s">
        <v>4</v>
      </c>
      <c r="G6" s="66" t="s">
        <v>94</v>
      </c>
      <c r="H6" s="65" t="s">
        <v>86</v>
      </c>
      <c r="I6" s="65" t="s">
        <v>87</v>
      </c>
      <c r="J6" s="65" t="s">
        <v>6</v>
      </c>
      <c r="K6" s="65" t="s">
        <v>33</v>
      </c>
      <c r="L6" s="65" t="s">
        <v>48</v>
      </c>
      <c r="N6" s="49" t="s">
        <v>63</v>
      </c>
    </row>
    <row r="7" spans="1:16" ht="23.25" customHeight="1" x14ac:dyDescent="0.25">
      <c r="A7" s="171" t="s">
        <v>90</v>
      </c>
      <c r="B7" s="38">
        <v>1</v>
      </c>
      <c r="C7" s="39" t="s">
        <v>91</v>
      </c>
      <c r="D7" s="40"/>
      <c r="E7" s="60" t="s">
        <v>76</v>
      </c>
      <c r="F7" s="41">
        <v>1200000</v>
      </c>
      <c r="G7" s="41">
        <f>IF(F7="",0,IF(F7&gt;1800000,F7*O$19,F7*O$18))</f>
        <v>720000</v>
      </c>
      <c r="H7" s="41">
        <v>720000</v>
      </c>
      <c r="I7" s="41">
        <f>G7-H7</f>
        <v>0</v>
      </c>
      <c r="J7" s="50" t="s">
        <v>25</v>
      </c>
      <c r="K7" s="129"/>
      <c r="L7" s="46"/>
      <c r="N7" s="50" t="s">
        <v>25</v>
      </c>
    </row>
    <row r="8" spans="1:16" ht="16.5" customHeight="1" x14ac:dyDescent="0.25">
      <c r="A8" s="172"/>
      <c r="B8" s="38">
        <f>B7+1</f>
        <v>2</v>
      </c>
      <c r="C8" s="39"/>
      <c r="D8" s="45"/>
      <c r="E8" s="72" t="s">
        <v>65</v>
      </c>
      <c r="F8" s="41"/>
      <c r="G8" s="41">
        <f t="shared" ref="G8:G18" si="0">IF(F8="",0,IF(F8&gt;1800000,F8*O$19,F8*O$18))</f>
        <v>0</v>
      </c>
      <c r="H8" s="41"/>
      <c r="I8" s="41">
        <f t="shared" ref="I8:I18" si="1">G8-H8</f>
        <v>0</v>
      </c>
      <c r="J8" s="128"/>
      <c r="K8" s="130"/>
      <c r="L8" s="46"/>
      <c r="N8" s="48" t="s">
        <v>64</v>
      </c>
    </row>
    <row r="9" spans="1:16" ht="16.5" customHeight="1" x14ac:dyDescent="0.25">
      <c r="A9" s="172"/>
      <c r="B9" s="38">
        <f t="shared" ref="B9:B18" si="2">B8+1</f>
        <v>3</v>
      </c>
      <c r="C9" s="122" t="s">
        <v>102</v>
      </c>
      <c r="D9" s="123"/>
      <c r="E9" s="124" t="s">
        <v>71</v>
      </c>
      <c r="F9" s="125"/>
      <c r="G9" s="125">
        <f t="shared" si="0"/>
        <v>0</v>
      </c>
      <c r="H9" s="126"/>
      <c r="I9" s="125">
        <f t="shared" si="1"/>
        <v>0</v>
      </c>
      <c r="J9" s="127"/>
      <c r="K9" s="130" t="s">
        <v>114</v>
      </c>
      <c r="L9" s="47"/>
    </row>
    <row r="10" spans="1:16" ht="16.5" customHeight="1" x14ac:dyDescent="0.25">
      <c r="A10" s="172"/>
      <c r="B10" s="38">
        <f>B9+1</f>
        <v>4</v>
      </c>
      <c r="C10" s="42" t="s">
        <v>92</v>
      </c>
      <c r="D10" s="43"/>
      <c r="E10" s="60" t="s">
        <v>76</v>
      </c>
      <c r="F10" s="44">
        <v>1150000</v>
      </c>
      <c r="G10" s="41">
        <f t="shared" si="0"/>
        <v>690000</v>
      </c>
      <c r="H10" s="44">
        <v>690000</v>
      </c>
      <c r="I10" s="41">
        <f t="shared" si="1"/>
        <v>0</v>
      </c>
      <c r="J10" s="50" t="s">
        <v>25</v>
      </c>
      <c r="K10" s="130"/>
      <c r="L10" s="46"/>
      <c r="N10" s="174" t="s">
        <v>28</v>
      </c>
      <c r="O10" s="174"/>
      <c r="P10" s="175">
        <f>SUM(F7:F1006)</f>
        <v>40751000</v>
      </c>
    </row>
    <row r="11" spans="1:16" ht="16.5" customHeight="1" x14ac:dyDescent="0.25">
      <c r="A11" s="172"/>
      <c r="B11" s="38">
        <f t="shared" si="2"/>
        <v>5</v>
      </c>
      <c r="C11" s="42" t="s">
        <v>112</v>
      </c>
      <c r="D11" s="43"/>
      <c r="E11" s="60" t="s">
        <v>76</v>
      </c>
      <c r="F11" s="44">
        <v>200000</v>
      </c>
      <c r="G11" s="41">
        <f t="shared" si="0"/>
        <v>120000</v>
      </c>
      <c r="H11" s="44">
        <v>120000</v>
      </c>
      <c r="I11" s="41">
        <f t="shared" si="1"/>
        <v>0</v>
      </c>
      <c r="J11" s="50" t="s">
        <v>25</v>
      </c>
      <c r="K11" s="130"/>
      <c r="L11" s="46"/>
      <c r="N11" s="174"/>
      <c r="O11" s="174"/>
      <c r="P11" s="175"/>
    </row>
    <row r="12" spans="1:16" ht="16.5" customHeight="1" x14ac:dyDescent="0.25">
      <c r="A12" s="172"/>
      <c r="B12" s="38">
        <f t="shared" si="2"/>
        <v>6</v>
      </c>
      <c r="C12" s="42" t="s">
        <v>96</v>
      </c>
      <c r="D12" s="43"/>
      <c r="E12" s="60" t="s">
        <v>76</v>
      </c>
      <c r="F12" s="44"/>
      <c r="G12" s="41">
        <f t="shared" si="0"/>
        <v>0</v>
      </c>
      <c r="H12" s="44"/>
      <c r="I12" s="41">
        <f t="shared" si="1"/>
        <v>0</v>
      </c>
      <c r="J12" s="62"/>
      <c r="K12" s="130"/>
      <c r="L12" s="46"/>
      <c r="N12" s="176" t="s">
        <v>95</v>
      </c>
      <c r="O12" s="176"/>
      <c r="P12" s="175">
        <f>SUM(G7:G1006)</f>
        <v>20907500</v>
      </c>
    </row>
    <row r="13" spans="1:16" ht="22.5" customHeight="1" x14ac:dyDescent="0.25">
      <c r="A13" s="172"/>
      <c r="B13" s="38">
        <f t="shared" si="2"/>
        <v>7</v>
      </c>
      <c r="C13" s="42" t="s">
        <v>96</v>
      </c>
      <c r="D13" s="43"/>
      <c r="E13" s="60" t="s">
        <v>76</v>
      </c>
      <c r="F13" s="44"/>
      <c r="G13" s="41">
        <f t="shared" si="0"/>
        <v>0</v>
      </c>
      <c r="H13" s="44"/>
      <c r="I13" s="41">
        <f t="shared" si="1"/>
        <v>0</v>
      </c>
      <c r="J13" s="62"/>
      <c r="K13" s="130"/>
      <c r="L13" s="46"/>
      <c r="N13" s="176"/>
      <c r="O13" s="176"/>
      <c r="P13" s="175"/>
    </row>
    <row r="14" spans="1:16" ht="16.5" customHeight="1" x14ac:dyDescent="0.25">
      <c r="A14" s="172"/>
      <c r="B14" s="38">
        <f t="shared" si="2"/>
        <v>8</v>
      </c>
      <c r="C14" s="42" t="s">
        <v>96</v>
      </c>
      <c r="D14" s="43"/>
      <c r="E14" s="60" t="s">
        <v>76</v>
      </c>
      <c r="F14" s="44"/>
      <c r="G14" s="41">
        <f t="shared" si="0"/>
        <v>0</v>
      </c>
      <c r="H14" s="44"/>
      <c r="I14" s="41">
        <f t="shared" si="1"/>
        <v>0</v>
      </c>
      <c r="J14" s="62"/>
      <c r="K14" s="130"/>
      <c r="L14" s="46"/>
      <c r="N14" s="176"/>
      <c r="O14" s="176"/>
      <c r="P14" s="175"/>
    </row>
    <row r="15" spans="1:16" ht="22.5" customHeight="1" x14ac:dyDescent="0.3">
      <c r="A15" s="172"/>
      <c r="B15" s="38">
        <f>B14+1</f>
        <v>9</v>
      </c>
      <c r="C15" s="42" t="s">
        <v>96</v>
      </c>
      <c r="D15" s="43"/>
      <c r="E15" s="60" t="s">
        <v>76</v>
      </c>
      <c r="F15" s="44"/>
      <c r="G15" s="41">
        <f t="shared" si="0"/>
        <v>0</v>
      </c>
      <c r="H15" s="44"/>
      <c r="I15" s="41">
        <f t="shared" si="1"/>
        <v>0</v>
      </c>
      <c r="J15" s="62"/>
      <c r="K15" s="130"/>
      <c r="L15" s="46"/>
      <c r="N15" s="177" t="s">
        <v>88</v>
      </c>
      <c r="O15" s="177"/>
      <c r="P15" s="67">
        <f>SUM(H7:H1006)</f>
        <v>21280000</v>
      </c>
    </row>
    <row r="16" spans="1:16" ht="16.5" customHeight="1" x14ac:dyDescent="0.25">
      <c r="A16" s="172"/>
      <c r="B16" s="38">
        <f t="shared" si="2"/>
        <v>10</v>
      </c>
      <c r="C16" s="42" t="s">
        <v>96</v>
      </c>
      <c r="D16" s="43"/>
      <c r="E16" s="60"/>
      <c r="F16" s="44"/>
      <c r="G16" s="41">
        <f t="shared" si="0"/>
        <v>0</v>
      </c>
      <c r="H16" s="44"/>
      <c r="I16" s="41">
        <f t="shared" si="1"/>
        <v>0</v>
      </c>
      <c r="J16" s="62"/>
      <c r="K16" s="130"/>
      <c r="L16" s="46"/>
    </row>
    <row r="17" spans="1:17" ht="16.5" customHeight="1" x14ac:dyDescent="0.25">
      <c r="A17" s="172"/>
      <c r="B17" s="38">
        <f t="shared" si="2"/>
        <v>11</v>
      </c>
      <c r="C17" s="42" t="s">
        <v>96</v>
      </c>
      <c r="D17" s="43"/>
      <c r="E17" s="60"/>
      <c r="F17" s="44"/>
      <c r="G17" s="41">
        <f t="shared" si="0"/>
        <v>0</v>
      </c>
      <c r="H17" s="44"/>
      <c r="I17" s="41">
        <f t="shared" si="1"/>
        <v>0</v>
      </c>
      <c r="J17" s="62"/>
      <c r="K17" s="130"/>
      <c r="L17" s="46"/>
    </row>
    <row r="18" spans="1:17" ht="16.5" customHeight="1" x14ac:dyDescent="0.3">
      <c r="A18" s="172"/>
      <c r="B18" s="38">
        <f t="shared" si="2"/>
        <v>12</v>
      </c>
      <c r="C18" s="42" t="s">
        <v>96</v>
      </c>
      <c r="D18" s="43"/>
      <c r="E18" s="60"/>
      <c r="F18" s="44"/>
      <c r="G18" s="41">
        <f t="shared" si="0"/>
        <v>0</v>
      </c>
      <c r="H18" s="44"/>
      <c r="I18" s="41">
        <f t="shared" si="1"/>
        <v>0</v>
      </c>
      <c r="J18" s="62"/>
      <c r="K18" s="130"/>
      <c r="L18" s="46"/>
      <c r="N18" s="64" t="s">
        <v>60</v>
      </c>
      <c r="O18" s="68">
        <v>0.6</v>
      </c>
      <c r="Q18" s="70" t="s">
        <v>99</v>
      </c>
    </row>
    <row r="19" spans="1:17" ht="16.5" customHeight="1" x14ac:dyDescent="0.3">
      <c r="A19" s="173"/>
      <c r="B19" s="51"/>
      <c r="C19" s="52"/>
      <c r="D19" s="51"/>
      <c r="E19" s="53"/>
      <c r="F19" s="54"/>
      <c r="G19" s="54"/>
      <c r="H19" s="63"/>
      <c r="I19" s="61"/>
      <c r="J19" s="55"/>
      <c r="K19" s="131"/>
      <c r="L19" s="56"/>
      <c r="N19" s="64" t="s">
        <v>60</v>
      </c>
      <c r="O19" s="69">
        <v>0.5</v>
      </c>
      <c r="Q19" s="70" t="s">
        <v>100</v>
      </c>
    </row>
    <row r="20" spans="1:17" ht="16.5" customHeight="1" x14ac:dyDescent="0.25">
      <c r="A20" s="169" t="s">
        <v>89</v>
      </c>
      <c r="B20" s="38">
        <v>1</v>
      </c>
      <c r="C20" s="73" t="s">
        <v>124</v>
      </c>
      <c r="D20" s="74"/>
      <c r="E20" s="74" t="s">
        <v>13</v>
      </c>
      <c r="F20" s="75">
        <v>2500000</v>
      </c>
      <c r="G20" s="75">
        <f t="shared" ref="G20:G47" si="3">IF(F20="",0,IF(F20&gt;=1700000,F20*O$19,F20*O$18))</f>
        <v>1250000</v>
      </c>
      <c r="H20" s="75">
        <v>1250000</v>
      </c>
      <c r="I20" s="75">
        <f t="shared" ref="I20:I47" si="4">G20-H20</f>
        <v>0</v>
      </c>
      <c r="J20" s="49" t="s">
        <v>63</v>
      </c>
      <c r="K20" s="132"/>
      <c r="L20" s="76"/>
    </row>
    <row r="21" spans="1:17" ht="16.5" customHeight="1" x14ac:dyDescent="0.25">
      <c r="A21" s="170"/>
      <c r="B21" s="38">
        <f>B20+1</f>
        <v>2</v>
      </c>
      <c r="C21" s="133" t="s">
        <v>125</v>
      </c>
      <c r="D21" s="134"/>
      <c r="E21" s="134" t="s">
        <v>105</v>
      </c>
      <c r="F21" s="115"/>
      <c r="G21" s="109">
        <f t="shared" si="3"/>
        <v>0</v>
      </c>
      <c r="H21" s="115"/>
      <c r="I21" s="109">
        <f t="shared" si="4"/>
        <v>0</v>
      </c>
      <c r="J21" s="135"/>
      <c r="K21" s="136" t="s">
        <v>132</v>
      </c>
      <c r="L21" s="80"/>
    </row>
    <row r="22" spans="1:17" ht="16.5" customHeight="1" x14ac:dyDescent="0.25">
      <c r="A22" s="170"/>
      <c r="B22" s="38">
        <f t="shared" ref="B22:B47" si="5">B21+1</f>
        <v>3</v>
      </c>
      <c r="C22" s="73" t="s">
        <v>127</v>
      </c>
      <c r="D22" s="81"/>
      <c r="E22" s="81" t="s">
        <v>21</v>
      </c>
      <c r="F22" s="75">
        <v>2340000</v>
      </c>
      <c r="G22" s="75">
        <f t="shared" si="3"/>
        <v>1170000</v>
      </c>
      <c r="H22" s="79">
        <v>1170000</v>
      </c>
      <c r="I22" s="75">
        <f t="shared" si="4"/>
        <v>0</v>
      </c>
      <c r="J22" s="49" t="s">
        <v>63</v>
      </c>
      <c r="K22" s="132"/>
      <c r="L22" s="82"/>
    </row>
    <row r="23" spans="1:17" ht="16.5" customHeight="1" x14ac:dyDescent="0.25">
      <c r="A23" s="170"/>
      <c r="B23" s="38">
        <f t="shared" si="5"/>
        <v>4</v>
      </c>
      <c r="C23" s="73" t="s">
        <v>126</v>
      </c>
      <c r="D23" s="81"/>
      <c r="E23" s="81" t="s">
        <v>26</v>
      </c>
      <c r="F23" s="75">
        <v>1430000</v>
      </c>
      <c r="G23" s="75">
        <f t="shared" si="3"/>
        <v>858000</v>
      </c>
      <c r="H23" s="75">
        <v>858000</v>
      </c>
      <c r="I23" s="75">
        <f t="shared" si="4"/>
        <v>0</v>
      </c>
      <c r="J23" s="49" t="s">
        <v>63</v>
      </c>
      <c r="K23" s="132"/>
      <c r="L23" s="76"/>
    </row>
    <row r="24" spans="1:17" ht="16.5" customHeight="1" x14ac:dyDescent="0.25">
      <c r="A24" s="170"/>
      <c r="B24" s="38">
        <f t="shared" si="5"/>
        <v>5</v>
      </c>
      <c r="C24" s="73" t="s">
        <v>107</v>
      </c>
      <c r="D24" s="81"/>
      <c r="E24" s="81" t="s">
        <v>53</v>
      </c>
      <c r="F24" s="75">
        <v>2840000</v>
      </c>
      <c r="G24" s="75">
        <f t="shared" si="3"/>
        <v>1420000</v>
      </c>
      <c r="H24" s="79">
        <v>1420000</v>
      </c>
      <c r="I24" s="75">
        <f t="shared" si="4"/>
        <v>0</v>
      </c>
      <c r="J24" s="49" t="s">
        <v>63</v>
      </c>
      <c r="K24" s="132"/>
      <c r="L24" s="82"/>
    </row>
    <row r="25" spans="1:17" ht="16.5" customHeight="1" x14ac:dyDescent="0.25">
      <c r="A25" s="170"/>
      <c r="B25" s="38">
        <f t="shared" si="5"/>
        <v>6</v>
      </c>
      <c r="C25" s="73" t="s">
        <v>128</v>
      </c>
      <c r="D25" s="76"/>
      <c r="E25" s="76" t="s">
        <v>104</v>
      </c>
      <c r="F25" s="75">
        <v>2170000</v>
      </c>
      <c r="G25" s="75">
        <f t="shared" si="3"/>
        <v>1085000</v>
      </c>
      <c r="H25" s="79">
        <v>1100000</v>
      </c>
      <c r="I25" s="75">
        <f t="shared" si="4"/>
        <v>-15000</v>
      </c>
      <c r="J25" s="49" t="s">
        <v>63</v>
      </c>
      <c r="K25" s="132"/>
      <c r="L25" s="76"/>
    </row>
    <row r="26" spans="1:17" ht="22.15" customHeight="1" x14ac:dyDescent="0.25">
      <c r="A26" s="170"/>
      <c r="B26" s="38">
        <f t="shared" si="5"/>
        <v>7</v>
      </c>
      <c r="C26" s="77" t="s">
        <v>75</v>
      </c>
      <c r="D26" s="80"/>
      <c r="E26" s="76" t="s">
        <v>70</v>
      </c>
      <c r="F26" s="75">
        <v>2592000</v>
      </c>
      <c r="G26" s="75">
        <f t="shared" si="3"/>
        <v>1296000</v>
      </c>
      <c r="H26" s="75">
        <v>1296000</v>
      </c>
      <c r="I26" s="75">
        <f t="shared" si="4"/>
        <v>0</v>
      </c>
      <c r="J26" s="49" t="s">
        <v>63</v>
      </c>
      <c r="K26" s="132"/>
      <c r="L26" s="76"/>
    </row>
    <row r="27" spans="1:17" ht="20.45" customHeight="1" x14ac:dyDescent="0.3">
      <c r="A27" s="170"/>
      <c r="B27" s="38">
        <f t="shared" si="5"/>
        <v>8</v>
      </c>
      <c r="C27" s="77" t="s">
        <v>123</v>
      </c>
      <c r="D27" s="87"/>
      <c r="E27" s="86" t="s">
        <v>76</v>
      </c>
      <c r="F27" s="79">
        <v>2888000</v>
      </c>
      <c r="G27" s="75">
        <f t="shared" si="3"/>
        <v>1444000</v>
      </c>
      <c r="H27" s="75">
        <v>1444000</v>
      </c>
      <c r="I27" s="75">
        <f t="shared" si="4"/>
        <v>0</v>
      </c>
      <c r="J27" s="49" t="s">
        <v>63</v>
      </c>
      <c r="K27" s="132"/>
      <c r="L27" s="76"/>
    </row>
    <row r="28" spans="1:17" ht="16.5" customHeight="1" x14ac:dyDescent="0.25">
      <c r="A28" s="170"/>
      <c r="B28" s="38">
        <f t="shared" si="5"/>
        <v>9</v>
      </c>
      <c r="C28" s="88" t="s">
        <v>129</v>
      </c>
      <c r="D28" s="74"/>
      <c r="E28" s="81" t="s">
        <v>24</v>
      </c>
      <c r="F28" s="79">
        <v>2000000</v>
      </c>
      <c r="G28" s="75">
        <f t="shared" si="3"/>
        <v>1000000</v>
      </c>
      <c r="H28" s="79">
        <v>1000000</v>
      </c>
      <c r="I28" s="75">
        <f t="shared" si="4"/>
        <v>0</v>
      </c>
      <c r="J28" s="49" t="s">
        <v>63</v>
      </c>
      <c r="K28" s="132" t="s">
        <v>131</v>
      </c>
      <c r="L28" s="76"/>
    </row>
    <row r="29" spans="1:17" ht="16.5" customHeight="1" x14ac:dyDescent="0.3">
      <c r="A29" s="170"/>
      <c r="B29" s="38">
        <f t="shared" si="5"/>
        <v>10</v>
      </c>
      <c r="C29" s="88" t="s">
        <v>97</v>
      </c>
      <c r="D29" s="81"/>
      <c r="E29" s="76" t="s">
        <v>106</v>
      </c>
      <c r="F29" s="118">
        <v>4180000</v>
      </c>
      <c r="G29" s="75">
        <f t="shared" si="3"/>
        <v>2090000</v>
      </c>
      <c r="H29" s="118">
        <v>2090000</v>
      </c>
      <c r="I29" s="75">
        <f t="shared" si="4"/>
        <v>0</v>
      </c>
      <c r="J29" s="49" t="s">
        <v>63</v>
      </c>
      <c r="K29" s="132" t="s">
        <v>121</v>
      </c>
      <c r="L29" s="93"/>
    </row>
    <row r="30" spans="1:17" ht="16.5" customHeight="1" x14ac:dyDescent="0.25">
      <c r="A30" s="170"/>
      <c r="B30" s="38">
        <f t="shared" si="5"/>
        <v>11</v>
      </c>
      <c r="C30" s="88" t="s">
        <v>108</v>
      </c>
      <c r="D30" s="78"/>
      <c r="E30" s="81" t="s">
        <v>52</v>
      </c>
      <c r="F30" s="89">
        <v>2070000</v>
      </c>
      <c r="G30" s="75">
        <f t="shared" si="3"/>
        <v>1035000</v>
      </c>
      <c r="H30" s="119">
        <v>1035000</v>
      </c>
      <c r="I30" s="75">
        <f t="shared" si="4"/>
        <v>0</v>
      </c>
      <c r="J30" s="49" t="s">
        <v>63</v>
      </c>
      <c r="K30" s="132"/>
      <c r="L30" s="80"/>
    </row>
    <row r="31" spans="1:17" ht="15" customHeight="1" x14ac:dyDescent="0.3">
      <c r="A31" s="170"/>
      <c r="B31" s="38">
        <f t="shared" si="5"/>
        <v>12</v>
      </c>
      <c r="C31" s="77" t="s">
        <v>103</v>
      </c>
      <c r="D31" s="74"/>
      <c r="E31" s="74" t="s">
        <v>16</v>
      </c>
      <c r="F31" s="89">
        <v>2490000</v>
      </c>
      <c r="G31" s="75">
        <f t="shared" si="3"/>
        <v>1245000</v>
      </c>
      <c r="H31" s="89">
        <v>1245000</v>
      </c>
      <c r="I31" s="75">
        <f t="shared" si="4"/>
        <v>0</v>
      </c>
      <c r="J31" s="49" t="s">
        <v>63</v>
      </c>
      <c r="K31" s="132"/>
      <c r="L31" s="93"/>
    </row>
    <row r="32" spans="1:17" ht="15" customHeight="1" x14ac:dyDescent="0.3">
      <c r="A32" s="170"/>
      <c r="B32" s="38">
        <f t="shared" si="5"/>
        <v>13</v>
      </c>
      <c r="C32" s="77" t="s">
        <v>110</v>
      </c>
      <c r="D32" s="87"/>
      <c r="E32" s="81" t="s">
        <v>98</v>
      </c>
      <c r="F32" s="75">
        <v>1340000</v>
      </c>
      <c r="G32" s="75">
        <f t="shared" si="3"/>
        <v>804000</v>
      </c>
      <c r="H32" s="75">
        <v>804000</v>
      </c>
      <c r="I32" s="75">
        <f t="shared" si="4"/>
        <v>0</v>
      </c>
      <c r="J32" s="49" t="s">
        <v>63</v>
      </c>
      <c r="K32" s="132"/>
      <c r="L32" s="93"/>
    </row>
    <row r="33" spans="1:12" ht="18.75" customHeight="1" x14ac:dyDescent="0.3">
      <c r="A33" s="170"/>
      <c r="B33" s="38">
        <f t="shared" si="5"/>
        <v>14</v>
      </c>
      <c r="C33" s="87" t="s">
        <v>109</v>
      </c>
      <c r="D33" s="87"/>
      <c r="E33" s="81" t="s">
        <v>35</v>
      </c>
      <c r="F33" s="90">
        <v>2146000</v>
      </c>
      <c r="G33" s="75">
        <f t="shared" si="3"/>
        <v>1073000</v>
      </c>
      <c r="H33" s="89">
        <v>1287000</v>
      </c>
      <c r="I33" s="75">
        <f t="shared" si="4"/>
        <v>-214000</v>
      </c>
      <c r="J33" s="49" t="s">
        <v>63</v>
      </c>
      <c r="K33" s="89" t="s">
        <v>136</v>
      </c>
      <c r="L33" s="76"/>
    </row>
    <row r="34" spans="1:12" ht="18.75" x14ac:dyDescent="0.3">
      <c r="A34" s="170"/>
      <c r="B34" s="38">
        <f t="shared" si="5"/>
        <v>15</v>
      </c>
      <c r="C34" s="87" t="s">
        <v>111</v>
      </c>
      <c r="D34" s="120"/>
      <c r="E34" s="81" t="s">
        <v>15</v>
      </c>
      <c r="F34" s="79">
        <v>3385000</v>
      </c>
      <c r="G34" s="75">
        <f t="shared" si="3"/>
        <v>1692500</v>
      </c>
      <c r="H34" s="79">
        <v>1831000</v>
      </c>
      <c r="I34" s="75">
        <f t="shared" si="4"/>
        <v>-138500</v>
      </c>
      <c r="J34" s="49" t="s">
        <v>63</v>
      </c>
      <c r="K34" s="132" t="s">
        <v>135</v>
      </c>
      <c r="L34" s="76"/>
    </row>
    <row r="35" spans="1:12" ht="18.75" x14ac:dyDescent="0.3">
      <c r="A35" s="170"/>
      <c r="B35" s="38">
        <f t="shared" si="5"/>
        <v>16</v>
      </c>
      <c r="C35" s="93" t="s">
        <v>122</v>
      </c>
      <c r="D35" s="57"/>
      <c r="E35" s="86" t="s">
        <v>76</v>
      </c>
      <c r="F35" s="118">
        <v>1770000</v>
      </c>
      <c r="G35" s="75">
        <f t="shared" si="3"/>
        <v>885000</v>
      </c>
      <c r="H35" s="118">
        <v>890000</v>
      </c>
      <c r="I35" s="75">
        <f t="shared" si="4"/>
        <v>-5000</v>
      </c>
      <c r="J35" s="49" t="s">
        <v>63</v>
      </c>
      <c r="K35" s="132"/>
      <c r="L35" s="80"/>
    </row>
    <row r="36" spans="1:12" ht="18.75" x14ac:dyDescent="0.3">
      <c r="A36" s="170"/>
      <c r="B36" s="38">
        <f t="shared" si="5"/>
        <v>17</v>
      </c>
      <c r="C36" s="93" t="s">
        <v>130</v>
      </c>
      <c r="D36" s="57"/>
      <c r="E36" s="86" t="s">
        <v>76</v>
      </c>
      <c r="F36" s="118">
        <v>2060000</v>
      </c>
      <c r="G36" s="75">
        <f t="shared" si="3"/>
        <v>1030000</v>
      </c>
      <c r="H36" s="118">
        <v>1030000</v>
      </c>
      <c r="I36" s="75">
        <f t="shared" si="4"/>
        <v>0</v>
      </c>
      <c r="J36" s="49" t="s">
        <v>63</v>
      </c>
      <c r="K36" s="132"/>
      <c r="L36" s="46"/>
    </row>
    <row r="37" spans="1:12" ht="18.75" x14ac:dyDescent="0.3">
      <c r="A37" s="170"/>
      <c r="B37" s="38">
        <f t="shared" si="5"/>
        <v>18</v>
      </c>
      <c r="C37" s="99" t="s">
        <v>133</v>
      </c>
      <c r="D37" s="43"/>
      <c r="E37" s="86" t="s">
        <v>76</v>
      </c>
      <c r="F37" s="90"/>
      <c r="G37" s="75">
        <f t="shared" si="3"/>
        <v>0</v>
      </c>
      <c r="H37" s="89"/>
      <c r="I37" s="75">
        <f t="shared" si="4"/>
        <v>0</v>
      </c>
      <c r="J37" s="83"/>
      <c r="K37" s="98"/>
      <c r="L37" s="47"/>
    </row>
    <row r="38" spans="1:12" ht="18.75" x14ac:dyDescent="0.3">
      <c r="A38" s="170"/>
      <c r="B38" s="38">
        <f t="shared" si="5"/>
        <v>19</v>
      </c>
      <c r="C38" s="99" t="s">
        <v>134</v>
      </c>
      <c r="D38" s="43"/>
      <c r="E38" s="86" t="s">
        <v>76</v>
      </c>
      <c r="F38" s="90"/>
      <c r="G38" s="75">
        <f t="shared" si="3"/>
        <v>0</v>
      </c>
      <c r="H38" s="89"/>
      <c r="I38" s="75">
        <f t="shared" si="4"/>
        <v>0</v>
      </c>
      <c r="J38" s="83"/>
      <c r="K38" s="98"/>
      <c r="L38" s="47"/>
    </row>
    <row r="39" spans="1:12" ht="18.75" x14ac:dyDescent="0.3">
      <c r="A39" s="170"/>
      <c r="B39" s="38">
        <f t="shared" si="5"/>
        <v>20</v>
      </c>
      <c r="C39" s="99"/>
      <c r="D39" s="43"/>
      <c r="E39" s="86" t="s">
        <v>76</v>
      </c>
      <c r="F39" s="100"/>
      <c r="G39" s="75">
        <f t="shared" si="3"/>
        <v>0</v>
      </c>
      <c r="H39" s="89"/>
      <c r="I39" s="75">
        <f t="shared" si="4"/>
        <v>0</v>
      </c>
      <c r="J39" s="83"/>
      <c r="K39" s="98"/>
      <c r="L39" s="47"/>
    </row>
    <row r="40" spans="1:12" ht="18.75" x14ac:dyDescent="0.3">
      <c r="A40" s="170"/>
      <c r="B40" s="38">
        <f t="shared" si="5"/>
        <v>21</v>
      </c>
      <c r="C40" s="99"/>
      <c r="D40" s="43"/>
      <c r="E40" s="60" t="s">
        <v>76</v>
      </c>
      <c r="F40" s="100"/>
      <c r="G40" s="75">
        <f t="shared" si="3"/>
        <v>0</v>
      </c>
      <c r="H40" s="89"/>
      <c r="I40" s="75">
        <f t="shared" si="4"/>
        <v>0</v>
      </c>
      <c r="J40" s="83"/>
      <c r="K40" s="98"/>
      <c r="L40" s="47"/>
    </row>
    <row r="41" spans="1:12" ht="18.75" x14ac:dyDescent="0.3">
      <c r="A41" s="170"/>
      <c r="B41" s="38">
        <f t="shared" si="5"/>
        <v>22</v>
      </c>
      <c r="C41" s="99"/>
      <c r="D41" s="43"/>
      <c r="E41" s="60" t="s">
        <v>76</v>
      </c>
      <c r="F41" s="100"/>
      <c r="G41" s="75">
        <f t="shared" si="3"/>
        <v>0</v>
      </c>
      <c r="H41" s="89"/>
      <c r="I41" s="75">
        <f t="shared" si="4"/>
        <v>0</v>
      </c>
      <c r="J41" s="83"/>
      <c r="K41" s="98"/>
      <c r="L41" s="47"/>
    </row>
    <row r="42" spans="1:12" ht="18.75" x14ac:dyDescent="0.3">
      <c r="A42" s="170"/>
      <c r="B42" s="38">
        <f t="shared" si="5"/>
        <v>23</v>
      </c>
      <c r="C42" s="99"/>
      <c r="D42" s="43"/>
      <c r="E42" s="60" t="s">
        <v>76</v>
      </c>
      <c r="F42" s="100"/>
      <c r="G42" s="75">
        <f t="shared" si="3"/>
        <v>0</v>
      </c>
      <c r="H42" s="89"/>
      <c r="I42" s="75">
        <f t="shared" si="4"/>
        <v>0</v>
      </c>
      <c r="J42" s="83"/>
      <c r="K42" s="98"/>
      <c r="L42" s="47"/>
    </row>
    <row r="43" spans="1:12" ht="18.75" x14ac:dyDescent="0.3">
      <c r="A43" s="170"/>
      <c r="B43" s="38">
        <f t="shared" si="5"/>
        <v>24</v>
      </c>
      <c r="C43" s="99"/>
      <c r="D43" s="43"/>
      <c r="E43" s="43"/>
      <c r="F43" s="100"/>
      <c r="G43" s="75">
        <f t="shared" si="3"/>
        <v>0</v>
      </c>
      <c r="H43" s="89"/>
      <c r="I43" s="75">
        <f t="shared" si="4"/>
        <v>0</v>
      </c>
      <c r="J43" s="83"/>
      <c r="K43" s="98"/>
      <c r="L43" s="47"/>
    </row>
    <row r="44" spans="1:12" ht="18.75" x14ac:dyDescent="0.3">
      <c r="A44" s="170"/>
      <c r="B44" s="38">
        <f t="shared" si="5"/>
        <v>25</v>
      </c>
      <c r="C44" s="99"/>
      <c r="D44" s="43"/>
      <c r="E44" s="43"/>
      <c r="F44" s="100"/>
      <c r="G44" s="75">
        <f t="shared" si="3"/>
        <v>0</v>
      </c>
      <c r="H44" s="89"/>
      <c r="I44" s="75">
        <f t="shared" si="4"/>
        <v>0</v>
      </c>
      <c r="J44" s="83"/>
      <c r="K44" s="98"/>
      <c r="L44" s="47"/>
    </row>
    <row r="45" spans="1:12" ht="18.75" x14ac:dyDescent="0.3">
      <c r="A45" s="170"/>
      <c r="B45" s="38">
        <f t="shared" si="5"/>
        <v>26</v>
      </c>
      <c r="C45" s="99"/>
      <c r="D45" s="43"/>
      <c r="E45" s="43"/>
      <c r="F45" s="100"/>
      <c r="G45" s="75">
        <f t="shared" si="3"/>
        <v>0</v>
      </c>
      <c r="H45" s="89"/>
      <c r="I45" s="75">
        <f t="shared" si="4"/>
        <v>0</v>
      </c>
      <c r="J45" s="83"/>
      <c r="K45" s="98"/>
      <c r="L45" s="47"/>
    </row>
    <row r="46" spans="1:12" ht="18.75" x14ac:dyDescent="0.3">
      <c r="A46" s="170"/>
      <c r="B46" s="38">
        <f t="shared" si="5"/>
        <v>27</v>
      </c>
      <c r="C46" s="99"/>
      <c r="D46" s="43"/>
      <c r="E46" s="43"/>
      <c r="F46" s="100"/>
      <c r="G46" s="75">
        <f t="shared" si="3"/>
        <v>0</v>
      </c>
      <c r="H46" s="89"/>
      <c r="I46" s="75">
        <f t="shared" si="4"/>
        <v>0</v>
      </c>
      <c r="J46" s="83"/>
      <c r="K46" s="98"/>
      <c r="L46" s="47"/>
    </row>
    <row r="47" spans="1:12" ht="18.75" x14ac:dyDescent="0.3">
      <c r="A47" s="170"/>
      <c r="B47" s="38">
        <f t="shared" si="5"/>
        <v>28</v>
      </c>
      <c r="C47" s="99"/>
      <c r="D47" s="43"/>
      <c r="E47" s="43"/>
      <c r="F47" s="100"/>
      <c r="G47" s="75">
        <f t="shared" si="3"/>
        <v>0</v>
      </c>
      <c r="H47" s="89"/>
      <c r="I47" s="75">
        <f t="shared" si="4"/>
        <v>0</v>
      </c>
      <c r="J47" s="83"/>
      <c r="K47" s="98"/>
      <c r="L47" s="47"/>
    </row>
  </sheetData>
  <sheetProtection sheet="1" objects="1" scenarios="1"/>
  <mergeCells count="8">
    <mergeCell ref="A20:A47"/>
    <mergeCell ref="B3:K3"/>
    <mergeCell ref="A7:A19"/>
    <mergeCell ref="N10:O11"/>
    <mergeCell ref="P10:P11"/>
    <mergeCell ref="N12:O14"/>
    <mergeCell ref="P12:P14"/>
    <mergeCell ref="N15:O1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8E37-18F4-45D2-9A8A-CA2CAECC56FB}">
  <dimension ref="A3:Q47"/>
  <sheetViews>
    <sheetView topLeftCell="A3" zoomScale="70" zoomScaleNormal="70" workbookViewId="0">
      <selection activeCell="H10" activeCellId="1" sqref="H7 H10"/>
    </sheetView>
  </sheetViews>
  <sheetFormatPr defaultColWidth="9.140625" defaultRowHeight="15" x14ac:dyDescent="0.25"/>
  <cols>
    <col min="1" max="1" width="23.140625" style="1" customWidth="1"/>
    <col min="2" max="2" width="9.140625" style="1"/>
    <col min="3" max="3" width="37.7109375" style="1" customWidth="1"/>
    <col min="4" max="4" width="24.85546875" style="1" customWidth="1"/>
    <col min="5" max="5" width="19.5703125" style="1" customWidth="1"/>
    <col min="6" max="6" width="20.28515625" style="1" customWidth="1"/>
    <col min="7" max="7" width="19.5703125" style="1" customWidth="1"/>
    <col min="8" max="8" width="20.42578125" style="1" customWidth="1"/>
    <col min="9" max="9" width="18" style="1" customWidth="1"/>
    <col min="10" max="10" width="20" style="1" customWidth="1"/>
    <col min="11" max="11" width="39.85546875" style="1" customWidth="1"/>
    <col min="12" max="12" width="11.5703125" style="1" customWidth="1"/>
    <col min="13" max="13" width="5" style="1" customWidth="1"/>
    <col min="14" max="14" width="31.425781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6" ht="27.75" x14ac:dyDescent="0.25">
      <c r="B3" s="165" t="s">
        <v>30</v>
      </c>
      <c r="C3" s="165"/>
      <c r="D3" s="165"/>
      <c r="E3" s="165"/>
      <c r="F3" s="165"/>
      <c r="G3" s="165"/>
      <c r="H3" s="165"/>
      <c r="I3" s="165"/>
      <c r="J3" s="165"/>
      <c r="K3" s="165"/>
    </row>
    <row r="4" spans="1:16" ht="30.75" x14ac:dyDescent="0.25">
      <c r="C4" s="59"/>
      <c r="D4" s="59"/>
      <c r="E4" s="59"/>
      <c r="G4" s="58" t="s">
        <v>138</v>
      </c>
      <c r="I4" s="59"/>
      <c r="J4" s="59"/>
      <c r="K4" s="59"/>
    </row>
    <row r="5" spans="1:16" ht="12" customHeight="1" x14ac:dyDescent="0.25"/>
    <row r="6" spans="1:16" ht="53.25" customHeight="1" x14ac:dyDescent="0.25">
      <c r="A6" s="57"/>
      <c r="B6" s="65" t="s">
        <v>0</v>
      </c>
      <c r="C6" s="65" t="s">
        <v>1</v>
      </c>
      <c r="D6" s="65" t="s">
        <v>47</v>
      </c>
      <c r="E6" s="65" t="s">
        <v>46</v>
      </c>
      <c r="F6" s="65" t="s">
        <v>4</v>
      </c>
      <c r="G6" s="66" t="s">
        <v>94</v>
      </c>
      <c r="H6" s="65" t="s">
        <v>86</v>
      </c>
      <c r="I6" s="65" t="s">
        <v>87</v>
      </c>
      <c r="J6" s="65" t="s">
        <v>6</v>
      </c>
      <c r="K6" s="65" t="s">
        <v>33</v>
      </c>
      <c r="L6" s="65" t="s">
        <v>48</v>
      </c>
      <c r="N6" s="49" t="s">
        <v>63</v>
      </c>
    </row>
    <row r="7" spans="1:16" ht="23.25" customHeight="1" x14ac:dyDescent="0.25">
      <c r="A7" s="171" t="s">
        <v>90</v>
      </c>
      <c r="B7" s="38">
        <v>1</v>
      </c>
      <c r="C7" s="39" t="s">
        <v>91</v>
      </c>
      <c r="D7" s="40"/>
      <c r="E7" s="60" t="s">
        <v>76</v>
      </c>
      <c r="F7" s="41">
        <v>1250000</v>
      </c>
      <c r="G7" s="41">
        <f>IF(F7="",0,IF(F7&gt;1800000,F7*O$19,F7*O$18))</f>
        <v>750000</v>
      </c>
      <c r="H7" s="41">
        <v>750000</v>
      </c>
      <c r="I7" s="41">
        <f>G7-H7</f>
        <v>0</v>
      </c>
      <c r="J7" s="50" t="s">
        <v>25</v>
      </c>
      <c r="K7" s="129"/>
      <c r="L7" s="46"/>
      <c r="N7" s="50" t="s">
        <v>25</v>
      </c>
    </row>
    <row r="8" spans="1:16" ht="16.5" customHeight="1" x14ac:dyDescent="0.25">
      <c r="A8" s="172"/>
      <c r="B8" s="38">
        <f>B7+1</f>
        <v>2</v>
      </c>
      <c r="C8" s="39" t="s">
        <v>101</v>
      </c>
      <c r="D8" s="45"/>
      <c r="E8" s="72" t="s">
        <v>65</v>
      </c>
      <c r="F8" s="41">
        <v>340000</v>
      </c>
      <c r="G8" s="41">
        <f t="shared" ref="G8:G18" si="0">IF(F8="",0,IF(F8&gt;1800000,F8*O$19,F8*O$18))</f>
        <v>204000</v>
      </c>
      <c r="H8" s="41">
        <v>170000</v>
      </c>
      <c r="I8" s="41">
        <f t="shared" ref="I8:I18" si="1">G8-H8</f>
        <v>34000</v>
      </c>
      <c r="J8" s="50" t="s">
        <v>25</v>
      </c>
      <c r="K8" s="130"/>
      <c r="L8" s="46"/>
      <c r="N8" s="48" t="s">
        <v>64</v>
      </c>
    </row>
    <row r="9" spans="1:16" ht="16.5" customHeight="1" x14ac:dyDescent="0.25">
      <c r="A9" s="172"/>
      <c r="B9" s="38">
        <f t="shared" ref="B9:B18" si="2">B8+1</f>
        <v>3</v>
      </c>
      <c r="C9" s="122" t="s">
        <v>102</v>
      </c>
      <c r="D9" s="123"/>
      <c r="E9" s="124" t="s">
        <v>71</v>
      </c>
      <c r="F9" s="125"/>
      <c r="G9" s="125">
        <f t="shared" si="0"/>
        <v>0</v>
      </c>
      <c r="H9" s="126"/>
      <c r="I9" s="125">
        <f t="shared" si="1"/>
        <v>0</v>
      </c>
      <c r="J9" s="62"/>
      <c r="K9" s="130"/>
      <c r="L9" s="47"/>
    </row>
    <row r="10" spans="1:16" ht="16.5" customHeight="1" x14ac:dyDescent="0.25">
      <c r="A10" s="172"/>
      <c r="B10" s="38">
        <f>B9+1</f>
        <v>4</v>
      </c>
      <c r="C10" s="42" t="s">
        <v>92</v>
      </c>
      <c r="D10" s="43"/>
      <c r="E10" s="60" t="s">
        <v>76</v>
      </c>
      <c r="F10" s="44">
        <v>1000000</v>
      </c>
      <c r="G10" s="41">
        <f t="shared" si="0"/>
        <v>600000</v>
      </c>
      <c r="H10" s="44">
        <v>600000</v>
      </c>
      <c r="I10" s="41">
        <f t="shared" si="1"/>
        <v>0</v>
      </c>
      <c r="J10" s="50" t="s">
        <v>25</v>
      </c>
      <c r="K10" s="130"/>
      <c r="L10" s="46"/>
      <c r="N10" s="174" t="s">
        <v>28</v>
      </c>
      <c r="O10" s="174"/>
      <c r="P10" s="175">
        <f>SUM(F7:F1006)</f>
        <v>32460000</v>
      </c>
    </row>
    <row r="11" spans="1:16" ht="16.5" customHeight="1" x14ac:dyDescent="0.25">
      <c r="A11" s="172"/>
      <c r="B11" s="38">
        <f t="shared" si="2"/>
        <v>5</v>
      </c>
      <c r="C11" s="42"/>
      <c r="D11" s="43"/>
      <c r="E11" s="60" t="s">
        <v>76</v>
      </c>
      <c r="F11" s="44"/>
      <c r="G11" s="41">
        <f t="shared" si="0"/>
        <v>0</v>
      </c>
      <c r="H11" s="44"/>
      <c r="I11" s="41">
        <f t="shared" si="1"/>
        <v>0</v>
      </c>
      <c r="J11" s="128"/>
      <c r="K11" s="130"/>
      <c r="L11" s="46"/>
      <c r="N11" s="174"/>
      <c r="O11" s="174"/>
      <c r="P11" s="175"/>
    </row>
    <row r="12" spans="1:16" ht="16.5" customHeight="1" x14ac:dyDescent="0.25">
      <c r="A12" s="172"/>
      <c r="B12" s="38">
        <f t="shared" si="2"/>
        <v>6</v>
      </c>
      <c r="C12" s="42" t="s">
        <v>96</v>
      </c>
      <c r="D12" s="43"/>
      <c r="E12" s="60" t="s">
        <v>76</v>
      </c>
      <c r="F12" s="44"/>
      <c r="G12" s="41">
        <f t="shared" si="0"/>
        <v>0</v>
      </c>
      <c r="H12" s="44"/>
      <c r="I12" s="41">
        <f t="shared" si="1"/>
        <v>0</v>
      </c>
      <c r="J12" s="62"/>
      <c r="K12" s="130"/>
      <c r="L12" s="46"/>
      <c r="N12" s="176" t="s">
        <v>95</v>
      </c>
      <c r="O12" s="176"/>
      <c r="P12" s="175">
        <f>SUM(G7:G1006)</f>
        <v>17157000</v>
      </c>
    </row>
    <row r="13" spans="1:16" ht="22.5" customHeight="1" x14ac:dyDescent="0.25">
      <c r="A13" s="172"/>
      <c r="B13" s="38">
        <f t="shared" si="2"/>
        <v>7</v>
      </c>
      <c r="C13" s="42" t="s">
        <v>96</v>
      </c>
      <c r="D13" s="43"/>
      <c r="E13" s="60" t="s">
        <v>76</v>
      </c>
      <c r="F13" s="44"/>
      <c r="G13" s="41">
        <f t="shared" si="0"/>
        <v>0</v>
      </c>
      <c r="H13" s="44"/>
      <c r="I13" s="41">
        <f t="shared" si="1"/>
        <v>0</v>
      </c>
      <c r="J13" s="62"/>
      <c r="K13" s="130"/>
      <c r="L13" s="46"/>
      <c r="N13" s="176"/>
      <c r="O13" s="176"/>
      <c r="P13" s="175"/>
    </row>
    <row r="14" spans="1:16" ht="16.5" customHeight="1" x14ac:dyDescent="0.25">
      <c r="A14" s="172"/>
      <c r="B14" s="38">
        <f t="shared" si="2"/>
        <v>8</v>
      </c>
      <c r="C14" s="42" t="s">
        <v>96</v>
      </c>
      <c r="D14" s="43"/>
      <c r="E14" s="60" t="s">
        <v>76</v>
      </c>
      <c r="F14" s="44"/>
      <c r="G14" s="41">
        <f t="shared" si="0"/>
        <v>0</v>
      </c>
      <c r="H14" s="44"/>
      <c r="I14" s="41">
        <f t="shared" si="1"/>
        <v>0</v>
      </c>
      <c r="J14" s="62"/>
      <c r="K14" s="130"/>
      <c r="L14" s="46"/>
      <c r="N14" s="176"/>
      <c r="O14" s="176"/>
      <c r="P14" s="175"/>
    </row>
    <row r="15" spans="1:16" ht="22.5" customHeight="1" x14ac:dyDescent="0.3">
      <c r="A15" s="172"/>
      <c r="B15" s="38">
        <f>B14+1</f>
        <v>9</v>
      </c>
      <c r="C15" s="42" t="s">
        <v>96</v>
      </c>
      <c r="D15" s="43"/>
      <c r="E15" s="60" t="s">
        <v>76</v>
      </c>
      <c r="F15" s="44"/>
      <c r="G15" s="41">
        <f t="shared" si="0"/>
        <v>0</v>
      </c>
      <c r="H15" s="44"/>
      <c r="I15" s="41">
        <f t="shared" si="1"/>
        <v>0</v>
      </c>
      <c r="J15" s="62"/>
      <c r="K15" s="130"/>
      <c r="L15" s="46"/>
      <c r="N15" s="177" t="s">
        <v>88</v>
      </c>
      <c r="O15" s="177"/>
      <c r="P15" s="67">
        <f>SUM(H7:H1006)</f>
        <v>16778500</v>
      </c>
    </row>
    <row r="16" spans="1:16" ht="16.5" customHeight="1" x14ac:dyDescent="0.25">
      <c r="A16" s="172"/>
      <c r="B16" s="38">
        <f t="shared" si="2"/>
        <v>10</v>
      </c>
      <c r="C16" s="42" t="s">
        <v>96</v>
      </c>
      <c r="D16" s="43"/>
      <c r="E16" s="60"/>
      <c r="F16" s="44"/>
      <c r="G16" s="41">
        <f t="shared" si="0"/>
        <v>0</v>
      </c>
      <c r="H16" s="44"/>
      <c r="I16" s="41">
        <f t="shared" si="1"/>
        <v>0</v>
      </c>
      <c r="J16" s="62"/>
      <c r="K16" s="130"/>
      <c r="L16" s="46"/>
    </row>
    <row r="17" spans="1:17" ht="16.5" customHeight="1" x14ac:dyDescent="0.25">
      <c r="A17" s="172"/>
      <c r="B17" s="38">
        <f t="shared" si="2"/>
        <v>11</v>
      </c>
      <c r="C17" s="42" t="s">
        <v>96</v>
      </c>
      <c r="D17" s="43"/>
      <c r="E17" s="60"/>
      <c r="F17" s="44"/>
      <c r="G17" s="41">
        <f t="shared" si="0"/>
        <v>0</v>
      </c>
      <c r="H17" s="44"/>
      <c r="I17" s="41">
        <f t="shared" si="1"/>
        <v>0</v>
      </c>
      <c r="J17" s="62"/>
      <c r="K17" s="130"/>
      <c r="L17" s="46"/>
    </row>
    <row r="18" spans="1:17" ht="16.5" customHeight="1" x14ac:dyDescent="0.3">
      <c r="A18" s="172"/>
      <c r="B18" s="38">
        <f t="shared" si="2"/>
        <v>12</v>
      </c>
      <c r="C18" s="42" t="s">
        <v>96</v>
      </c>
      <c r="D18" s="43"/>
      <c r="E18" s="60"/>
      <c r="F18" s="44"/>
      <c r="G18" s="41">
        <f t="shared" si="0"/>
        <v>0</v>
      </c>
      <c r="H18" s="44"/>
      <c r="I18" s="41">
        <f t="shared" si="1"/>
        <v>0</v>
      </c>
      <c r="J18" s="62"/>
      <c r="K18" s="130"/>
      <c r="L18" s="46"/>
      <c r="N18" s="64" t="s">
        <v>60</v>
      </c>
      <c r="O18" s="68">
        <v>0.6</v>
      </c>
      <c r="Q18" s="70" t="s">
        <v>99</v>
      </c>
    </row>
    <row r="19" spans="1:17" ht="16.5" customHeight="1" x14ac:dyDescent="0.3">
      <c r="A19" s="173"/>
      <c r="B19" s="51"/>
      <c r="C19" s="52"/>
      <c r="D19" s="51"/>
      <c r="E19" s="53"/>
      <c r="F19" s="54"/>
      <c r="G19" s="54"/>
      <c r="H19" s="63"/>
      <c r="I19" s="61"/>
      <c r="J19" s="55"/>
      <c r="K19" s="131"/>
      <c r="L19" s="56"/>
      <c r="N19" s="64" t="s">
        <v>60</v>
      </c>
      <c r="O19" s="69">
        <v>0.5</v>
      </c>
      <c r="Q19" s="70" t="s">
        <v>100</v>
      </c>
    </row>
    <row r="20" spans="1:17" ht="16.5" customHeight="1" x14ac:dyDescent="0.25">
      <c r="A20" s="169" t="s">
        <v>89</v>
      </c>
      <c r="B20" s="38">
        <v>1</v>
      </c>
      <c r="C20" s="137" t="s">
        <v>124</v>
      </c>
      <c r="D20" s="138"/>
      <c r="E20" s="138" t="s">
        <v>13</v>
      </c>
      <c r="F20" s="139"/>
      <c r="G20" s="139">
        <f t="shared" ref="G20:G47" si="3">IF(F20="",0,IF(F20&gt;=1700000,F20*O$19,F20*O$18))</f>
        <v>0</v>
      </c>
      <c r="H20" s="139"/>
      <c r="I20" s="139">
        <f t="shared" ref="I20:I47" si="4">G20-H20</f>
        <v>0</v>
      </c>
      <c r="J20" s="141"/>
      <c r="K20" s="132" t="s">
        <v>139</v>
      </c>
      <c r="L20" s="76"/>
    </row>
    <row r="21" spans="1:17" ht="16.5" customHeight="1" x14ac:dyDescent="0.25">
      <c r="A21" s="170"/>
      <c r="B21" s="38">
        <f>B20+1</f>
        <v>2</v>
      </c>
      <c r="C21" s="77" t="s">
        <v>125</v>
      </c>
      <c r="D21" s="78"/>
      <c r="E21" s="78" t="s">
        <v>105</v>
      </c>
      <c r="F21" s="79">
        <v>2040000</v>
      </c>
      <c r="G21" s="75">
        <f t="shared" si="3"/>
        <v>1020000</v>
      </c>
      <c r="H21" s="79">
        <v>1020000</v>
      </c>
      <c r="I21" s="75">
        <f t="shared" si="4"/>
        <v>0</v>
      </c>
      <c r="J21" s="49" t="s">
        <v>63</v>
      </c>
      <c r="K21" s="132"/>
      <c r="L21" s="80"/>
    </row>
    <row r="22" spans="1:17" ht="16.5" customHeight="1" x14ac:dyDescent="0.25">
      <c r="A22" s="170"/>
      <c r="B22" s="38">
        <f t="shared" ref="B22:B47" si="5">B21+1</f>
        <v>3</v>
      </c>
      <c r="C22" s="73" t="s">
        <v>127</v>
      </c>
      <c r="D22" s="81"/>
      <c r="E22" s="81" t="s">
        <v>21</v>
      </c>
      <c r="F22" s="75">
        <v>1010000</v>
      </c>
      <c r="G22" s="75">
        <f t="shared" si="3"/>
        <v>606000</v>
      </c>
      <c r="H22" s="79">
        <v>600000</v>
      </c>
      <c r="I22" s="75">
        <f t="shared" si="4"/>
        <v>6000</v>
      </c>
      <c r="J22" s="49" t="s">
        <v>63</v>
      </c>
      <c r="K22" s="132" t="s">
        <v>140</v>
      </c>
      <c r="L22" s="82"/>
    </row>
    <row r="23" spans="1:17" ht="16.5" customHeight="1" x14ac:dyDescent="0.25">
      <c r="A23" s="170"/>
      <c r="B23" s="38">
        <f t="shared" si="5"/>
        <v>4</v>
      </c>
      <c r="C23" s="137" t="s">
        <v>126</v>
      </c>
      <c r="D23" s="140"/>
      <c r="E23" s="140" t="s">
        <v>26</v>
      </c>
      <c r="F23" s="139"/>
      <c r="G23" s="139">
        <f t="shared" si="3"/>
        <v>0</v>
      </c>
      <c r="H23" s="139"/>
      <c r="I23" s="139">
        <f t="shared" si="4"/>
        <v>0</v>
      </c>
      <c r="J23" s="141"/>
      <c r="K23" s="132" t="s">
        <v>146</v>
      </c>
      <c r="L23" s="76"/>
    </row>
    <row r="24" spans="1:17" ht="16.5" customHeight="1" x14ac:dyDescent="0.25">
      <c r="A24" s="170"/>
      <c r="B24" s="38">
        <f t="shared" si="5"/>
        <v>5</v>
      </c>
      <c r="C24" s="73" t="s">
        <v>107</v>
      </c>
      <c r="D24" s="81"/>
      <c r="E24" s="81" t="s">
        <v>53</v>
      </c>
      <c r="F24" s="75">
        <v>1450000</v>
      </c>
      <c r="G24" s="75">
        <f t="shared" si="3"/>
        <v>870000</v>
      </c>
      <c r="H24" s="79">
        <v>870000</v>
      </c>
      <c r="I24" s="75">
        <f t="shared" si="4"/>
        <v>0</v>
      </c>
      <c r="J24" s="49" t="s">
        <v>63</v>
      </c>
      <c r="K24" s="132"/>
      <c r="L24" s="82"/>
    </row>
    <row r="25" spans="1:17" ht="16.5" customHeight="1" x14ac:dyDescent="0.25">
      <c r="A25" s="170"/>
      <c r="B25" s="38">
        <f t="shared" si="5"/>
        <v>6</v>
      </c>
      <c r="C25" s="73" t="s">
        <v>128</v>
      </c>
      <c r="D25" s="76"/>
      <c r="E25" s="76" t="s">
        <v>104</v>
      </c>
      <c r="F25" s="75">
        <v>2230000</v>
      </c>
      <c r="G25" s="75">
        <f t="shared" si="3"/>
        <v>1115000</v>
      </c>
      <c r="H25" s="79">
        <v>1130000</v>
      </c>
      <c r="I25" s="75">
        <f t="shared" si="4"/>
        <v>-15000</v>
      </c>
      <c r="J25" s="49" t="s">
        <v>63</v>
      </c>
      <c r="K25" s="132"/>
      <c r="L25" s="76"/>
    </row>
    <row r="26" spans="1:17" ht="22.15" customHeight="1" x14ac:dyDescent="0.25">
      <c r="A26" s="170"/>
      <c r="B26" s="38">
        <f t="shared" si="5"/>
        <v>7</v>
      </c>
      <c r="C26" s="77" t="s">
        <v>75</v>
      </c>
      <c r="D26" s="80"/>
      <c r="E26" s="76" t="s">
        <v>70</v>
      </c>
      <c r="F26" s="75">
        <v>3403000</v>
      </c>
      <c r="G26" s="75">
        <f t="shared" si="3"/>
        <v>1701500</v>
      </c>
      <c r="H26" s="75">
        <v>1701500</v>
      </c>
      <c r="I26" s="75">
        <f t="shared" si="4"/>
        <v>0</v>
      </c>
      <c r="J26" s="49" t="s">
        <v>63</v>
      </c>
      <c r="K26" s="132"/>
      <c r="L26" s="76"/>
    </row>
    <row r="27" spans="1:17" ht="20.45" customHeight="1" x14ac:dyDescent="0.3">
      <c r="A27" s="170"/>
      <c r="B27" s="38">
        <f t="shared" si="5"/>
        <v>8</v>
      </c>
      <c r="C27" s="77" t="s">
        <v>123</v>
      </c>
      <c r="D27" s="87"/>
      <c r="E27" s="86" t="s">
        <v>76</v>
      </c>
      <c r="F27" s="79">
        <v>1872000</v>
      </c>
      <c r="G27" s="75">
        <f t="shared" si="3"/>
        <v>936000</v>
      </c>
      <c r="H27" s="75">
        <v>936000</v>
      </c>
      <c r="I27" s="75">
        <f t="shared" si="4"/>
        <v>0</v>
      </c>
      <c r="J27" s="49" t="s">
        <v>63</v>
      </c>
      <c r="K27" s="132"/>
      <c r="L27" s="76"/>
    </row>
    <row r="28" spans="1:17" ht="16.5" customHeight="1" x14ac:dyDescent="0.25">
      <c r="A28" s="170"/>
      <c r="B28" s="38">
        <f t="shared" si="5"/>
        <v>9</v>
      </c>
      <c r="C28" s="88" t="s">
        <v>129</v>
      </c>
      <c r="D28" s="74"/>
      <c r="E28" s="81" t="s">
        <v>24</v>
      </c>
      <c r="F28" s="79">
        <v>1765000</v>
      </c>
      <c r="G28" s="75">
        <f t="shared" si="3"/>
        <v>882500</v>
      </c>
      <c r="H28" s="79">
        <v>882000</v>
      </c>
      <c r="I28" s="75">
        <f t="shared" si="4"/>
        <v>500</v>
      </c>
      <c r="J28" s="49" t="s">
        <v>63</v>
      </c>
      <c r="K28" s="132"/>
      <c r="L28" s="76"/>
    </row>
    <row r="29" spans="1:17" ht="16.5" customHeight="1" x14ac:dyDescent="0.3">
      <c r="A29" s="170"/>
      <c r="B29" s="38">
        <f t="shared" si="5"/>
        <v>10</v>
      </c>
      <c r="C29" s="88" t="s">
        <v>97</v>
      </c>
      <c r="D29" s="81"/>
      <c r="E29" s="76" t="s">
        <v>106</v>
      </c>
      <c r="F29" s="118">
        <v>2380000</v>
      </c>
      <c r="G29" s="75">
        <f t="shared" si="3"/>
        <v>1190000</v>
      </c>
      <c r="H29" s="118">
        <v>1190000</v>
      </c>
      <c r="I29" s="75">
        <f t="shared" si="4"/>
        <v>0</v>
      </c>
      <c r="J29" s="49" t="s">
        <v>63</v>
      </c>
      <c r="K29" s="132"/>
      <c r="L29" s="93"/>
    </row>
    <row r="30" spans="1:17" ht="16.5" customHeight="1" x14ac:dyDescent="0.25">
      <c r="A30" s="170"/>
      <c r="B30" s="38">
        <f t="shared" si="5"/>
        <v>11</v>
      </c>
      <c r="C30" s="88" t="s">
        <v>108</v>
      </c>
      <c r="D30" s="78"/>
      <c r="E30" s="81" t="s">
        <v>52</v>
      </c>
      <c r="F30" s="89">
        <v>1470000</v>
      </c>
      <c r="G30" s="75">
        <f t="shared" si="3"/>
        <v>882000</v>
      </c>
      <c r="H30" s="119">
        <v>882000</v>
      </c>
      <c r="I30" s="75">
        <f t="shared" si="4"/>
        <v>0</v>
      </c>
      <c r="J30" s="49" t="s">
        <v>63</v>
      </c>
      <c r="K30" s="132"/>
      <c r="L30" s="80"/>
    </row>
    <row r="31" spans="1:17" ht="15" customHeight="1" x14ac:dyDescent="0.3">
      <c r="A31" s="170"/>
      <c r="B31" s="38">
        <f t="shared" si="5"/>
        <v>12</v>
      </c>
      <c r="C31" s="77" t="s">
        <v>103</v>
      </c>
      <c r="D31" s="74"/>
      <c r="E31" s="74" t="s">
        <v>16</v>
      </c>
      <c r="F31" s="89">
        <v>2180000</v>
      </c>
      <c r="G31" s="75">
        <f t="shared" si="3"/>
        <v>1090000</v>
      </c>
      <c r="H31" s="89">
        <v>1090000</v>
      </c>
      <c r="I31" s="75">
        <f t="shared" si="4"/>
        <v>0</v>
      </c>
      <c r="J31" s="49" t="s">
        <v>63</v>
      </c>
      <c r="K31" s="132"/>
      <c r="L31" s="93"/>
    </row>
    <row r="32" spans="1:17" ht="15" customHeight="1" x14ac:dyDescent="0.3">
      <c r="A32" s="170"/>
      <c r="B32" s="38">
        <f t="shared" si="5"/>
        <v>13</v>
      </c>
      <c r="C32" s="77" t="s">
        <v>110</v>
      </c>
      <c r="D32" s="87"/>
      <c r="E32" s="81" t="s">
        <v>98</v>
      </c>
      <c r="F32" s="75">
        <v>840000</v>
      </c>
      <c r="G32" s="75">
        <f t="shared" si="3"/>
        <v>504000</v>
      </c>
      <c r="H32" s="75">
        <v>504000</v>
      </c>
      <c r="I32" s="75">
        <f t="shared" si="4"/>
        <v>0</v>
      </c>
      <c r="J32" s="49" t="s">
        <v>63</v>
      </c>
      <c r="K32" s="132"/>
      <c r="L32" s="93"/>
    </row>
    <row r="33" spans="1:12" ht="18.75" customHeight="1" x14ac:dyDescent="0.3">
      <c r="A33" s="170"/>
      <c r="B33" s="38">
        <f t="shared" si="5"/>
        <v>14</v>
      </c>
      <c r="C33" s="87" t="s">
        <v>109</v>
      </c>
      <c r="D33" s="87"/>
      <c r="E33" s="81" t="s">
        <v>35</v>
      </c>
      <c r="F33" s="90">
        <v>3550000</v>
      </c>
      <c r="G33" s="75">
        <f t="shared" si="3"/>
        <v>1775000</v>
      </c>
      <c r="H33" s="89">
        <v>1561000</v>
      </c>
      <c r="I33" s="75">
        <f t="shared" si="4"/>
        <v>214000</v>
      </c>
      <c r="J33" s="49" t="s">
        <v>63</v>
      </c>
      <c r="K33" s="89" t="s">
        <v>141</v>
      </c>
      <c r="L33" s="76"/>
    </row>
    <row r="34" spans="1:12" ht="18.75" x14ac:dyDescent="0.3">
      <c r="A34" s="170"/>
      <c r="B34" s="38">
        <f t="shared" si="5"/>
        <v>15</v>
      </c>
      <c r="C34" s="87" t="s">
        <v>111</v>
      </c>
      <c r="D34" s="120"/>
      <c r="E34" s="81" t="s">
        <v>15</v>
      </c>
      <c r="F34" s="79">
        <v>940000</v>
      </c>
      <c r="G34" s="75">
        <f t="shared" si="3"/>
        <v>564000</v>
      </c>
      <c r="H34" s="79">
        <v>425000</v>
      </c>
      <c r="I34" s="75">
        <f t="shared" si="4"/>
        <v>139000</v>
      </c>
      <c r="J34" s="49" t="s">
        <v>63</v>
      </c>
      <c r="K34" s="132" t="s">
        <v>142</v>
      </c>
      <c r="L34" s="76"/>
    </row>
    <row r="35" spans="1:12" ht="18.75" x14ac:dyDescent="0.3">
      <c r="A35" s="170"/>
      <c r="B35" s="38">
        <f t="shared" si="5"/>
        <v>16</v>
      </c>
      <c r="C35" s="93" t="s">
        <v>122</v>
      </c>
      <c r="D35" s="57"/>
      <c r="E35" s="86" t="s">
        <v>76</v>
      </c>
      <c r="F35" s="118">
        <v>1870000</v>
      </c>
      <c r="G35" s="75">
        <f t="shared" si="3"/>
        <v>935000</v>
      </c>
      <c r="H35" s="118">
        <v>935000</v>
      </c>
      <c r="I35" s="75">
        <f t="shared" si="4"/>
        <v>0</v>
      </c>
      <c r="J35" s="49" t="s">
        <v>63</v>
      </c>
      <c r="K35" s="132"/>
      <c r="L35" s="80"/>
    </row>
    <row r="36" spans="1:12" ht="18.75" x14ac:dyDescent="0.3">
      <c r="A36" s="170"/>
      <c r="B36" s="38">
        <f t="shared" si="5"/>
        <v>17</v>
      </c>
      <c r="C36" s="93" t="s">
        <v>130</v>
      </c>
      <c r="D36" s="57"/>
      <c r="E36" s="86" t="s">
        <v>76</v>
      </c>
      <c r="F36" s="118">
        <v>1900000</v>
      </c>
      <c r="G36" s="75">
        <f t="shared" si="3"/>
        <v>950000</v>
      </c>
      <c r="H36" s="118">
        <v>950000</v>
      </c>
      <c r="I36" s="75">
        <f t="shared" si="4"/>
        <v>0</v>
      </c>
      <c r="J36" s="49" t="s">
        <v>63</v>
      </c>
      <c r="K36" s="132"/>
      <c r="L36" s="46"/>
    </row>
    <row r="37" spans="1:12" ht="18.75" x14ac:dyDescent="0.3">
      <c r="A37" s="170"/>
      <c r="B37" s="38">
        <f t="shared" si="5"/>
        <v>18</v>
      </c>
      <c r="C37" s="142"/>
      <c r="D37" s="143"/>
      <c r="E37" s="144" t="s">
        <v>76</v>
      </c>
      <c r="F37" s="145"/>
      <c r="G37" s="139">
        <f t="shared" si="3"/>
        <v>0</v>
      </c>
      <c r="H37" s="146"/>
      <c r="I37" s="139">
        <f t="shared" si="4"/>
        <v>0</v>
      </c>
      <c r="J37" s="147"/>
      <c r="K37" s="98"/>
      <c r="L37" s="47"/>
    </row>
    <row r="38" spans="1:12" ht="18.75" x14ac:dyDescent="0.3">
      <c r="A38" s="170"/>
      <c r="B38" s="38">
        <f t="shared" si="5"/>
        <v>19</v>
      </c>
      <c r="C38" s="99" t="s">
        <v>134</v>
      </c>
      <c r="D38" s="43"/>
      <c r="E38" s="86" t="s">
        <v>76</v>
      </c>
      <c r="F38" s="90">
        <v>970000</v>
      </c>
      <c r="G38" s="75">
        <f t="shared" si="3"/>
        <v>582000</v>
      </c>
      <c r="H38" s="89">
        <v>582000</v>
      </c>
      <c r="I38" s="75">
        <f t="shared" si="4"/>
        <v>0</v>
      </c>
      <c r="J38" s="49" t="s">
        <v>63</v>
      </c>
      <c r="K38" s="98" t="s">
        <v>143</v>
      </c>
      <c r="L38" s="47"/>
    </row>
    <row r="39" spans="1:12" ht="18.75" x14ac:dyDescent="0.3">
      <c r="A39" s="170"/>
      <c r="B39" s="38">
        <f t="shared" si="5"/>
        <v>20</v>
      </c>
      <c r="C39" s="99"/>
      <c r="D39" s="43"/>
      <c r="E39" s="86" t="s">
        <v>76</v>
      </c>
      <c r="F39" s="100"/>
      <c r="G39" s="75">
        <f t="shared" si="3"/>
        <v>0</v>
      </c>
      <c r="H39" s="89"/>
      <c r="I39" s="75">
        <f t="shared" si="4"/>
        <v>0</v>
      </c>
      <c r="J39" s="83"/>
      <c r="K39" s="98"/>
      <c r="L39" s="47"/>
    </row>
    <row r="40" spans="1:12" ht="18.75" x14ac:dyDescent="0.3">
      <c r="A40" s="170"/>
      <c r="B40" s="38">
        <f t="shared" si="5"/>
        <v>21</v>
      </c>
      <c r="C40" s="99"/>
      <c r="D40" s="43"/>
      <c r="E40" s="60" t="s">
        <v>76</v>
      </c>
      <c r="F40" s="100"/>
      <c r="G40" s="75">
        <f t="shared" si="3"/>
        <v>0</v>
      </c>
      <c r="H40" s="89"/>
      <c r="I40" s="75">
        <f t="shared" si="4"/>
        <v>0</v>
      </c>
      <c r="J40" s="83"/>
      <c r="K40" s="98"/>
      <c r="L40" s="47"/>
    </row>
    <row r="41" spans="1:12" ht="18.75" x14ac:dyDescent="0.3">
      <c r="A41" s="170"/>
      <c r="B41" s="38">
        <f t="shared" si="5"/>
        <v>22</v>
      </c>
      <c r="C41" s="99"/>
      <c r="D41" s="43"/>
      <c r="E41" s="60" t="s">
        <v>76</v>
      </c>
      <c r="F41" s="100"/>
      <c r="G41" s="75">
        <f t="shared" si="3"/>
        <v>0</v>
      </c>
      <c r="H41" s="89"/>
      <c r="I41" s="75">
        <f t="shared" si="4"/>
        <v>0</v>
      </c>
      <c r="J41" s="83"/>
      <c r="K41" s="98"/>
      <c r="L41" s="47"/>
    </row>
    <row r="42" spans="1:12" ht="18.75" x14ac:dyDescent="0.3">
      <c r="A42" s="170"/>
      <c r="B42" s="38">
        <f t="shared" si="5"/>
        <v>23</v>
      </c>
      <c r="C42" s="99"/>
      <c r="D42" s="43"/>
      <c r="E42" s="60" t="s">
        <v>76</v>
      </c>
      <c r="F42" s="100"/>
      <c r="G42" s="75">
        <f t="shared" si="3"/>
        <v>0</v>
      </c>
      <c r="H42" s="89"/>
      <c r="I42" s="75">
        <f t="shared" si="4"/>
        <v>0</v>
      </c>
      <c r="J42" s="83"/>
      <c r="K42" s="98"/>
      <c r="L42" s="47"/>
    </row>
    <row r="43" spans="1:12" ht="18.75" x14ac:dyDescent="0.3">
      <c r="A43" s="170"/>
      <c r="B43" s="38">
        <f t="shared" si="5"/>
        <v>24</v>
      </c>
      <c r="C43" s="99"/>
      <c r="D43" s="43"/>
      <c r="E43" s="43"/>
      <c r="F43" s="100"/>
      <c r="G43" s="75">
        <f t="shared" si="3"/>
        <v>0</v>
      </c>
      <c r="H43" s="89"/>
      <c r="I43" s="75">
        <f t="shared" si="4"/>
        <v>0</v>
      </c>
      <c r="J43" s="83"/>
      <c r="K43" s="98"/>
      <c r="L43" s="47"/>
    </row>
    <row r="44" spans="1:12" ht="18.75" x14ac:dyDescent="0.3">
      <c r="A44" s="170"/>
      <c r="B44" s="38">
        <f t="shared" si="5"/>
        <v>25</v>
      </c>
      <c r="C44" s="99"/>
      <c r="D44" s="43"/>
      <c r="E44" s="43"/>
      <c r="F44" s="100"/>
      <c r="G44" s="75">
        <f t="shared" si="3"/>
        <v>0</v>
      </c>
      <c r="H44" s="89"/>
      <c r="I44" s="75">
        <f t="shared" si="4"/>
        <v>0</v>
      </c>
      <c r="J44" s="83"/>
      <c r="K44" s="98"/>
      <c r="L44" s="47"/>
    </row>
    <row r="45" spans="1:12" ht="18.75" x14ac:dyDescent="0.3">
      <c r="A45" s="170"/>
      <c r="B45" s="38">
        <f t="shared" si="5"/>
        <v>26</v>
      </c>
      <c r="C45" s="99"/>
      <c r="D45" s="43"/>
      <c r="E45" s="43"/>
      <c r="F45" s="100"/>
      <c r="G45" s="75">
        <f t="shared" si="3"/>
        <v>0</v>
      </c>
      <c r="H45" s="89"/>
      <c r="I45" s="75">
        <f t="shared" si="4"/>
        <v>0</v>
      </c>
      <c r="J45" s="83"/>
      <c r="K45" s="98"/>
      <c r="L45" s="47"/>
    </row>
    <row r="46" spans="1:12" ht="18.75" x14ac:dyDescent="0.3">
      <c r="A46" s="170"/>
      <c r="B46" s="38">
        <f t="shared" si="5"/>
        <v>27</v>
      </c>
      <c r="C46" s="99"/>
      <c r="D46" s="43"/>
      <c r="E46" s="43"/>
      <c r="F46" s="100"/>
      <c r="G46" s="75">
        <f t="shared" si="3"/>
        <v>0</v>
      </c>
      <c r="H46" s="89"/>
      <c r="I46" s="75">
        <f t="shared" si="4"/>
        <v>0</v>
      </c>
      <c r="J46" s="83"/>
      <c r="K46" s="98"/>
      <c r="L46" s="47"/>
    </row>
    <row r="47" spans="1:12" ht="18.75" x14ac:dyDescent="0.3">
      <c r="A47" s="170"/>
      <c r="B47" s="38">
        <f t="shared" si="5"/>
        <v>28</v>
      </c>
      <c r="C47" s="99"/>
      <c r="D47" s="43"/>
      <c r="E47" s="43"/>
      <c r="F47" s="100"/>
      <c r="G47" s="75">
        <f t="shared" si="3"/>
        <v>0</v>
      </c>
      <c r="H47" s="89"/>
      <c r="I47" s="75">
        <f t="shared" si="4"/>
        <v>0</v>
      </c>
      <c r="J47" s="83"/>
      <c r="K47" s="98"/>
      <c r="L47" s="47"/>
    </row>
  </sheetData>
  <mergeCells count="8">
    <mergeCell ref="A20:A47"/>
    <mergeCell ref="B3:K3"/>
    <mergeCell ref="A7:A19"/>
    <mergeCell ref="N10:O11"/>
    <mergeCell ref="P10:P11"/>
    <mergeCell ref="N12:O14"/>
    <mergeCell ref="P12:P14"/>
    <mergeCell ref="N15:O1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050C-EFA5-4BA1-89FF-2BF72F913523}">
  <dimension ref="A3:Q47"/>
  <sheetViews>
    <sheetView topLeftCell="A3" zoomScale="70" zoomScaleNormal="70" workbookViewId="0">
      <selection activeCell="H9" sqref="H9"/>
    </sheetView>
  </sheetViews>
  <sheetFormatPr defaultColWidth="9.140625" defaultRowHeight="15" x14ac:dyDescent="0.25"/>
  <cols>
    <col min="1" max="1" width="23.140625" style="1" customWidth="1"/>
    <col min="2" max="2" width="9.140625" style="1"/>
    <col min="3" max="3" width="37.7109375" style="1" customWidth="1"/>
    <col min="4" max="4" width="24.85546875" style="1" customWidth="1"/>
    <col min="5" max="5" width="19.5703125" style="1" customWidth="1"/>
    <col min="6" max="6" width="20.28515625" style="1" customWidth="1"/>
    <col min="7" max="7" width="19.5703125" style="1" customWidth="1"/>
    <col min="8" max="8" width="20.42578125" style="1" customWidth="1"/>
    <col min="9" max="9" width="18" style="1" customWidth="1"/>
    <col min="10" max="10" width="20" style="1" customWidth="1"/>
    <col min="11" max="11" width="39.85546875" style="1" customWidth="1"/>
    <col min="12" max="12" width="11.5703125" style="1" customWidth="1"/>
    <col min="13" max="13" width="5" style="1" customWidth="1"/>
    <col min="14" max="14" width="31.425781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6" ht="27.75" x14ac:dyDescent="0.25">
      <c r="B3" s="165" t="s">
        <v>30</v>
      </c>
      <c r="C3" s="165"/>
      <c r="D3" s="165"/>
      <c r="E3" s="165"/>
      <c r="F3" s="165"/>
      <c r="G3" s="165"/>
      <c r="H3" s="165"/>
      <c r="I3" s="165"/>
      <c r="J3" s="165"/>
      <c r="K3" s="165"/>
    </row>
    <row r="4" spans="1:16" ht="30.75" x14ac:dyDescent="0.25">
      <c r="C4" s="59"/>
      <c r="D4" s="59"/>
      <c r="E4" s="59"/>
      <c r="G4" s="58" t="s">
        <v>144</v>
      </c>
      <c r="I4" s="59"/>
      <c r="J4" s="59"/>
      <c r="K4" s="59"/>
    </row>
    <row r="5" spans="1:16" ht="12" customHeight="1" x14ac:dyDescent="0.25"/>
    <row r="6" spans="1:16" ht="53.25" customHeight="1" x14ac:dyDescent="0.25">
      <c r="A6" s="57"/>
      <c r="B6" s="65" t="s">
        <v>0</v>
      </c>
      <c r="C6" s="65" t="s">
        <v>1</v>
      </c>
      <c r="D6" s="65" t="s">
        <v>47</v>
      </c>
      <c r="E6" s="65" t="s">
        <v>46</v>
      </c>
      <c r="F6" s="65" t="s">
        <v>4</v>
      </c>
      <c r="G6" s="66" t="s">
        <v>94</v>
      </c>
      <c r="H6" s="65" t="s">
        <v>86</v>
      </c>
      <c r="I6" s="65" t="s">
        <v>87</v>
      </c>
      <c r="J6" s="65" t="s">
        <v>6</v>
      </c>
      <c r="K6" s="65" t="s">
        <v>33</v>
      </c>
      <c r="L6" s="65" t="s">
        <v>48</v>
      </c>
      <c r="N6" s="49" t="s">
        <v>63</v>
      </c>
    </row>
    <row r="7" spans="1:16" ht="23.25" customHeight="1" x14ac:dyDescent="0.25">
      <c r="A7" s="171" t="s">
        <v>90</v>
      </c>
      <c r="B7" s="38">
        <v>1</v>
      </c>
      <c r="C7" s="39" t="s">
        <v>91</v>
      </c>
      <c r="D7" s="40"/>
      <c r="E7" s="60" t="s">
        <v>76</v>
      </c>
      <c r="F7" s="41">
        <v>1800000</v>
      </c>
      <c r="G7" s="41">
        <f>IF(F7="",0,IF(F7&gt;1800000,F7*O$19,F7*O$18))</f>
        <v>1080000</v>
      </c>
      <c r="H7" s="41">
        <v>900000</v>
      </c>
      <c r="I7" s="41">
        <f>G7-H7</f>
        <v>180000</v>
      </c>
      <c r="J7" s="50" t="s">
        <v>25</v>
      </c>
      <c r="K7" s="129"/>
      <c r="L7" s="46"/>
      <c r="N7" s="50" t="s">
        <v>25</v>
      </c>
    </row>
    <row r="8" spans="1:16" ht="16.5" customHeight="1" x14ac:dyDescent="0.25">
      <c r="A8" s="172"/>
      <c r="B8" s="38">
        <f>B7+1</f>
        <v>2</v>
      </c>
      <c r="C8" s="39" t="s">
        <v>101</v>
      </c>
      <c r="D8" s="45"/>
      <c r="E8" s="72" t="s">
        <v>65</v>
      </c>
      <c r="F8" s="41">
        <v>770000</v>
      </c>
      <c r="G8" s="41">
        <f t="shared" ref="G8:G18" si="0">IF(F8="",0,IF(F8&gt;1800000,F8*O$19,F8*O$18))</f>
        <v>462000</v>
      </c>
      <c r="H8" s="41">
        <v>385000</v>
      </c>
      <c r="I8" s="41">
        <f t="shared" ref="I8:I18" si="1">G8-H8</f>
        <v>77000</v>
      </c>
      <c r="J8" s="50" t="s">
        <v>25</v>
      </c>
      <c r="K8" s="130"/>
      <c r="L8" s="46"/>
      <c r="N8" s="48" t="s">
        <v>64</v>
      </c>
    </row>
    <row r="9" spans="1:16" ht="16.5" customHeight="1" x14ac:dyDescent="0.25">
      <c r="A9" s="172"/>
      <c r="B9" s="38">
        <f t="shared" ref="B9:B18" si="2">B8+1</f>
        <v>3</v>
      </c>
      <c r="C9" s="122" t="s">
        <v>102</v>
      </c>
      <c r="D9" s="123"/>
      <c r="E9" s="124" t="s">
        <v>71</v>
      </c>
      <c r="F9" s="125"/>
      <c r="G9" s="125">
        <f t="shared" si="0"/>
        <v>0</v>
      </c>
      <c r="H9" s="126"/>
      <c r="I9" s="125">
        <f t="shared" si="1"/>
        <v>0</v>
      </c>
      <c r="J9" s="127"/>
      <c r="K9" s="154" t="s">
        <v>145</v>
      </c>
      <c r="L9" s="47"/>
    </row>
    <row r="10" spans="1:16" ht="16.5" customHeight="1" x14ac:dyDescent="0.25">
      <c r="A10" s="172"/>
      <c r="B10" s="38">
        <f>B9+1</f>
        <v>4</v>
      </c>
      <c r="C10" s="42" t="s">
        <v>92</v>
      </c>
      <c r="D10" s="43"/>
      <c r="E10" s="60" t="s">
        <v>76</v>
      </c>
      <c r="F10" s="44">
        <v>1050000</v>
      </c>
      <c r="G10" s="41">
        <f t="shared" si="0"/>
        <v>630000</v>
      </c>
      <c r="H10" s="44">
        <v>630000</v>
      </c>
      <c r="I10" s="41">
        <f t="shared" si="1"/>
        <v>0</v>
      </c>
      <c r="J10" s="50" t="s">
        <v>25</v>
      </c>
      <c r="K10" s="130"/>
      <c r="L10" s="46"/>
      <c r="N10" s="174" t="s">
        <v>28</v>
      </c>
      <c r="O10" s="174"/>
      <c r="P10" s="175">
        <f>SUM(F7:F1006)</f>
        <v>35340000</v>
      </c>
    </row>
    <row r="11" spans="1:16" ht="16.5" customHeight="1" x14ac:dyDescent="0.25">
      <c r="A11" s="172"/>
      <c r="B11" s="38">
        <f t="shared" si="2"/>
        <v>5</v>
      </c>
      <c r="C11" s="42"/>
      <c r="D11" s="43"/>
      <c r="E11" s="60" t="s">
        <v>76</v>
      </c>
      <c r="F11" s="44"/>
      <c r="G11" s="41">
        <f t="shared" si="0"/>
        <v>0</v>
      </c>
      <c r="H11" s="44"/>
      <c r="I11" s="41">
        <f t="shared" si="1"/>
        <v>0</v>
      </c>
      <c r="J11" s="128"/>
      <c r="K11" s="130"/>
      <c r="L11" s="46"/>
      <c r="N11" s="174"/>
      <c r="O11" s="174"/>
      <c r="P11" s="175"/>
    </row>
    <row r="12" spans="1:16" ht="16.5" customHeight="1" x14ac:dyDescent="0.25">
      <c r="A12" s="172"/>
      <c r="B12" s="38">
        <f t="shared" si="2"/>
        <v>6</v>
      </c>
      <c r="C12" s="42" t="s">
        <v>96</v>
      </c>
      <c r="D12" s="43"/>
      <c r="E12" s="60" t="s">
        <v>76</v>
      </c>
      <c r="F12" s="44"/>
      <c r="G12" s="41">
        <f t="shared" si="0"/>
        <v>0</v>
      </c>
      <c r="H12" s="44"/>
      <c r="I12" s="41">
        <f t="shared" si="1"/>
        <v>0</v>
      </c>
      <c r="J12" s="62"/>
      <c r="K12" s="130"/>
      <c r="L12" s="46"/>
      <c r="N12" s="176" t="s">
        <v>95</v>
      </c>
      <c r="O12" s="176"/>
      <c r="P12" s="175">
        <f>SUM(G7:G1006)</f>
        <v>18504400</v>
      </c>
    </row>
    <row r="13" spans="1:16" ht="22.5" customHeight="1" x14ac:dyDescent="0.25">
      <c r="A13" s="172"/>
      <c r="B13" s="38">
        <f t="shared" si="2"/>
        <v>7</v>
      </c>
      <c r="C13" s="42" t="s">
        <v>96</v>
      </c>
      <c r="D13" s="43"/>
      <c r="E13" s="60" t="s">
        <v>76</v>
      </c>
      <c r="F13" s="44"/>
      <c r="G13" s="41">
        <f t="shared" si="0"/>
        <v>0</v>
      </c>
      <c r="H13" s="44"/>
      <c r="I13" s="41">
        <f t="shared" si="1"/>
        <v>0</v>
      </c>
      <c r="J13" s="62"/>
      <c r="K13" s="130"/>
      <c r="L13" s="46"/>
      <c r="N13" s="176"/>
      <c r="O13" s="176"/>
      <c r="P13" s="175"/>
    </row>
    <row r="14" spans="1:16" ht="16.5" customHeight="1" x14ac:dyDescent="0.25">
      <c r="A14" s="172"/>
      <c r="B14" s="38">
        <f t="shared" si="2"/>
        <v>8</v>
      </c>
      <c r="C14" s="42" t="s">
        <v>96</v>
      </c>
      <c r="D14" s="43"/>
      <c r="E14" s="60" t="s">
        <v>76</v>
      </c>
      <c r="F14" s="44"/>
      <c r="G14" s="41">
        <f t="shared" si="0"/>
        <v>0</v>
      </c>
      <c r="H14" s="44"/>
      <c r="I14" s="41">
        <f t="shared" si="1"/>
        <v>0</v>
      </c>
      <c r="J14" s="62"/>
      <c r="K14" s="130"/>
      <c r="L14" s="46"/>
      <c r="N14" s="176"/>
      <c r="O14" s="176"/>
      <c r="P14" s="175"/>
    </row>
    <row r="15" spans="1:16" ht="22.5" customHeight="1" x14ac:dyDescent="0.3">
      <c r="A15" s="172"/>
      <c r="B15" s="38">
        <f>B14+1</f>
        <v>9</v>
      </c>
      <c r="C15" s="42" t="s">
        <v>96</v>
      </c>
      <c r="D15" s="43"/>
      <c r="E15" s="60" t="s">
        <v>76</v>
      </c>
      <c r="F15" s="44"/>
      <c r="G15" s="41">
        <f t="shared" si="0"/>
        <v>0</v>
      </c>
      <c r="H15" s="44"/>
      <c r="I15" s="41">
        <f t="shared" si="1"/>
        <v>0</v>
      </c>
      <c r="J15" s="62"/>
      <c r="K15" s="130"/>
      <c r="L15" s="46"/>
      <c r="N15" s="177" t="s">
        <v>88</v>
      </c>
      <c r="O15" s="177"/>
      <c r="P15" s="67">
        <f>SUM(H7:H1006)</f>
        <v>18210000</v>
      </c>
    </row>
    <row r="16" spans="1:16" ht="16.5" customHeight="1" x14ac:dyDescent="0.25">
      <c r="A16" s="172"/>
      <c r="B16" s="38">
        <f t="shared" si="2"/>
        <v>10</v>
      </c>
      <c r="C16" s="42" t="s">
        <v>96</v>
      </c>
      <c r="D16" s="43"/>
      <c r="E16" s="60"/>
      <c r="F16" s="44"/>
      <c r="G16" s="41">
        <f t="shared" si="0"/>
        <v>0</v>
      </c>
      <c r="H16" s="44"/>
      <c r="I16" s="41">
        <f t="shared" si="1"/>
        <v>0</v>
      </c>
      <c r="J16" s="62"/>
      <c r="K16" s="130"/>
      <c r="L16" s="46"/>
    </row>
    <row r="17" spans="1:17" ht="16.5" customHeight="1" x14ac:dyDescent="0.25">
      <c r="A17" s="172"/>
      <c r="B17" s="38">
        <f t="shared" si="2"/>
        <v>11</v>
      </c>
      <c r="C17" s="42" t="s">
        <v>96</v>
      </c>
      <c r="D17" s="43"/>
      <c r="E17" s="60"/>
      <c r="F17" s="44"/>
      <c r="G17" s="41">
        <f t="shared" si="0"/>
        <v>0</v>
      </c>
      <c r="H17" s="44"/>
      <c r="I17" s="41">
        <f t="shared" si="1"/>
        <v>0</v>
      </c>
      <c r="J17" s="62"/>
      <c r="K17" s="130"/>
      <c r="L17" s="46"/>
    </row>
    <row r="18" spans="1:17" ht="16.5" customHeight="1" x14ac:dyDescent="0.3">
      <c r="A18" s="172"/>
      <c r="B18" s="38">
        <f t="shared" si="2"/>
        <v>12</v>
      </c>
      <c r="C18" s="42" t="s">
        <v>96</v>
      </c>
      <c r="D18" s="43"/>
      <c r="E18" s="60"/>
      <c r="F18" s="44"/>
      <c r="G18" s="41">
        <f t="shared" si="0"/>
        <v>0</v>
      </c>
      <c r="H18" s="44"/>
      <c r="I18" s="41">
        <f t="shared" si="1"/>
        <v>0</v>
      </c>
      <c r="J18" s="62"/>
      <c r="K18" s="130"/>
      <c r="L18" s="46"/>
      <c r="N18" s="64" t="s">
        <v>60</v>
      </c>
      <c r="O18" s="68">
        <v>0.6</v>
      </c>
      <c r="Q18" s="70" t="s">
        <v>99</v>
      </c>
    </row>
    <row r="19" spans="1:17" ht="16.5" customHeight="1" x14ac:dyDescent="0.3">
      <c r="A19" s="173"/>
      <c r="B19" s="51"/>
      <c r="C19" s="52"/>
      <c r="D19" s="51"/>
      <c r="E19" s="53"/>
      <c r="F19" s="54"/>
      <c r="G19" s="54"/>
      <c r="H19" s="63"/>
      <c r="I19" s="61"/>
      <c r="J19" s="55"/>
      <c r="K19" s="131"/>
      <c r="L19" s="56"/>
      <c r="N19" s="64" t="s">
        <v>60</v>
      </c>
      <c r="O19" s="69">
        <v>0.5</v>
      </c>
      <c r="Q19" s="70" t="s">
        <v>100</v>
      </c>
    </row>
    <row r="20" spans="1:17" ht="16.5" customHeight="1" x14ac:dyDescent="0.25">
      <c r="A20" s="169" t="s">
        <v>89</v>
      </c>
      <c r="B20" s="38">
        <v>1</v>
      </c>
      <c r="C20" s="137" t="s">
        <v>124</v>
      </c>
      <c r="D20" s="138"/>
      <c r="E20" s="138" t="s">
        <v>13</v>
      </c>
      <c r="F20" s="139"/>
      <c r="G20" s="139">
        <f t="shared" ref="G20:G47" si="3">IF(F20="",0,IF(F20&gt;=1700000,F20*O$19,F20*O$18))</f>
        <v>0</v>
      </c>
      <c r="H20" s="139"/>
      <c r="I20" s="139">
        <f t="shared" ref="I20:I47" si="4">G20-H20</f>
        <v>0</v>
      </c>
      <c r="J20" s="128"/>
      <c r="K20" s="132" t="s">
        <v>139</v>
      </c>
      <c r="L20" s="76"/>
    </row>
    <row r="21" spans="1:17" ht="16.5" customHeight="1" x14ac:dyDescent="0.25">
      <c r="A21" s="170"/>
      <c r="B21" s="38">
        <f>B20+1</f>
        <v>2</v>
      </c>
      <c r="C21" s="77" t="s">
        <v>125</v>
      </c>
      <c r="D21" s="78"/>
      <c r="E21" s="78" t="s">
        <v>105</v>
      </c>
      <c r="F21" s="79">
        <v>2250000</v>
      </c>
      <c r="G21" s="75">
        <f t="shared" si="3"/>
        <v>1125000</v>
      </c>
      <c r="H21" s="79">
        <v>1125000</v>
      </c>
      <c r="I21" s="75">
        <f t="shared" si="4"/>
        <v>0</v>
      </c>
      <c r="J21" s="49" t="s">
        <v>63</v>
      </c>
      <c r="K21" s="132"/>
      <c r="L21" s="80"/>
    </row>
    <row r="22" spans="1:17" ht="16.5" customHeight="1" x14ac:dyDescent="0.3">
      <c r="A22" s="170"/>
      <c r="B22" s="38">
        <f t="shared" ref="B22:B47" si="5">B21+1</f>
        <v>3</v>
      </c>
      <c r="C22" s="73" t="s">
        <v>127</v>
      </c>
      <c r="D22" s="81"/>
      <c r="E22" s="81" t="s">
        <v>21</v>
      </c>
      <c r="F22" s="75">
        <v>1150000</v>
      </c>
      <c r="G22" s="75">
        <f t="shared" si="3"/>
        <v>690000</v>
      </c>
      <c r="H22" s="79">
        <v>700000</v>
      </c>
      <c r="I22" s="75">
        <f t="shared" si="4"/>
        <v>-10000</v>
      </c>
      <c r="J22" s="49" t="s">
        <v>63</v>
      </c>
      <c r="K22" s="148" t="s">
        <v>147</v>
      </c>
      <c r="L22" s="82"/>
    </row>
    <row r="23" spans="1:17" ht="16.5" customHeight="1" x14ac:dyDescent="0.25">
      <c r="A23" s="170"/>
      <c r="B23" s="38">
        <f t="shared" si="5"/>
        <v>4</v>
      </c>
      <c r="C23" s="101"/>
      <c r="D23" s="102"/>
      <c r="E23" s="102" t="s">
        <v>26</v>
      </c>
      <c r="F23" s="103"/>
      <c r="G23" s="103">
        <f t="shared" si="3"/>
        <v>0</v>
      </c>
      <c r="H23" s="103"/>
      <c r="I23" s="103">
        <f t="shared" si="4"/>
        <v>0</v>
      </c>
      <c r="J23" s="128"/>
      <c r="K23" s="132"/>
      <c r="L23" s="76"/>
    </row>
    <row r="24" spans="1:17" ht="16.5" customHeight="1" x14ac:dyDescent="0.25">
      <c r="A24" s="170"/>
      <c r="B24" s="38">
        <f t="shared" si="5"/>
        <v>5</v>
      </c>
      <c r="C24" s="73" t="s">
        <v>107</v>
      </c>
      <c r="D24" s="81"/>
      <c r="E24" s="81" t="s">
        <v>53</v>
      </c>
      <c r="F24" s="75">
        <v>1716000</v>
      </c>
      <c r="G24" s="75">
        <f t="shared" si="3"/>
        <v>858000</v>
      </c>
      <c r="H24" s="79">
        <v>858000</v>
      </c>
      <c r="I24" s="75">
        <f t="shared" si="4"/>
        <v>0</v>
      </c>
      <c r="J24" s="49" t="s">
        <v>63</v>
      </c>
      <c r="K24" s="132"/>
      <c r="L24" s="82"/>
    </row>
    <row r="25" spans="1:17" ht="16.5" customHeight="1" x14ac:dyDescent="0.25">
      <c r="A25" s="170"/>
      <c r="B25" s="38">
        <f t="shared" si="5"/>
        <v>6</v>
      </c>
      <c r="C25" s="73" t="s">
        <v>128</v>
      </c>
      <c r="D25" s="76"/>
      <c r="E25" s="76" t="s">
        <v>104</v>
      </c>
      <c r="F25" s="75">
        <v>1760000</v>
      </c>
      <c r="G25" s="75">
        <f t="shared" si="3"/>
        <v>880000</v>
      </c>
      <c r="H25" s="79">
        <v>880000</v>
      </c>
      <c r="I25" s="75">
        <f t="shared" si="4"/>
        <v>0</v>
      </c>
      <c r="J25" s="49" t="s">
        <v>63</v>
      </c>
      <c r="K25" s="132"/>
      <c r="L25" s="76"/>
    </row>
    <row r="26" spans="1:17" ht="22.15" customHeight="1" x14ac:dyDescent="0.25">
      <c r="A26" s="170"/>
      <c r="B26" s="38">
        <f t="shared" si="5"/>
        <v>7</v>
      </c>
      <c r="C26" s="77" t="s">
        <v>75</v>
      </c>
      <c r="D26" s="80"/>
      <c r="E26" s="76" t="s">
        <v>70</v>
      </c>
      <c r="F26" s="75">
        <v>2895000</v>
      </c>
      <c r="G26" s="75">
        <f t="shared" si="3"/>
        <v>1447500</v>
      </c>
      <c r="H26" s="75">
        <v>1447500</v>
      </c>
      <c r="I26" s="75">
        <f t="shared" si="4"/>
        <v>0</v>
      </c>
      <c r="J26" s="49" t="s">
        <v>63</v>
      </c>
      <c r="K26" s="132"/>
      <c r="L26" s="76"/>
    </row>
    <row r="27" spans="1:17" ht="20.45" customHeight="1" x14ac:dyDescent="0.3">
      <c r="A27" s="170"/>
      <c r="B27" s="38">
        <f t="shared" si="5"/>
        <v>8</v>
      </c>
      <c r="C27" s="77" t="s">
        <v>123</v>
      </c>
      <c r="D27" s="87"/>
      <c r="E27" s="86" t="s">
        <v>76</v>
      </c>
      <c r="F27" s="79">
        <v>2768000</v>
      </c>
      <c r="G27" s="75">
        <f t="shared" si="3"/>
        <v>1384000</v>
      </c>
      <c r="H27" s="75">
        <v>1384000</v>
      </c>
      <c r="I27" s="75">
        <f t="shared" si="4"/>
        <v>0</v>
      </c>
      <c r="J27" s="49" t="s">
        <v>63</v>
      </c>
      <c r="K27" s="132"/>
      <c r="L27" s="76"/>
    </row>
    <row r="28" spans="1:17" ht="16.5" customHeight="1" x14ac:dyDescent="0.25">
      <c r="A28" s="170"/>
      <c r="B28" s="38">
        <f t="shared" si="5"/>
        <v>9</v>
      </c>
      <c r="C28" s="88" t="s">
        <v>129</v>
      </c>
      <c r="D28" s="74"/>
      <c r="E28" s="81" t="s">
        <v>24</v>
      </c>
      <c r="F28" s="79">
        <v>1998000</v>
      </c>
      <c r="G28" s="75">
        <f t="shared" si="3"/>
        <v>999000</v>
      </c>
      <c r="H28" s="79">
        <v>1000000</v>
      </c>
      <c r="I28" s="75">
        <f t="shared" si="4"/>
        <v>-1000</v>
      </c>
      <c r="J28" s="49" t="s">
        <v>63</v>
      </c>
      <c r="K28" s="132"/>
      <c r="L28" s="76"/>
    </row>
    <row r="29" spans="1:17" ht="16.5" customHeight="1" x14ac:dyDescent="0.3">
      <c r="A29" s="170"/>
      <c r="B29" s="38">
        <f t="shared" si="5"/>
        <v>10</v>
      </c>
      <c r="C29" s="88" t="s">
        <v>97</v>
      </c>
      <c r="D29" s="81"/>
      <c r="E29" s="76" t="s">
        <v>106</v>
      </c>
      <c r="F29" s="118">
        <v>3070000</v>
      </c>
      <c r="G29" s="75">
        <f t="shared" si="3"/>
        <v>1535000</v>
      </c>
      <c r="H29" s="118">
        <v>1535000</v>
      </c>
      <c r="I29" s="75">
        <f t="shared" si="4"/>
        <v>0</v>
      </c>
      <c r="J29" s="49" t="s">
        <v>63</v>
      </c>
      <c r="K29" s="132"/>
      <c r="L29" s="93"/>
    </row>
    <row r="30" spans="1:17" ht="16.5" customHeight="1" x14ac:dyDescent="0.25">
      <c r="A30" s="170"/>
      <c r="B30" s="38">
        <f t="shared" si="5"/>
        <v>11</v>
      </c>
      <c r="C30" s="88" t="s">
        <v>108</v>
      </c>
      <c r="D30" s="78"/>
      <c r="E30" s="81" t="s">
        <v>52</v>
      </c>
      <c r="F30" s="89">
        <v>1250000</v>
      </c>
      <c r="G30" s="75">
        <f t="shared" si="3"/>
        <v>750000</v>
      </c>
      <c r="H30" s="119">
        <v>750000</v>
      </c>
      <c r="I30" s="75">
        <f t="shared" si="4"/>
        <v>0</v>
      </c>
      <c r="J30" s="49" t="s">
        <v>63</v>
      </c>
      <c r="K30" s="132"/>
      <c r="L30" s="80"/>
    </row>
    <row r="31" spans="1:17" ht="15" customHeight="1" x14ac:dyDescent="0.3">
      <c r="A31" s="170"/>
      <c r="B31" s="38">
        <f t="shared" si="5"/>
        <v>12</v>
      </c>
      <c r="C31" s="77" t="s">
        <v>103</v>
      </c>
      <c r="D31" s="74"/>
      <c r="E31" s="74" t="s">
        <v>16</v>
      </c>
      <c r="F31" s="89">
        <v>2855000</v>
      </c>
      <c r="G31" s="75">
        <f t="shared" si="3"/>
        <v>1427500</v>
      </c>
      <c r="H31" s="89">
        <v>1377500</v>
      </c>
      <c r="I31" s="75">
        <f t="shared" si="4"/>
        <v>50000</v>
      </c>
      <c r="J31" s="49" t="s">
        <v>63</v>
      </c>
      <c r="K31" s="132" t="s">
        <v>148</v>
      </c>
      <c r="L31" s="93"/>
    </row>
    <row r="32" spans="1:17" ht="15" customHeight="1" x14ac:dyDescent="0.3">
      <c r="A32" s="170"/>
      <c r="B32" s="38">
        <f t="shared" si="5"/>
        <v>13</v>
      </c>
      <c r="C32" s="77" t="s">
        <v>110</v>
      </c>
      <c r="D32" s="87"/>
      <c r="E32" s="81" t="s">
        <v>98</v>
      </c>
      <c r="F32" s="75">
        <v>840000</v>
      </c>
      <c r="G32" s="75">
        <f t="shared" si="3"/>
        <v>504000</v>
      </c>
      <c r="H32" s="75">
        <v>504000</v>
      </c>
      <c r="I32" s="75">
        <f t="shared" si="4"/>
        <v>0</v>
      </c>
      <c r="J32" s="49" t="s">
        <v>63</v>
      </c>
      <c r="K32" s="132"/>
      <c r="L32" s="93"/>
    </row>
    <row r="33" spans="1:12" ht="18.75" customHeight="1" x14ac:dyDescent="0.3">
      <c r="A33" s="170"/>
      <c r="B33" s="38">
        <f t="shared" si="5"/>
        <v>14</v>
      </c>
      <c r="C33" s="87" t="s">
        <v>109</v>
      </c>
      <c r="D33" s="87"/>
      <c r="E33" s="81" t="s">
        <v>35</v>
      </c>
      <c r="F33" s="90">
        <v>2194000</v>
      </c>
      <c r="G33" s="75">
        <f t="shared" si="3"/>
        <v>1097000</v>
      </c>
      <c r="H33" s="89">
        <v>1097000</v>
      </c>
      <c r="I33" s="75">
        <f t="shared" si="4"/>
        <v>0</v>
      </c>
      <c r="J33" s="49" t="s">
        <v>63</v>
      </c>
      <c r="K33" s="89"/>
      <c r="L33" s="76"/>
    </row>
    <row r="34" spans="1:12" ht="18.75" x14ac:dyDescent="0.3">
      <c r="A34" s="170"/>
      <c r="B34" s="38">
        <f t="shared" si="5"/>
        <v>15</v>
      </c>
      <c r="C34" s="87" t="s">
        <v>111</v>
      </c>
      <c r="D34" s="120"/>
      <c r="E34" s="81" t="s">
        <v>15</v>
      </c>
      <c r="F34" s="79">
        <v>1720000</v>
      </c>
      <c r="G34" s="75">
        <f t="shared" si="3"/>
        <v>860000</v>
      </c>
      <c r="H34" s="79">
        <v>860000</v>
      </c>
      <c r="I34" s="75">
        <f t="shared" si="4"/>
        <v>0</v>
      </c>
      <c r="J34" s="49" t="s">
        <v>63</v>
      </c>
      <c r="K34" s="132"/>
      <c r="L34" s="76"/>
    </row>
    <row r="35" spans="1:12" ht="18.75" x14ac:dyDescent="0.3">
      <c r="A35" s="170"/>
      <c r="B35" s="38">
        <f t="shared" si="5"/>
        <v>16</v>
      </c>
      <c r="C35" s="87" t="s">
        <v>122</v>
      </c>
      <c r="D35" s="120"/>
      <c r="E35" s="86" t="s">
        <v>76</v>
      </c>
      <c r="F35" s="118">
        <v>1870000</v>
      </c>
      <c r="G35" s="75">
        <f t="shared" si="3"/>
        <v>935000</v>
      </c>
      <c r="H35" s="118">
        <v>935000</v>
      </c>
      <c r="I35" s="75">
        <f t="shared" si="4"/>
        <v>0</v>
      </c>
      <c r="J35" s="49" t="s">
        <v>63</v>
      </c>
      <c r="K35" s="132"/>
      <c r="L35" s="80"/>
    </row>
    <row r="36" spans="1:12" ht="18.75" x14ac:dyDescent="0.3">
      <c r="A36" s="170"/>
      <c r="B36" s="38">
        <f t="shared" si="5"/>
        <v>17</v>
      </c>
      <c r="C36" s="87" t="s">
        <v>130</v>
      </c>
      <c r="D36" s="120"/>
      <c r="E36" s="86" t="s">
        <v>76</v>
      </c>
      <c r="F36" s="118">
        <v>1900000</v>
      </c>
      <c r="G36" s="75">
        <f t="shared" si="3"/>
        <v>950000</v>
      </c>
      <c r="H36" s="118">
        <v>950000</v>
      </c>
      <c r="I36" s="75">
        <f t="shared" si="4"/>
        <v>0</v>
      </c>
      <c r="J36" s="49" t="s">
        <v>63</v>
      </c>
      <c r="K36" s="132"/>
      <c r="L36" s="46"/>
    </row>
    <row r="37" spans="1:12" ht="18.75" x14ac:dyDescent="0.3">
      <c r="A37" s="170"/>
      <c r="B37" s="38">
        <f t="shared" si="5"/>
        <v>18</v>
      </c>
      <c r="C37" s="149"/>
      <c r="D37" s="150"/>
      <c r="E37" s="151" t="s">
        <v>76</v>
      </c>
      <c r="F37" s="152"/>
      <c r="G37" s="103">
        <f t="shared" si="3"/>
        <v>0</v>
      </c>
      <c r="H37" s="153"/>
      <c r="I37" s="103">
        <f t="shared" si="4"/>
        <v>0</v>
      </c>
      <c r="J37" s="83"/>
      <c r="K37" s="98"/>
      <c r="L37" s="47"/>
    </row>
    <row r="38" spans="1:12" ht="18.75" x14ac:dyDescent="0.3">
      <c r="A38" s="170"/>
      <c r="B38" s="38">
        <f t="shared" si="5"/>
        <v>19</v>
      </c>
      <c r="C38" s="99" t="s">
        <v>134</v>
      </c>
      <c r="D38" s="43"/>
      <c r="E38" s="86" t="s">
        <v>76</v>
      </c>
      <c r="F38" s="90">
        <v>1484000</v>
      </c>
      <c r="G38" s="75">
        <f t="shared" si="3"/>
        <v>890400</v>
      </c>
      <c r="H38" s="89">
        <v>892000</v>
      </c>
      <c r="I38" s="75">
        <f t="shared" si="4"/>
        <v>-1600</v>
      </c>
      <c r="J38" s="49" t="s">
        <v>63</v>
      </c>
      <c r="K38" s="98"/>
      <c r="L38" s="47"/>
    </row>
    <row r="39" spans="1:12" ht="18.75" x14ac:dyDescent="0.3">
      <c r="A39" s="170"/>
      <c r="B39" s="38">
        <f t="shared" si="5"/>
        <v>20</v>
      </c>
      <c r="C39" s="99"/>
      <c r="D39" s="43"/>
      <c r="E39" s="86" t="s">
        <v>76</v>
      </c>
      <c r="F39" s="90"/>
      <c r="G39" s="75">
        <f t="shared" si="3"/>
        <v>0</v>
      </c>
      <c r="H39" s="89"/>
      <c r="I39" s="75">
        <f t="shared" si="4"/>
        <v>0</v>
      </c>
      <c r="J39" s="83"/>
      <c r="K39" s="98"/>
      <c r="L39" s="47"/>
    </row>
    <row r="40" spans="1:12" ht="18.75" x14ac:dyDescent="0.3">
      <c r="A40" s="170"/>
      <c r="B40" s="38">
        <f t="shared" si="5"/>
        <v>21</v>
      </c>
      <c r="C40" s="99"/>
      <c r="D40" s="43"/>
      <c r="E40" s="60" t="s">
        <v>76</v>
      </c>
      <c r="F40" s="90"/>
      <c r="G40" s="75">
        <f t="shared" si="3"/>
        <v>0</v>
      </c>
      <c r="H40" s="89"/>
      <c r="I40" s="75">
        <f t="shared" si="4"/>
        <v>0</v>
      </c>
      <c r="J40" s="83"/>
      <c r="K40" s="98"/>
      <c r="L40" s="47"/>
    </row>
    <row r="41" spans="1:12" ht="18.75" x14ac:dyDescent="0.3">
      <c r="A41" s="170"/>
      <c r="B41" s="38">
        <f t="shared" si="5"/>
        <v>22</v>
      </c>
      <c r="C41" s="99"/>
      <c r="D41" s="43"/>
      <c r="E41" s="60" t="s">
        <v>76</v>
      </c>
      <c r="F41" s="100"/>
      <c r="G41" s="75">
        <f t="shared" si="3"/>
        <v>0</v>
      </c>
      <c r="H41" s="89"/>
      <c r="I41" s="75">
        <f t="shared" si="4"/>
        <v>0</v>
      </c>
      <c r="J41" s="83"/>
      <c r="K41" s="98"/>
      <c r="L41" s="47"/>
    </row>
    <row r="42" spans="1:12" ht="18.75" x14ac:dyDescent="0.3">
      <c r="A42" s="170"/>
      <c r="B42" s="38">
        <f t="shared" si="5"/>
        <v>23</v>
      </c>
      <c r="C42" s="99"/>
      <c r="D42" s="43"/>
      <c r="E42" s="60" t="s">
        <v>76</v>
      </c>
      <c r="F42" s="100"/>
      <c r="G42" s="75">
        <f t="shared" si="3"/>
        <v>0</v>
      </c>
      <c r="H42" s="89"/>
      <c r="I42" s="75">
        <f t="shared" si="4"/>
        <v>0</v>
      </c>
      <c r="J42" s="83"/>
      <c r="K42" s="98"/>
      <c r="L42" s="47"/>
    </row>
    <row r="43" spans="1:12" ht="18.75" x14ac:dyDescent="0.3">
      <c r="A43" s="170"/>
      <c r="B43" s="38">
        <f t="shared" si="5"/>
        <v>24</v>
      </c>
      <c r="C43" s="99"/>
      <c r="D43" s="43"/>
      <c r="E43" s="43"/>
      <c r="F43" s="100"/>
      <c r="G43" s="75">
        <f t="shared" si="3"/>
        <v>0</v>
      </c>
      <c r="H43" s="89"/>
      <c r="I43" s="75">
        <f t="shared" si="4"/>
        <v>0</v>
      </c>
      <c r="J43" s="83"/>
      <c r="K43" s="98"/>
      <c r="L43" s="47"/>
    </row>
    <row r="44" spans="1:12" ht="18.75" x14ac:dyDescent="0.3">
      <c r="A44" s="170"/>
      <c r="B44" s="38">
        <f t="shared" si="5"/>
        <v>25</v>
      </c>
      <c r="C44" s="99"/>
      <c r="D44" s="43"/>
      <c r="E44" s="43"/>
      <c r="F44" s="100"/>
      <c r="G44" s="75">
        <f t="shared" si="3"/>
        <v>0</v>
      </c>
      <c r="H44" s="89"/>
      <c r="I44" s="75">
        <f t="shared" si="4"/>
        <v>0</v>
      </c>
      <c r="J44" s="83"/>
      <c r="K44" s="98"/>
      <c r="L44" s="47"/>
    </row>
    <row r="45" spans="1:12" ht="18.75" x14ac:dyDescent="0.3">
      <c r="A45" s="170"/>
      <c r="B45" s="38">
        <f t="shared" si="5"/>
        <v>26</v>
      </c>
      <c r="C45" s="99"/>
      <c r="D45" s="43"/>
      <c r="E45" s="43"/>
      <c r="F45" s="100"/>
      <c r="G45" s="75">
        <f t="shared" si="3"/>
        <v>0</v>
      </c>
      <c r="H45" s="89"/>
      <c r="I45" s="75">
        <f t="shared" si="4"/>
        <v>0</v>
      </c>
      <c r="J45" s="83"/>
      <c r="K45" s="98"/>
      <c r="L45" s="47"/>
    </row>
    <row r="46" spans="1:12" ht="18.75" x14ac:dyDescent="0.3">
      <c r="A46" s="170"/>
      <c r="B46" s="38">
        <f t="shared" si="5"/>
        <v>27</v>
      </c>
      <c r="C46" s="99"/>
      <c r="D46" s="43"/>
      <c r="E46" s="43"/>
      <c r="F46" s="100"/>
      <c r="G46" s="75">
        <f t="shared" si="3"/>
        <v>0</v>
      </c>
      <c r="H46" s="89"/>
      <c r="I46" s="75">
        <f t="shared" si="4"/>
        <v>0</v>
      </c>
      <c r="J46" s="83"/>
      <c r="K46" s="98"/>
      <c r="L46" s="47"/>
    </row>
    <row r="47" spans="1:12" ht="18.75" x14ac:dyDescent="0.3">
      <c r="A47" s="170"/>
      <c r="B47" s="38">
        <f t="shared" si="5"/>
        <v>28</v>
      </c>
      <c r="C47" s="99"/>
      <c r="D47" s="43"/>
      <c r="E47" s="43"/>
      <c r="F47" s="100"/>
      <c r="G47" s="75">
        <f t="shared" si="3"/>
        <v>0</v>
      </c>
      <c r="H47" s="89"/>
      <c r="I47" s="75">
        <f t="shared" si="4"/>
        <v>0</v>
      </c>
      <c r="J47" s="83"/>
      <c r="K47" s="98"/>
      <c r="L47" s="47"/>
    </row>
  </sheetData>
  <mergeCells count="8">
    <mergeCell ref="A20:A47"/>
    <mergeCell ref="B3:K3"/>
    <mergeCell ref="A7:A19"/>
    <mergeCell ref="N10:O11"/>
    <mergeCell ref="P10:P11"/>
    <mergeCell ref="N12:O14"/>
    <mergeCell ref="P12:P14"/>
    <mergeCell ref="N15:O1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1520-0A45-4A23-A6EE-174DE0E24C5F}">
  <dimension ref="A3:Q47"/>
  <sheetViews>
    <sheetView topLeftCell="A3" zoomScale="70" zoomScaleNormal="70" workbookViewId="0">
      <selection activeCell="K22" sqref="K22"/>
    </sheetView>
  </sheetViews>
  <sheetFormatPr defaultColWidth="9.140625" defaultRowHeight="15" x14ac:dyDescent="0.25"/>
  <cols>
    <col min="1" max="1" width="23.140625" style="1" customWidth="1"/>
    <col min="2" max="2" width="9.140625" style="1"/>
    <col min="3" max="3" width="37.7109375" style="1" customWidth="1"/>
    <col min="4" max="4" width="24.85546875" style="1" customWidth="1"/>
    <col min="5" max="5" width="19.5703125" style="1" customWidth="1"/>
    <col min="6" max="6" width="20.28515625" style="1" customWidth="1"/>
    <col min="7" max="7" width="19.5703125" style="1" customWidth="1"/>
    <col min="8" max="8" width="20.42578125" style="1" customWidth="1"/>
    <col min="9" max="9" width="18" style="1" customWidth="1"/>
    <col min="10" max="10" width="20" style="1" customWidth="1"/>
    <col min="11" max="11" width="39.85546875" style="1" customWidth="1"/>
    <col min="12" max="12" width="11.5703125" style="1" customWidth="1"/>
    <col min="13" max="13" width="5" style="1" customWidth="1"/>
    <col min="14" max="14" width="31.425781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6" ht="27.75" x14ac:dyDescent="0.25">
      <c r="B3" s="165" t="s">
        <v>30</v>
      </c>
      <c r="C3" s="165"/>
      <c r="D3" s="165"/>
      <c r="E3" s="165"/>
      <c r="F3" s="165"/>
      <c r="G3" s="165"/>
      <c r="H3" s="165"/>
      <c r="I3" s="165"/>
      <c r="J3" s="165"/>
      <c r="K3" s="165"/>
    </row>
    <row r="4" spans="1:16" ht="30.75" x14ac:dyDescent="0.25">
      <c r="C4" s="59"/>
      <c r="D4" s="59"/>
      <c r="E4" s="59"/>
      <c r="G4" s="58" t="s">
        <v>149</v>
      </c>
      <c r="I4" s="59"/>
      <c r="J4" s="59"/>
      <c r="K4" s="59"/>
    </row>
    <row r="5" spans="1:16" ht="12" customHeight="1" x14ac:dyDescent="0.25"/>
    <row r="6" spans="1:16" ht="53.25" customHeight="1" x14ac:dyDescent="0.25">
      <c r="A6" s="57"/>
      <c r="B6" s="65" t="s">
        <v>0</v>
      </c>
      <c r="C6" s="65" t="s">
        <v>1</v>
      </c>
      <c r="D6" s="65" t="s">
        <v>47</v>
      </c>
      <c r="E6" s="65" t="s">
        <v>46</v>
      </c>
      <c r="F6" s="65" t="s">
        <v>4</v>
      </c>
      <c r="G6" s="66" t="s">
        <v>94</v>
      </c>
      <c r="H6" s="65" t="s">
        <v>86</v>
      </c>
      <c r="I6" s="65" t="s">
        <v>87</v>
      </c>
      <c r="J6" s="65" t="s">
        <v>6</v>
      </c>
      <c r="K6" s="65" t="s">
        <v>33</v>
      </c>
      <c r="L6" s="65" t="s">
        <v>48</v>
      </c>
      <c r="N6" s="49" t="s">
        <v>63</v>
      </c>
    </row>
    <row r="7" spans="1:16" ht="23.25" customHeight="1" x14ac:dyDescent="0.25">
      <c r="A7" s="171" t="s">
        <v>90</v>
      </c>
      <c r="B7" s="38">
        <v>1</v>
      </c>
      <c r="C7" s="39" t="s">
        <v>91</v>
      </c>
      <c r="D7" s="40"/>
      <c r="E7" s="60" t="s">
        <v>76</v>
      </c>
      <c r="F7" s="41">
        <v>1700000</v>
      </c>
      <c r="G7" s="41">
        <f>IF(F7="",0,IF(F7&gt;1800000,F7*O$19,F7*O$18))</f>
        <v>1020000</v>
      </c>
      <c r="H7" s="41">
        <v>850000</v>
      </c>
      <c r="I7" s="41">
        <f>G7-H7</f>
        <v>170000</v>
      </c>
      <c r="J7" s="50" t="s">
        <v>25</v>
      </c>
      <c r="K7" s="129"/>
      <c r="L7" s="46"/>
      <c r="N7" s="50" t="s">
        <v>25</v>
      </c>
    </row>
    <row r="8" spans="1:16" ht="16.5" customHeight="1" x14ac:dyDescent="0.25">
      <c r="A8" s="172"/>
      <c r="B8" s="38">
        <f>B7+1</f>
        <v>2</v>
      </c>
      <c r="C8" s="39" t="s">
        <v>101</v>
      </c>
      <c r="D8" s="45"/>
      <c r="E8" s="72" t="s">
        <v>65</v>
      </c>
      <c r="F8" s="41">
        <v>2000000</v>
      </c>
      <c r="G8" s="41">
        <f t="shared" ref="G8:G18" si="0">IF(F8="",0,IF(F8&gt;1800000,F8*O$19,F8*O$18))</f>
        <v>1000000</v>
      </c>
      <c r="H8" s="41">
        <v>1000000</v>
      </c>
      <c r="I8" s="41">
        <f t="shared" ref="I8:I18" si="1">G8-H8</f>
        <v>0</v>
      </c>
      <c r="J8" s="50" t="s">
        <v>25</v>
      </c>
      <c r="K8" s="130"/>
      <c r="L8" s="46"/>
      <c r="N8" s="48" t="s">
        <v>64</v>
      </c>
    </row>
    <row r="9" spans="1:16" ht="16.5" customHeight="1" x14ac:dyDescent="0.25">
      <c r="A9" s="172"/>
      <c r="B9" s="38">
        <f t="shared" ref="B9:B18" si="2">B8+1</f>
        <v>3</v>
      </c>
      <c r="C9" s="122" t="s">
        <v>102</v>
      </c>
      <c r="D9" s="123"/>
      <c r="E9" s="124" t="s">
        <v>71</v>
      </c>
      <c r="F9" s="125"/>
      <c r="G9" s="125">
        <f t="shared" si="0"/>
        <v>0</v>
      </c>
      <c r="H9" s="126"/>
      <c r="I9" s="125">
        <f t="shared" si="1"/>
        <v>0</v>
      </c>
      <c r="J9" s="155"/>
      <c r="K9" s="154" t="s">
        <v>150</v>
      </c>
      <c r="L9" s="47"/>
    </row>
    <row r="10" spans="1:16" ht="16.5" customHeight="1" x14ac:dyDescent="0.25">
      <c r="A10" s="172"/>
      <c r="B10" s="38">
        <f>B9+1</f>
        <v>4</v>
      </c>
      <c r="C10" s="42" t="s">
        <v>92</v>
      </c>
      <c r="D10" s="43"/>
      <c r="E10" s="60" t="s">
        <v>76</v>
      </c>
      <c r="F10" s="44">
        <v>850000</v>
      </c>
      <c r="G10" s="41">
        <f t="shared" si="0"/>
        <v>510000</v>
      </c>
      <c r="H10" s="44">
        <v>510000</v>
      </c>
      <c r="I10" s="41">
        <f t="shared" si="1"/>
        <v>0</v>
      </c>
      <c r="J10" s="50" t="s">
        <v>25</v>
      </c>
      <c r="K10" s="130"/>
      <c r="L10" s="46"/>
      <c r="N10" s="174" t="s">
        <v>28</v>
      </c>
      <c r="O10" s="174"/>
      <c r="P10" s="175">
        <f>SUM(F7:F1006)</f>
        <v>35368000</v>
      </c>
    </row>
    <row r="11" spans="1:16" ht="16.5" customHeight="1" x14ac:dyDescent="0.25">
      <c r="A11" s="172"/>
      <c r="B11" s="38">
        <f t="shared" si="2"/>
        <v>5</v>
      </c>
      <c r="C11" s="42"/>
      <c r="D11" s="43"/>
      <c r="E11" s="60" t="s">
        <v>76</v>
      </c>
      <c r="F11" s="44"/>
      <c r="G11" s="41">
        <f t="shared" si="0"/>
        <v>0</v>
      </c>
      <c r="H11" s="44"/>
      <c r="I11" s="41">
        <f t="shared" si="1"/>
        <v>0</v>
      </c>
      <c r="J11" s="155"/>
      <c r="K11" s="130"/>
      <c r="L11" s="46"/>
      <c r="N11" s="174"/>
      <c r="O11" s="174"/>
      <c r="P11" s="175"/>
    </row>
    <row r="12" spans="1:16" ht="16.5" customHeight="1" x14ac:dyDescent="0.25">
      <c r="A12" s="172"/>
      <c r="B12" s="38">
        <f t="shared" si="2"/>
        <v>6</v>
      </c>
      <c r="C12" s="42" t="s">
        <v>96</v>
      </c>
      <c r="D12" s="43"/>
      <c r="E12" s="60" t="s">
        <v>76</v>
      </c>
      <c r="F12" s="44"/>
      <c r="G12" s="41">
        <f t="shared" si="0"/>
        <v>0</v>
      </c>
      <c r="H12" s="44"/>
      <c r="I12" s="41">
        <f t="shared" si="1"/>
        <v>0</v>
      </c>
      <c r="J12" s="155"/>
      <c r="K12" s="130"/>
      <c r="L12" s="46"/>
      <c r="N12" s="176" t="s">
        <v>95</v>
      </c>
      <c r="O12" s="176"/>
      <c r="P12" s="175">
        <f>SUM(G7:G1006)</f>
        <v>18197000</v>
      </c>
    </row>
    <row r="13" spans="1:16" ht="22.5" customHeight="1" x14ac:dyDescent="0.25">
      <c r="A13" s="172"/>
      <c r="B13" s="38">
        <f t="shared" si="2"/>
        <v>7</v>
      </c>
      <c r="C13" s="42" t="s">
        <v>96</v>
      </c>
      <c r="D13" s="43"/>
      <c r="E13" s="60" t="s">
        <v>76</v>
      </c>
      <c r="F13" s="44"/>
      <c r="G13" s="41">
        <f t="shared" si="0"/>
        <v>0</v>
      </c>
      <c r="H13" s="44"/>
      <c r="I13" s="41">
        <f t="shared" si="1"/>
        <v>0</v>
      </c>
      <c r="J13" s="155"/>
      <c r="K13" s="130"/>
      <c r="L13" s="46"/>
      <c r="N13" s="176"/>
      <c r="O13" s="176"/>
      <c r="P13" s="175"/>
    </row>
    <row r="14" spans="1:16" ht="16.5" customHeight="1" x14ac:dyDescent="0.25">
      <c r="A14" s="172"/>
      <c r="B14" s="38">
        <f t="shared" si="2"/>
        <v>8</v>
      </c>
      <c r="C14" s="42" t="s">
        <v>96</v>
      </c>
      <c r="D14" s="43"/>
      <c r="E14" s="60" t="s">
        <v>76</v>
      </c>
      <c r="F14" s="44"/>
      <c r="G14" s="41">
        <f t="shared" si="0"/>
        <v>0</v>
      </c>
      <c r="H14" s="44"/>
      <c r="I14" s="41">
        <f t="shared" si="1"/>
        <v>0</v>
      </c>
      <c r="J14" s="62"/>
      <c r="K14" s="130"/>
      <c r="L14" s="46"/>
      <c r="N14" s="176"/>
      <c r="O14" s="176"/>
      <c r="P14" s="175"/>
    </row>
    <row r="15" spans="1:16" ht="22.5" customHeight="1" x14ac:dyDescent="0.3">
      <c r="A15" s="172"/>
      <c r="B15" s="38">
        <f>B14+1</f>
        <v>9</v>
      </c>
      <c r="C15" s="42" t="s">
        <v>96</v>
      </c>
      <c r="D15" s="43"/>
      <c r="E15" s="60" t="s">
        <v>76</v>
      </c>
      <c r="F15" s="44"/>
      <c r="G15" s="41">
        <f t="shared" si="0"/>
        <v>0</v>
      </c>
      <c r="H15" s="44"/>
      <c r="I15" s="41">
        <f t="shared" si="1"/>
        <v>0</v>
      </c>
      <c r="J15" s="62"/>
      <c r="K15" s="130"/>
      <c r="L15" s="46"/>
      <c r="N15" s="177" t="s">
        <v>88</v>
      </c>
      <c r="O15" s="177"/>
      <c r="P15" s="67">
        <f>SUM(H7:H1006)</f>
        <v>17549000</v>
      </c>
    </row>
    <row r="16" spans="1:16" ht="16.5" customHeight="1" x14ac:dyDescent="0.25">
      <c r="A16" s="172"/>
      <c r="B16" s="38">
        <f t="shared" si="2"/>
        <v>10</v>
      </c>
      <c r="C16" s="42" t="s">
        <v>96</v>
      </c>
      <c r="D16" s="43"/>
      <c r="E16" s="60"/>
      <c r="F16" s="44"/>
      <c r="G16" s="41">
        <f t="shared" si="0"/>
        <v>0</v>
      </c>
      <c r="H16" s="44"/>
      <c r="I16" s="41">
        <f t="shared" si="1"/>
        <v>0</v>
      </c>
      <c r="J16" s="62"/>
      <c r="K16" s="130"/>
      <c r="L16" s="46"/>
    </row>
    <row r="17" spans="1:17" ht="16.5" customHeight="1" x14ac:dyDescent="0.25">
      <c r="A17" s="172"/>
      <c r="B17" s="38">
        <f t="shared" si="2"/>
        <v>11</v>
      </c>
      <c r="C17" s="42" t="s">
        <v>96</v>
      </c>
      <c r="D17" s="43"/>
      <c r="E17" s="60"/>
      <c r="F17" s="44"/>
      <c r="G17" s="41">
        <f t="shared" si="0"/>
        <v>0</v>
      </c>
      <c r="H17" s="44"/>
      <c r="I17" s="41">
        <f t="shared" si="1"/>
        <v>0</v>
      </c>
      <c r="J17" s="62"/>
      <c r="K17" s="130"/>
      <c r="L17" s="46"/>
    </row>
    <row r="18" spans="1:17" ht="16.5" customHeight="1" x14ac:dyDescent="0.3">
      <c r="A18" s="172"/>
      <c r="B18" s="38">
        <f t="shared" si="2"/>
        <v>12</v>
      </c>
      <c r="C18" s="42" t="s">
        <v>96</v>
      </c>
      <c r="D18" s="43"/>
      <c r="E18" s="60"/>
      <c r="F18" s="44"/>
      <c r="G18" s="41">
        <f t="shared" si="0"/>
        <v>0</v>
      </c>
      <c r="H18" s="44"/>
      <c r="I18" s="41">
        <f t="shared" si="1"/>
        <v>0</v>
      </c>
      <c r="J18" s="62"/>
      <c r="K18" s="130"/>
      <c r="L18" s="46"/>
      <c r="N18" s="64" t="s">
        <v>60</v>
      </c>
      <c r="O18" s="68">
        <v>0.6</v>
      </c>
      <c r="Q18" s="70" t="s">
        <v>99</v>
      </c>
    </row>
    <row r="19" spans="1:17" ht="16.5" customHeight="1" x14ac:dyDescent="0.3">
      <c r="A19" s="173"/>
      <c r="B19" s="51"/>
      <c r="C19" s="52"/>
      <c r="D19" s="51"/>
      <c r="E19" s="53"/>
      <c r="F19" s="54"/>
      <c r="G19" s="54"/>
      <c r="H19" s="63"/>
      <c r="I19" s="61"/>
      <c r="J19" s="55"/>
      <c r="K19" s="131"/>
      <c r="L19" s="56"/>
      <c r="N19" s="64" t="s">
        <v>60</v>
      </c>
      <c r="O19" s="69">
        <v>0.5</v>
      </c>
      <c r="Q19" s="70" t="s">
        <v>100</v>
      </c>
    </row>
    <row r="20" spans="1:17" ht="16.5" customHeight="1" x14ac:dyDescent="0.25">
      <c r="A20" s="169" t="s">
        <v>89</v>
      </c>
      <c r="B20" s="38">
        <v>1</v>
      </c>
      <c r="C20" s="137" t="s">
        <v>124</v>
      </c>
      <c r="D20" s="138"/>
      <c r="E20" s="138" t="s">
        <v>13</v>
      </c>
      <c r="F20" s="139"/>
      <c r="G20" s="139">
        <f t="shared" ref="G20:G47" si="3">IF(F20="",0,IF(F20&gt;=1700000,F20*O$19,F20*O$18))</f>
        <v>0</v>
      </c>
      <c r="H20" s="139"/>
      <c r="I20" s="139">
        <f t="shared" ref="I20:I47" si="4">G20-H20</f>
        <v>0</v>
      </c>
      <c r="J20" s="128"/>
      <c r="K20" s="132" t="s">
        <v>152</v>
      </c>
      <c r="L20" s="76"/>
    </row>
    <row r="21" spans="1:17" ht="16.5" customHeight="1" x14ac:dyDescent="0.25">
      <c r="A21" s="170"/>
      <c r="B21" s="38">
        <f>B20+1</f>
        <v>2</v>
      </c>
      <c r="C21" s="77" t="s">
        <v>125</v>
      </c>
      <c r="D21" s="78"/>
      <c r="E21" s="78" t="s">
        <v>105</v>
      </c>
      <c r="F21" s="79">
        <v>1320000</v>
      </c>
      <c r="G21" s="75">
        <f t="shared" si="3"/>
        <v>792000</v>
      </c>
      <c r="H21" s="79">
        <v>660000</v>
      </c>
      <c r="I21" s="75">
        <f t="shared" si="4"/>
        <v>132000</v>
      </c>
      <c r="J21" s="49" t="s">
        <v>63</v>
      </c>
      <c r="K21" s="132">
        <v>1320</v>
      </c>
      <c r="L21" s="80"/>
    </row>
    <row r="22" spans="1:17" ht="16.5" customHeight="1" x14ac:dyDescent="0.3">
      <c r="A22" s="170"/>
      <c r="B22" s="38">
        <f t="shared" ref="B22:B47" si="5">B21+1</f>
        <v>3</v>
      </c>
      <c r="C22" s="73" t="s">
        <v>127</v>
      </c>
      <c r="D22" s="81"/>
      <c r="E22" s="81" t="s">
        <v>21</v>
      </c>
      <c r="F22" s="75"/>
      <c r="G22" s="75">
        <f t="shared" si="3"/>
        <v>0</v>
      </c>
      <c r="H22" s="79"/>
      <c r="I22" s="75">
        <f t="shared" si="4"/>
        <v>0</v>
      </c>
      <c r="J22" s="48" t="s">
        <v>64</v>
      </c>
      <c r="K22" s="148">
        <v>400</v>
      </c>
      <c r="L22" s="82"/>
    </row>
    <row r="23" spans="1:17" ht="16.5" customHeight="1" x14ac:dyDescent="0.25">
      <c r="A23" s="170"/>
      <c r="B23" s="38">
        <f t="shared" si="5"/>
        <v>4</v>
      </c>
      <c r="C23" s="101"/>
      <c r="D23" s="102"/>
      <c r="E23" s="102" t="s">
        <v>26</v>
      </c>
      <c r="F23" s="103"/>
      <c r="G23" s="103">
        <f t="shared" si="3"/>
        <v>0</v>
      </c>
      <c r="H23" s="103"/>
      <c r="I23" s="103">
        <f t="shared" si="4"/>
        <v>0</v>
      </c>
      <c r="J23" s="128"/>
      <c r="K23" s="132"/>
      <c r="L23" s="76"/>
    </row>
    <row r="24" spans="1:17" ht="16.5" customHeight="1" x14ac:dyDescent="0.25">
      <c r="A24" s="170"/>
      <c r="B24" s="38">
        <f t="shared" si="5"/>
        <v>5</v>
      </c>
      <c r="C24" s="73" t="s">
        <v>107</v>
      </c>
      <c r="D24" s="81"/>
      <c r="E24" s="81" t="s">
        <v>53</v>
      </c>
      <c r="F24" s="75">
        <v>2730000</v>
      </c>
      <c r="G24" s="75">
        <f t="shared" si="3"/>
        <v>1365000</v>
      </c>
      <c r="H24" s="79">
        <v>1365000</v>
      </c>
      <c r="I24" s="75">
        <f t="shared" si="4"/>
        <v>0</v>
      </c>
      <c r="J24" s="49" t="s">
        <v>63</v>
      </c>
      <c r="K24" s="132"/>
      <c r="L24" s="82"/>
    </row>
    <row r="25" spans="1:17" ht="16.5" customHeight="1" x14ac:dyDescent="0.25">
      <c r="A25" s="170"/>
      <c r="B25" s="38">
        <f t="shared" si="5"/>
        <v>6</v>
      </c>
      <c r="C25" s="73" t="s">
        <v>128</v>
      </c>
      <c r="D25" s="76"/>
      <c r="E25" s="76" t="s">
        <v>104</v>
      </c>
      <c r="F25" s="75">
        <v>1860000</v>
      </c>
      <c r="G25" s="75">
        <f t="shared" si="3"/>
        <v>930000</v>
      </c>
      <c r="H25" s="79">
        <v>930000</v>
      </c>
      <c r="I25" s="75">
        <f t="shared" si="4"/>
        <v>0</v>
      </c>
      <c r="J25" s="49" t="s">
        <v>63</v>
      </c>
      <c r="K25" s="132"/>
      <c r="L25" s="76"/>
    </row>
    <row r="26" spans="1:17" ht="22.15" customHeight="1" x14ac:dyDescent="0.25">
      <c r="A26" s="170"/>
      <c r="B26" s="38">
        <f t="shared" si="5"/>
        <v>7</v>
      </c>
      <c r="C26" s="77" t="s">
        <v>75</v>
      </c>
      <c r="D26" s="80"/>
      <c r="E26" s="76" t="s">
        <v>70</v>
      </c>
      <c r="F26" s="75">
        <v>3325000</v>
      </c>
      <c r="G26" s="75">
        <f t="shared" si="3"/>
        <v>1662500</v>
      </c>
      <c r="H26" s="75">
        <v>1662000</v>
      </c>
      <c r="I26" s="75">
        <f t="shared" si="4"/>
        <v>500</v>
      </c>
      <c r="J26" s="49" t="s">
        <v>63</v>
      </c>
      <c r="K26" s="132"/>
      <c r="L26" s="76"/>
    </row>
    <row r="27" spans="1:17" ht="20.45" customHeight="1" x14ac:dyDescent="0.3">
      <c r="A27" s="170"/>
      <c r="B27" s="38">
        <f t="shared" si="5"/>
        <v>8</v>
      </c>
      <c r="C27" s="77" t="s">
        <v>123</v>
      </c>
      <c r="D27" s="87"/>
      <c r="E27" s="86" t="s">
        <v>76</v>
      </c>
      <c r="F27" s="79">
        <v>2213000</v>
      </c>
      <c r="G27" s="75">
        <f t="shared" si="3"/>
        <v>1106500</v>
      </c>
      <c r="H27" s="75">
        <v>1106000</v>
      </c>
      <c r="I27" s="75">
        <f t="shared" si="4"/>
        <v>500</v>
      </c>
      <c r="J27" s="49" t="s">
        <v>63</v>
      </c>
      <c r="K27" s="132"/>
      <c r="L27" s="76"/>
    </row>
    <row r="28" spans="1:17" ht="16.5" customHeight="1" x14ac:dyDescent="0.25">
      <c r="A28" s="170"/>
      <c r="B28" s="38">
        <f t="shared" si="5"/>
        <v>9</v>
      </c>
      <c r="C28" s="88" t="s">
        <v>129</v>
      </c>
      <c r="D28" s="74"/>
      <c r="E28" s="81" t="s">
        <v>24</v>
      </c>
      <c r="F28" s="79">
        <v>1870000</v>
      </c>
      <c r="G28" s="75">
        <f t="shared" si="3"/>
        <v>935000</v>
      </c>
      <c r="H28" s="79">
        <v>935000</v>
      </c>
      <c r="I28" s="75">
        <f t="shared" si="4"/>
        <v>0</v>
      </c>
      <c r="J28" s="49" t="s">
        <v>63</v>
      </c>
      <c r="K28" s="132"/>
      <c r="L28" s="76"/>
    </row>
    <row r="29" spans="1:17" ht="16.5" customHeight="1" x14ac:dyDescent="0.3">
      <c r="A29" s="170"/>
      <c r="B29" s="38">
        <f t="shared" si="5"/>
        <v>10</v>
      </c>
      <c r="C29" s="88" t="s">
        <v>97</v>
      </c>
      <c r="D29" s="81"/>
      <c r="E29" s="76" t="s">
        <v>106</v>
      </c>
      <c r="F29" s="118">
        <v>2700000</v>
      </c>
      <c r="G29" s="75">
        <f t="shared" si="3"/>
        <v>1350000</v>
      </c>
      <c r="H29" s="118">
        <v>1350000</v>
      </c>
      <c r="I29" s="75">
        <f t="shared" si="4"/>
        <v>0</v>
      </c>
      <c r="J29" s="49" t="s">
        <v>63</v>
      </c>
      <c r="K29" s="132"/>
      <c r="L29" s="93"/>
    </row>
    <row r="30" spans="1:17" ht="16.5" customHeight="1" x14ac:dyDescent="0.25">
      <c r="A30" s="170"/>
      <c r="B30" s="38">
        <f t="shared" si="5"/>
        <v>11</v>
      </c>
      <c r="C30" s="88" t="s">
        <v>108</v>
      </c>
      <c r="D30" s="78"/>
      <c r="E30" s="81" t="s">
        <v>52</v>
      </c>
      <c r="F30" s="89">
        <v>1260000</v>
      </c>
      <c r="G30" s="75">
        <f t="shared" si="3"/>
        <v>756000</v>
      </c>
      <c r="H30" s="119">
        <v>756000</v>
      </c>
      <c r="I30" s="75">
        <f t="shared" si="4"/>
        <v>0</v>
      </c>
      <c r="J30" s="49" t="s">
        <v>63</v>
      </c>
      <c r="K30" s="132"/>
      <c r="L30" s="80"/>
    </row>
    <row r="31" spans="1:17" ht="15" customHeight="1" x14ac:dyDescent="0.3">
      <c r="A31" s="170"/>
      <c r="B31" s="38">
        <f t="shared" si="5"/>
        <v>12</v>
      </c>
      <c r="C31" s="77" t="s">
        <v>103</v>
      </c>
      <c r="D31" s="74"/>
      <c r="E31" s="74" t="s">
        <v>16</v>
      </c>
      <c r="F31" s="89">
        <v>1720000</v>
      </c>
      <c r="G31" s="75">
        <f t="shared" si="3"/>
        <v>860000</v>
      </c>
      <c r="H31" s="89">
        <v>860000</v>
      </c>
      <c r="I31" s="75">
        <f t="shared" si="4"/>
        <v>0</v>
      </c>
      <c r="J31" s="49" t="s">
        <v>63</v>
      </c>
      <c r="K31" s="132"/>
      <c r="L31" s="93"/>
    </row>
    <row r="32" spans="1:17" ht="15" customHeight="1" x14ac:dyDescent="0.3">
      <c r="A32" s="170"/>
      <c r="B32" s="38">
        <f t="shared" si="5"/>
        <v>13</v>
      </c>
      <c r="C32" s="156" t="s">
        <v>110</v>
      </c>
      <c r="D32" s="157"/>
      <c r="E32" s="140" t="s">
        <v>98</v>
      </c>
      <c r="F32" s="139"/>
      <c r="G32" s="139">
        <f t="shared" si="3"/>
        <v>0</v>
      </c>
      <c r="H32" s="139"/>
      <c r="I32" s="139">
        <f t="shared" si="4"/>
        <v>0</v>
      </c>
      <c r="J32" s="49"/>
      <c r="K32" s="132" t="s">
        <v>151</v>
      </c>
      <c r="L32" s="93"/>
    </row>
    <row r="33" spans="1:12" ht="18.75" customHeight="1" x14ac:dyDescent="0.3">
      <c r="A33" s="170"/>
      <c r="B33" s="38">
        <f t="shared" si="5"/>
        <v>14</v>
      </c>
      <c r="C33" s="87" t="s">
        <v>109</v>
      </c>
      <c r="D33" s="87"/>
      <c r="E33" s="81" t="s">
        <v>35</v>
      </c>
      <c r="F33" s="90">
        <v>2180000</v>
      </c>
      <c r="G33" s="75">
        <f t="shared" si="3"/>
        <v>1090000</v>
      </c>
      <c r="H33" s="89">
        <v>1090000</v>
      </c>
      <c r="I33" s="75">
        <f t="shared" si="4"/>
        <v>0</v>
      </c>
      <c r="J33" s="49" t="s">
        <v>63</v>
      </c>
      <c r="K33" s="89"/>
      <c r="L33" s="76"/>
    </row>
    <row r="34" spans="1:12" ht="18.75" x14ac:dyDescent="0.3">
      <c r="A34" s="170"/>
      <c r="B34" s="38">
        <f t="shared" si="5"/>
        <v>15</v>
      </c>
      <c r="C34" s="87" t="s">
        <v>111</v>
      </c>
      <c r="D34" s="120"/>
      <c r="E34" s="81" t="s">
        <v>15</v>
      </c>
      <c r="F34" s="79">
        <v>2180000</v>
      </c>
      <c r="G34" s="75">
        <f t="shared" si="3"/>
        <v>1090000</v>
      </c>
      <c r="H34" s="79">
        <v>1090000</v>
      </c>
      <c r="I34" s="75">
        <f t="shared" si="4"/>
        <v>0</v>
      </c>
      <c r="J34" s="49" t="s">
        <v>63</v>
      </c>
      <c r="K34" s="132"/>
      <c r="L34" s="76"/>
    </row>
    <row r="35" spans="1:12" ht="18.75" x14ac:dyDescent="0.3">
      <c r="A35" s="170"/>
      <c r="B35" s="38">
        <f t="shared" si="5"/>
        <v>16</v>
      </c>
      <c r="C35" s="87" t="s">
        <v>122</v>
      </c>
      <c r="D35" s="120"/>
      <c r="E35" s="86" t="s">
        <v>76</v>
      </c>
      <c r="F35" s="118">
        <v>1820000</v>
      </c>
      <c r="G35" s="75">
        <f t="shared" si="3"/>
        <v>910000</v>
      </c>
      <c r="H35" s="118">
        <v>910000</v>
      </c>
      <c r="I35" s="75">
        <f t="shared" si="4"/>
        <v>0</v>
      </c>
      <c r="J35" s="49" t="s">
        <v>63</v>
      </c>
      <c r="K35" s="132"/>
      <c r="L35" s="80"/>
    </row>
    <row r="36" spans="1:12" ht="18.75" x14ac:dyDescent="0.3">
      <c r="A36" s="170"/>
      <c r="B36" s="38">
        <f t="shared" si="5"/>
        <v>17</v>
      </c>
      <c r="C36" s="87" t="s">
        <v>130</v>
      </c>
      <c r="D36" s="120"/>
      <c r="E36" s="86" t="s">
        <v>76</v>
      </c>
      <c r="F36" s="118">
        <v>2750000</v>
      </c>
      <c r="G36" s="75">
        <f t="shared" si="3"/>
        <v>1375000</v>
      </c>
      <c r="H36" s="118">
        <v>1375000</v>
      </c>
      <c r="I36" s="75">
        <f t="shared" si="4"/>
        <v>0</v>
      </c>
      <c r="J36" s="49" t="s">
        <v>63</v>
      </c>
      <c r="K36" s="132"/>
      <c r="L36" s="46"/>
    </row>
    <row r="37" spans="1:12" ht="18.75" x14ac:dyDescent="0.3">
      <c r="A37" s="170"/>
      <c r="B37" s="38">
        <f t="shared" si="5"/>
        <v>18</v>
      </c>
      <c r="C37" s="149"/>
      <c r="D37" s="150"/>
      <c r="E37" s="151" t="s">
        <v>76</v>
      </c>
      <c r="F37" s="152"/>
      <c r="G37" s="103">
        <f t="shared" si="3"/>
        <v>0</v>
      </c>
      <c r="H37" s="153"/>
      <c r="I37" s="103">
        <f t="shared" si="4"/>
        <v>0</v>
      </c>
      <c r="J37" s="83"/>
      <c r="K37" s="98"/>
      <c r="L37" s="47"/>
    </row>
    <row r="38" spans="1:12" ht="18.75" x14ac:dyDescent="0.3">
      <c r="A38" s="170"/>
      <c r="B38" s="38">
        <f t="shared" si="5"/>
        <v>19</v>
      </c>
      <c r="C38" s="99" t="s">
        <v>134</v>
      </c>
      <c r="D38" s="43"/>
      <c r="E38" s="86" t="s">
        <v>76</v>
      </c>
      <c r="F38" s="90">
        <v>2890000</v>
      </c>
      <c r="G38" s="75">
        <f t="shared" si="3"/>
        <v>1445000</v>
      </c>
      <c r="H38" s="89">
        <v>1100000</v>
      </c>
      <c r="I38" s="75">
        <f t="shared" si="4"/>
        <v>345000</v>
      </c>
      <c r="J38" s="49" t="s">
        <v>63</v>
      </c>
      <c r="K38" s="98" t="s">
        <v>153</v>
      </c>
      <c r="L38" s="47"/>
    </row>
    <row r="39" spans="1:12" ht="18.75" x14ac:dyDescent="0.3">
      <c r="A39" s="170"/>
      <c r="B39" s="38">
        <f t="shared" si="5"/>
        <v>20</v>
      </c>
      <c r="C39" s="99"/>
      <c r="D39" s="43"/>
      <c r="E39" s="86" t="s">
        <v>76</v>
      </c>
      <c r="F39" s="90"/>
      <c r="G39" s="75">
        <f t="shared" si="3"/>
        <v>0</v>
      </c>
      <c r="H39" s="89"/>
      <c r="I39" s="75">
        <f t="shared" si="4"/>
        <v>0</v>
      </c>
      <c r="J39" s="83"/>
      <c r="K39" s="98"/>
      <c r="L39" s="47"/>
    </row>
    <row r="40" spans="1:12" ht="18.75" x14ac:dyDescent="0.3">
      <c r="A40" s="170"/>
      <c r="B40" s="38">
        <f t="shared" si="5"/>
        <v>21</v>
      </c>
      <c r="C40" s="99"/>
      <c r="D40" s="43"/>
      <c r="E40" s="60" t="s">
        <v>76</v>
      </c>
      <c r="F40" s="90"/>
      <c r="G40" s="75">
        <f t="shared" si="3"/>
        <v>0</v>
      </c>
      <c r="H40" s="89"/>
      <c r="I40" s="75">
        <f t="shared" si="4"/>
        <v>0</v>
      </c>
      <c r="J40" s="83"/>
      <c r="K40" s="98"/>
      <c r="L40" s="47"/>
    </row>
    <row r="41" spans="1:12" ht="18.75" x14ac:dyDescent="0.3">
      <c r="A41" s="170"/>
      <c r="B41" s="38">
        <f t="shared" si="5"/>
        <v>22</v>
      </c>
      <c r="C41" s="99"/>
      <c r="D41" s="43"/>
      <c r="E41" s="60" t="s">
        <v>76</v>
      </c>
      <c r="F41" s="100"/>
      <c r="G41" s="75">
        <f t="shared" si="3"/>
        <v>0</v>
      </c>
      <c r="H41" s="89"/>
      <c r="I41" s="75">
        <f t="shared" si="4"/>
        <v>0</v>
      </c>
      <c r="J41" s="83"/>
      <c r="K41" s="98"/>
      <c r="L41" s="47"/>
    </row>
    <row r="42" spans="1:12" ht="18.75" x14ac:dyDescent="0.3">
      <c r="A42" s="170"/>
      <c r="B42" s="38">
        <f t="shared" si="5"/>
        <v>23</v>
      </c>
      <c r="C42" s="99"/>
      <c r="D42" s="43"/>
      <c r="E42" s="60" t="s">
        <v>76</v>
      </c>
      <c r="F42" s="100"/>
      <c r="G42" s="75">
        <f t="shared" si="3"/>
        <v>0</v>
      </c>
      <c r="H42" s="89"/>
      <c r="I42" s="75">
        <f t="shared" si="4"/>
        <v>0</v>
      </c>
      <c r="J42" s="83"/>
      <c r="K42" s="98"/>
      <c r="L42" s="47"/>
    </row>
    <row r="43" spans="1:12" ht="18.75" x14ac:dyDescent="0.3">
      <c r="A43" s="170"/>
      <c r="B43" s="38">
        <f t="shared" si="5"/>
        <v>24</v>
      </c>
      <c r="C43" s="99"/>
      <c r="D43" s="43"/>
      <c r="E43" s="43"/>
      <c r="F43" s="100"/>
      <c r="G43" s="75">
        <f t="shared" si="3"/>
        <v>0</v>
      </c>
      <c r="H43" s="89"/>
      <c r="I43" s="75">
        <f t="shared" si="4"/>
        <v>0</v>
      </c>
      <c r="J43" s="83"/>
      <c r="K43" s="98"/>
      <c r="L43" s="47"/>
    </row>
    <row r="44" spans="1:12" ht="18.75" x14ac:dyDescent="0.3">
      <c r="A44" s="170"/>
      <c r="B44" s="38">
        <f t="shared" si="5"/>
        <v>25</v>
      </c>
      <c r="C44" s="99"/>
      <c r="D44" s="43"/>
      <c r="E44" s="43"/>
      <c r="F44" s="100"/>
      <c r="G44" s="75">
        <f t="shared" si="3"/>
        <v>0</v>
      </c>
      <c r="H44" s="89"/>
      <c r="I44" s="75">
        <f t="shared" si="4"/>
        <v>0</v>
      </c>
      <c r="J44" s="83"/>
      <c r="K44" s="98"/>
      <c r="L44" s="47"/>
    </row>
    <row r="45" spans="1:12" ht="18.75" x14ac:dyDescent="0.3">
      <c r="A45" s="170"/>
      <c r="B45" s="38">
        <f t="shared" si="5"/>
        <v>26</v>
      </c>
      <c r="C45" s="99"/>
      <c r="D45" s="43"/>
      <c r="E45" s="43"/>
      <c r="F45" s="100"/>
      <c r="G45" s="75">
        <f t="shared" si="3"/>
        <v>0</v>
      </c>
      <c r="H45" s="89"/>
      <c r="I45" s="75">
        <f t="shared" si="4"/>
        <v>0</v>
      </c>
      <c r="J45" s="83"/>
      <c r="K45" s="98"/>
      <c r="L45" s="47"/>
    </row>
    <row r="46" spans="1:12" ht="18.75" x14ac:dyDescent="0.3">
      <c r="A46" s="170"/>
      <c r="B46" s="38">
        <f t="shared" si="5"/>
        <v>27</v>
      </c>
      <c r="C46" s="99"/>
      <c r="D46" s="43"/>
      <c r="E46" s="43"/>
      <c r="F46" s="100"/>
      <c r="G46" s="75">
        <f t="shared" si="3"/>
        <v>0</v>
      </c>
      <c r="H46" s="89"/>
      <c r="I46" s="75">
        <f t="shared" si="4"/>
        <v>0</v>
      </c>
      <c r="J46" s="83"/>
      <c r="K46" s="98"/>
      <c r="L46" s="47"/>
    </row>
    <row r="47" spans="1:12" ht="18.75" x14ac:dyDescent="0.3">
      <c r="A47" s="170"/>
      <c r="B47" s="38">
        <f t="shared" si="5"/>
        <v>28</v>
      </c>
      <c r="C47" s="99"/>
      <c r="D47" s="43"/>
      <c r="E47" s="43"/>
      <c r="F47" s="100"/>
      <c r="G47" s="75">
        <f t="shared" si="3"/>
        <v>0</v>
      </c>
      <c r="H47" s="89"/>
      <c r="I47" s="75">
        <f t="shared" si="4"/>
        <v>0</v>
      </c>
      <c r="J47" s="83"/>
      <c r="K47" s="98"/>
      <c r="L47" s="47"/>
    </row>
  </sheetData>
  <mergeCells count="8">
    <mergeCell ref="A20:A47"/>
    <mergeCell ref="B3:K3"/>
    <mergeCell ref="A7:A19"/>
    <mergeCell ref="N10:O11"/>
    <mergeCell ref="P10:P11"/>
    <mergeCell ref="N12:O14"/>
    <mergeCell ref="P12:P14"/>
    <mergeCell ref="N15:O1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EF3A-8A6D-4162-8923-BC641C12C621}">
  <dimension ref="A3:Q47"/>
  <sheetViews>
    <sheetView topLeftCell="A3" zoomScale="70" zoomScaleNormal="70" workbookViewId="0">
      <selection activeCell="C33" sqref="C33:H33"/>
    </sheetView>
  </sheetViews>
  <sheetFormatPr defaultColWidth="9.140625" defaultRowHeight="15" x14ac:dyDescent="0.25"/>
  <cols>
    <col min="1" max="1" width="23.140625" style="1" customWidth="1"/>
    <col min="2" max="2" width="9.140625" style="1"/>
    <col min="3" max="3" width="37.7109375" style="1" customWidth="1"/>
    <col min="4" max="4" width="24.85546875" style="1" customWidth="1"/>
    <col min="5" max="5" width="19.5703125" style="1" customWidth="1"/>
    <col min="6" max="6" width="20.28515625" style="1" customWidth="1"/>
    <col min="7" max="7" width="19.5703125" style="1" customWidth="1"/>
    <col min="8" max="8" width="20.42578125" style="1" customWidth="1"/>
    <col min="9" max="9" width="18" style="1" customWidth="1"/>
    <col min="10" max="10" width="20" style="1" customWidth="1"/>
    <col min="11" max="11" width="39.85546875" style="1" customWidth="1"/>
    <col min="12" max="12" width="11.5703125" style="1" customWidth="1"/>
    <col min="13" max="13" width="5" style="1" customWidth="1"/>
    <col min="14" max="14" width="31.425781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6" ht="27.75" x14ac:dyDescent="0.25">
      <c r="B3" s="165" t="s">
        <v>30</v>
      </c>
      <c r="C3" s="165"/>
      <c r="D3" s="165"/>
      <c r="E3" s="165"/>
      <c r="F3" s="165"/>
      <c r="G3" s="165"/>
      <c r="H3" s="165"/>
      <c r="I3" s="165"/>
      <c r="J3" s="165"/>
      <c r="K3" s="165"/>
    </row>
    <row r="4" spans="1:16" ht="30.75" x14ac:dyDescent="0.25">
      <c r="C4" s="59"/>
      <c r="D4" s="59"/>
      <c r="E4" s="59"/>
      <c r="G4" s="58" t="s">
        <v>155</v>
      </c>
      <c r="I4" s="59"/>
      <c r="J4" s="59"/>
      <c r="K4" s="59"/>
    </row>
    <row r="5" spans="1:16" ht="12" customHeight="1" x14ac:dyDescent="0.25"/>
    <row r="6" spans="1:16" ht="53.25" customHeight="1" x14ac:dyDescent="0.25">
      <c r="A6" s="57"/>
      <c r="B6" s="65" t="s">
        <v>0</v>
      </c>
      <c r="C6" s="65" t="s">
        <v>1</v>
      </c>
      <c r="D6" s="65" t="s">
        <v>47</v>
      </c>
      <c r="E6" s="65" t="s">
        <v>46</v>
      </c>
      <c r="F6" s="65" t="s">
        <v>4</v>
      </c>
      <c r="G6" s="66" t="s">
        <v>94</v>
      </c>
      <c r="H6" s="65" t="s">
        <v>86</v>
      </c>
      <c r="I6" s="65" t="s">
        <v>87</v>
      </c>
      <c r="J6" s="65" t="s">
        <v>6</v>
      </c>
      <c r="K6" s="65" t="s">
        <v>33</v>
      </c>
      <c r="L6" s="65" t="s">
        <v>48</v>
      </c>
      <c r="N6" s="49" t="s">
        <v>63</v>
      </c>
    </row>
    <row r="7" spans="1:16" ht="23.25" customHeight="1" x14ac:dyDescent="0.25">
      <c r="A7" s="171" t="s">
        <v>90</v>
      </c>
      <c r="B7" s="38">
        <v>1</v>
      </c>
      <c r="C7" s="39" t="s">
        <v>91</v>
      </c>
      <c r="D7" s="40"/>
      <c r="E7" s="60" t="s">
        <v>76</v>
      </c>
      <c r="F7" s="41">
        <v>1000000</v>
      </c>
      <c r="G7" s="41">
        <f>IF(F7="",0,IF(F7&gt;1800000,F7*O$19,F7*O$18))</f>
        <v>600000</v>
      </c>
      <c r="H7" s="41">
        <v>600000</v>
      </c>
      <c r="I7" s="41">
        <f>G7-H7</f>
        <v>0</v>
      </c>
      <c r="J7" s="50" t="s">
        <v>25</v>
      </c>
      <c r="K7" s="129" t="s">
        <v>156</v>
      </c>
      <c r="L7" s="46"/>
      <c r="N7" s="50" t="s">
        <v>25</v>
      </c>
    </row>
    <row r="8" spans="1:16" ht="16.5" customHeight="1" x14ac:dyDescent="0.25">
      <c r="A8" s="172"/>
      <c r="B8" s="38">
        <f>B7+1</f>
        <v>2</v>
      </c>
      <c r="C8" s="39" t="s">
        <v>101</v>
      </c>
      <c r="D8" s="45"/>
      <c r="E8" s="72" t="s">
        <v>65</v>
      </c>
      <c r="F8" s="41">
        <v>1220000</v>
      </c>
      <c r="G8" s="41">
        <f t="shared" ref="G8:G18" si="0">IF(F8="",0,IF(F8&gt;1800000,F8*O$19,F8*O$18))</f>
        <v>732000</v>
      </c>
      <c r="H8" s="41">
        <v>610000</v>
      </c>
      <c r="I8" s="41">
        <f t="shared" ref="I8:I18" si="1">G8-H8</f>
        <v>122000</v>
      </c>
      <c r="J8" s="50" t="s">
        <v>25</v>
      </c>
      <c r="K8" s="130"/>
      <c r="L8" s="46"/>
      <c r="N8" s="48" t="s">
        <v>64</v>
      </c>
    </row>
    <row r="9" spans="1:16" ht="16.5" customHeight="1" x14ac:dyDescent="0.25">
      <c r="A9" s="172"/>
      <c r="B9" s="38">
        <f t="shared" ref="B9:B18" si="2">B8+1</f>
        <v>3</v>
      </c>
      <c r="C9" s="122"/>
      <c r="D9" s="123"/>
      <c r="E9" s="124" t="s">
        <v>71</v>
      </c>
      <c r="F9" s="125"/>
      <c r="G9" s="125">
        <f t="shared" si="0"/>
        <v>0</v>
      </c>
      <c r="H9" s="126"/>
      <c r="I9" s="125">
        <f t="shared" si="1"/>
        <v>0</v>
      </c>
      <c r="J9" s="159"/>
      <c r="K9" s="154"/>
      <c r="L9" s="47"/>
    </row>
    <row r="10" spans="1:16" ht="16.5" customHeight="1" x14ac:dyDescent="0.25">
      <c r="A10" s="172"/>
      <c r="B10" s="38">
        <f>B9+1</f>
        <v>4</v>
      </c>
      <c r="C10" s="42" t="s">
        <v>92</v>
      </c>
      <c r="D10" s="43"/>
      <c r="E10" s="60" t="s">
        <v>76</v>
      </c>
      <c r="F10" s="44">
        <v>1400000</v>
      </c>
      <c r="G10" s="41">
        <f t="shared" si="0"/>
        <v>840000</v>
      </c>
      <c r="H10" s="44">
        <v>840000</v>
      </c>
      <c r="I10" s="41">
        <f t="shared" si="1"/>
        <v>0</v>
      </c>
      <c r="J10" s="50" t="s">
        <v>25</v>
      </c>
      <c r="K10" s="130"/>
      <c r="L10" s="46"/>
      <c r="N10" s="174" t="s">
        <v>28</v>
      </c>
      <c r="O10" s="174"/>
      <c r="P10" s="175">
        <f>SUM(F7:F1006)</f>
        <v>33741000</v>
      </c>
    </row>
    <row r="11" spans="1:16" ht="16.5" customHeight="1" x14ac:dyDescent="0.25">
      <c r="A11" s="172"/>
      <c r="B11" s="38">
        <f t="shared" si="2"/>
        <v>5</v>
      </c>
      <c r="C11" s="42"/>
      <c r="D11" s="43"/>
      <c r="E11" s="60" t="s">
        <v>76</v>
      </c>
      <c r="F11" s="44"/>
      <c r="G11" s="41">
        <f t="shared" si="0"/>
        <v>0</v>
      </c>
      <c r="H11" s="44"/>
      <c r="I11" s="41">
        <f t="shared" si="1"/>
        <v>0</v>
      </c>
      <c r="J11" s="155"/>
      <c r="K11" s="130"/>
      <c r="L11" s="46"/>
      <c r="N11" s="174"/>
      <c r="O11" s="174"/>
      <c r="P11" s="175"/>
    </row>
    <row r="12" spans="1:16" ht="16.5" customHeight="1" x14ac:dyDescent="0.25">
      <c r="A12" s="172"/>
      <c r="B12" s="38">
        <f t="shared" si="2"/>
        <v>6</v>
      </c>
      <c r="C12" s="42" t="s">
        <v>96</v>
      </c>
      <c r="D12" s="43"/>
      <c r="E12" s="60" t="s">
        <v>76</v>
      </c>
      <c r="F12" s="44"/>
      <c r="G12" s="41">
        <f t="shared" si="0"/>
        <v>0</v>
      </c>
      <c r="H12" s="44"/>
      <c r="I12" s="41">
        <f t="shared" si="1"/>
        <v>0</v>
      </c>
      <c r="J12" s="155"/>
      <c r="K12" s="130"/>
      <c r="L12" s="46"/>
      <c r="N12" s="176" t="s">
        <v>95</v>
      </c>
      <c r="O12" s="176"/>
      <c r="P12" s="175">
        <f>SUM(G7:G1006)</f>
        <v>17932800</v>
      </c>
    </row>
    <row r="13" spans="1:16" ht="22.5" customHeight="1" x14ac:dyDescent="0.25">
      <c r="A13" s="172"/>
      <c r="B13" s="38">
        <f t="shared" si="2"/>
        <v>7</v>
      </c>
      <c r="C13" s="42" t="s">
        <v>96</v>
      </c>
      <c r="D13" s="43"/>
      <c r="E13" s="60" t="s">
        <v>76</v>
      </c>
      <c r="F13" s="44"/>
      <c r="G13" s="41">
        <f t="shared" si="0"/>
        <v>0</v>
      </c>
      <c r="H13" s="44"/>
      <c r="I13" s="41">
        <f t="shared" si="1"/>
        <v>0</v>
      </c>
      <c r="J13" s="155"/>
      <c r="K13" s="130"/>
      <c r="L13" s="46"/>
      <c r="N13" s="176"/>
      <c r="O13" s="176"/>
      <c r="P13" s="175"/>
    </row>
    <row r="14" spans="1:16" ht="16.5" customHeight="1" x14ac:dyDescent="0.25">
      <c r="A14" s="172"/>
      <c r="B14" s="38">
        <f t="shared" si="2"/>
        <v>8</v>
      </c>
      <c r="C14" s="42" t="s">
        <v>96</v>
      </c>
      <c r="D14" s="43"/>
      <c r="E14" s="60" t="s">
        <v>76</v>
      </c>
      <c r="F14" s="44"/>
      <c r="G14" s="41">
        <f t="shared" si="0"/>
        <v>0</v>
      </c>
      <c r="H14" s="44"/>
      <c r="I14" s="41">
        <f t="shared" si="1"/>
        <v>0</v>
      </c>
      <c r="J14" s="62"/>
      <c r="K14" s="130"/>
      <c r="L14" s="46"/>
      <c r="N14" s="176"/>
      <c r="O14" s="176"/>
      <c r="P14" s="175"/>
    </row>
    <row r="15" spans="1:16" ht="22.5" customHeight="1" x14ac:dyDescent="0.3">
      <c r="A15" s="172"/>
      <c r="B15" s="38">
        <f>B14+1</f>
        <v>9</v>
      </c>
      <c r="C15" s="42" t="s">
        <v>96</v>
      </c>
      <c r="D15" s="43"/>
      <c r="E15" s="60" t="s">
        <v>76</v>
      </c>
      <c r="F15" s="44"/>
      <c r="G15" s="41">
        <f t="shared" si="0"/>
        <v>0</v>
      </c>
      <c r="H15" s="44"/>
      <c r="I15" s="41">
        <f t="shared" si="1"/>
        <v>0</v>
      </c>
      <c r="J15" s="62"/>
      <c r="K15" s="130"/>
      <c r="L15" s="46"/>
      <c r="N15" s="177" t="s">
        <v>88</v>
      </c>
      <c r="O15" s="177"/>
      <c r="P15" s="67">
        <f>SUM(H7:H1006)</f>
        <v>17677000</v>
      </c>
    </row>
    <row r="16" spans="1:16" ht="16.5" customHeight="1" x14ac:dyDescent="0.25">
      <c r="A16" s="172"/>
      <c r="B16" s="38">
        <f t="shared" si="2"/>
        <v>10</v>
      </c>
      <c r="C16" s="42" t="s">
        <v>96</v>
      </c>
      <c r="D16" s="43"/>
      <c r="E16" s="60"/>
      <c r="F16" s="44"/>
      <c r="G16" s="41">
        <f t="shared" si="0"/>
        <v>0</v>
      </c>
      <c r="H16" s="44"/>
      <c r="I16" s="41">
        <f t="shared" si="1"/>
        <v>0</v>
      </c>
      <c r="J16" s="62"/>
      <c r="K16" s="130"/>
      <c r="L16" s="46"/>
    </row>
    <row r="17" spans="1:17" ht="16.5" customHeight="1" x14ac:dyDescent="0.25">
      <c r="A17" s="172"/>
      <c r="B17" s="38">
        <f t="shared" si="2"/>
        <v>11</v>
      </c>
      <c r="C17" s="42" t="s">
        <v>96</v>
      </c>
      <c r="D17" s="43"/>
      <c r="E17" s="60"/>
      <c r="F17" s="44"/>
      <c r="G17" s="41">
        <f t="shared" si="0"/>
        <v>0</v>
      </c>
      <c r="H17" s="44"/>
      <c r="I17" s="41">
        <f t="shared" si="1"/>
        <v>0</v>
      </c>
      <c r="J17" s="62"/>
      <c r="K17" s="130"/>
      <c r="L17" s="46"/>
    </row>
    <row r="18" spans="1:17" ht="16.5" customHeight="1" x14ac:dyDescent="0.3">
      <c r="A18" s="172"/>
      <c r="B18" s="38">
        <f t="shared" si="2"/>
        <v>12</v>
      </c>
      <c r="C18" s="42" t="s">
        <v>96</v>
      </c>
      <c r="D18" s="43"/>
      <c r="E18" s="60"/>
      <c r="F18" s="44"/>
      <c r="G18" s="41">
        <f t="shared" si="0"/>
        <v>0</v>
      </c>
      <c r="H18" s="44"/>
      <c r="I18" s="41">
        <f t="shared" si="1"/>
        <v>0</v>
      </c>
      <c r="J18" s="62"/>
      <c r="K18" s="130"/>
      <c r="L18" s="46"/>
      <c r="N18" s="64" t="s">
        <v>60</v>
      </c>
      <c r="O18" s="68">
        <v>0.6</v>
      </c>
      <c r="Q18" s="70" t="s">
        <v>99</v>
      </c>
    </row>
    <row r="19" spans="1:17" ht="16.5" customHeight="1" x14ac:dyDescent="0.3">
      <c r="A19" s="173"/>
      <c r="B19" s="51"/>
      <c r="C19" s="52"/>
      <c r="D19" s="51"/>
      <c r="E19" s="53"/>
      <c r="F19" s="54"/>
      <c r="G19" s="54"/>
      <c r="H19" s="63"/>
      <c r="I19" s="61"/>
      <c r="J19" s="55"/>
      <c r="K19" s="131"/>
      <c r="L19" s="56"/>
      <c r="N19" s="64" t="s">
        <v>60</v>
      </c>
      <c r="O19" s="69">
        <v>0.5</v>
      </c>
      <c r="Q19" s="70" t="s">
        <v>100</v>
      </c>
    </row>
    <row r="20" spans="1:17" ht="16.5" customHeight="1" x14ac:dyDescent="0.25">
      <c r="A20" s="169" t="s">
        <v>89</v>
      </c>
      <c r="B20" s="38">
        <v>1</v>
      </c>
      <c r="C20" s="137" t="s">
        <v>124</v>
      </c>
      <c r="D20" s="138"/>
      <c r="E20" s="138" t="s">
        <v>13</v>
      </c>
      <c r="F20" s="139"/>
      <c r="G20" s="139">
        <f t="shared" ref="G20:G47" si="3">IF(F20="",0,IF(F20&gt;=1700000,F20*O$19,F20*O$18))</f>
        <v>0</v>
      </c>
      <c r="H20" s="139"/>
      <c r="I20" s="75">
        <f t="shared" ref="I20:I47" si="4">G20-H20</f>
        <v>0</v>
      </c>
      <c r="J20" s="128"/>
      <c r="K20" s="132"/>
      <c r="L20" s="76"/>
    </row>
    <row r="21" spans="1:17" ht="16.5" customHeight="1" x14ac:dyDescent="0.25">
      <c r="A21" s="170"/>
      <c r="B21" s="38">
        <f>B20+1</f>
        <v>2</v>
      </c>
      <c r="C21" s="77" t="s">
        <v>125</v>
      </c>
      <c r="D21" s="78"/>
      <c r="E21" s="78" t="s">
        <v>105</v>
      </c>
      <c r="F21" s="79">
        <v>1320000</v>
      </c>
      <c r="G21" s="75">
        <f t="shared" si="3"/>
        <v>792000</v>
      </c>
      <c r="H21" s="79">
        <v>660000</v>
      </c>
      <c r="I21" s="75">
        <f t="shared" si="4"/>
        <v>132000</v>
      </c>
      <c r="J21" s="49" t="s">
        <v>63</v>
      </c>
      <c r="K21" s="132"/>
      <c r="L21" s="80"/>
    </row>
    <row r="22" spans="1:17" ht="16.5" customHeight="1" x14ac:dyDescent="0.3">
      <c r="A22" s="170"/>
      <c r="B22" s="38">
        <f t="shared" ref="B22:B47" si="5">B21+1</f>
        <v>3</v>
      </c>
      <c r="C22" s="73" t="s">
        <v>127</v>
      </c>
      <c r="D22" s="81"/>
      <c r="E22" s="81" t="s">
        <v>21</v>
      </c>
      <c r="F22" s="75">
        <v>1500000</v>
      </c>
      <c r="G22" s="75">
        <f t="shared" si="3"/>
        <v>900000</v>
      </c>
      <c r="H22" s="79">
        <v>900000</v>
      </c>
      <c r="I22" s="75">
        <f t="shared" si="4"/>
        <v>0</v>
      </c>
      <c r="J22" s="49" t="s">
        <v>63</v>
      </c>
      <c r="K22" s="158">
        <v>1500</v>
      </c>
      <c r="L22" s="82"/>
    </row>
    <row r="23" spans="1:17" ht="16.5" customHeight="1" x14ac:dyDescent="0.25">
      <c r="A23" s="170"/>
      <c r="B23" s="38">
        <f t="shared" si="5"/>
        <v>4</v>
      </c>
      <c r="C23" s="73" t="s">
        <v>154</v>
      </c>
      <c r="D23" s="81"/>
      <c r="E23" s="81" t="s">
        <v>26</v>
      </c>
      <c r="F23" s="75">
        <v>920000</v>
      </c>
      <c r="G23" s="75">
        <f t="shared" si="3"/>
        <v>552000</v>
      </c>
      <c r="H23" s="75">
        <v>552000</v>
      </c>
      <c r="I23" s="75">
        <f t="shared" si="4"/>
        <v>0</v>
      </c>
      <c r="J23" s="49" t="s">
        <v>63</v>
      </c>
      <c r="K23" s="132"/>
      <c r="L23" s="76"/>
    </row>
    <row r="24" spans="1:17" ht="16.5" customHeight="1" x14ac:dyDescent="0.25">
      <c r="A24" s="170"/>
      <c r="B24" s="38">
        <f t="shared" si="5"/>
        <v>5</v>
      </c>
      <c r="C24" s="73" t="s">
        <v>107</v>
      </c>
      <c r="D24" s="81"/>
      <c r="E24" s="81" t="s">
        <v>53</v>
      </c>
      <c r="F24" s="75">
        <v>2900000</v>
      </c>
      <c r="G24" s="75">
        <f t="shared" si="3"/>
        <v>1450000</v>
      </c>
      <c r="H24" s="79">
        <v>1450000</v>
      </c>
      <c r="I24" s="75">
        <f t="shared" si="4"/>
        <v>0</v>
      </c>
      <c r="J24" s="49" t="s">
        <v>63</v>
      </c>
      <c r="K24" s="132"/>
      <c r="L24" s="82"/>
    </row>
    <row r="25" spans="1:17" ht="16.5" customHeight="1" x14ac:dyDescent="0.25">
      <c r="A25" s="170"/>
      <c r="B25" s="38">
        <f t="shared" si="5"/>
        <v>6</v>
      </c>
      <c r="C25" s="73" t="s">
        <v>128</v>
      </c>
      <c r="D25" s="76"/>
      <c r="E25" s="76" t="s">
        <v>104</v>
      </c>
      <c r="F25" s="75">
        <v>1770000</v>
      </c>
      <c r="G25" s="75">
        <f t="shared" si="3"/>
        <v>885000</v>
      </c>
      <c r="H25" s="79">
        <v>885000</v>
      </c>
      <c r="I25" s="75">
        <f t="shared" si="4"/>
        <v>0</v>
      </c>
      <c r="J25" s="49" t="s">
        <v>63</v>
      </c>
      <c r="K25" s="132"/>
      <c r="L25" s="76"/>
    </row>
    <row r="26" spans="1:17" ht="22.15" customHeight="1" x14ac:dyDescent="0.25">
      <c r="A26" s="170"/>
      <c r="B26" s="38">
        <f t="shared" si="5"/>
        <v>7</v>
      </c>
      <c r="C26" s="77" t="s">
        <v>75</v>
      </c>
      <c r="D26" s="80"/>
      <c r="E26" s="76" t="s">
        <v>70</v>
      </c>
      <c r="F26" s="75">
        <v>2730000</v>
      </c>
      <c r="G26" s="75">
        <f t="shared" si="3"/>
        <v>1365000</v>
      </c>
      <c r="H26" s="75">
        <v>1365000</v>
      </c>
      <c r="I26" s="75">
        <f t="shared" si="4"/>
        <v>0</v>
      </c>
      <c r="J26" s="49" t="s">
        <v>63</v>
      </c>
      <c r="K26" s="132"/>
      <c r="L26" s="76"/>
    </row>
    <row r="27" spans="1:17" ht="20.45" customHeight="1" x14ac:dyDescent="0.3">
      <c r="A27" s="170"/>
      <c r="B27" s="38">
        <f t="shared" si="5"/>
        <v>8</v>
      </c>
      <c r="C27" s="77" t="s">
        <v>123</v>
      </c>
      <c r="D27" s="87"/>
      <c r="E27" s="86" t="s">
        <v>76</v>
      </c>
      <c r="F27" s="79">
        <v>1363000</v>
      </c>
      <c r="G27" s="75">
        <f t="shared" si="3"/>
        <v>817800</v>
      </c>
      <c r="H27" s="75">
        <v>816000</v>
      </c>
      <c r="I27" s="75">
        <f t="shared" si="4"/>
        <v>1800</v>
      </c>
      <c r="J27" s="49" t="s">
        <v>63</v>
      </c>
      <c r="K27" s="132"/>
      <c r="L27" s="76"/>
    </row>
    <row r="28" spans="1:17" ht="16.5" customHeight="1" x14ac:dyDescent="0.25">
      <c r="A28" s="170"/>
      <c r="B28" s="38">
        <f t="shared" si="5"/>
        <v>9</v>
      </c>
      <c r="C28" s="88" t="s">
        <v>129</v>
      </c>
      <c r="D28" s="74"/>
      <c r="E28" s="81" t="s">
        <v>24</v>
      </c>
      <c r="F28" s="79">
        <v>740000</v>
      </c>
      <c r="G28" s="75">
        <f t="shared" si="3"/>
        <v>444000</v>
      </c>
      <c r="H28" s="79">
        <v>444000</v>
      </c>
      <c r="I28" s="75">
        <f t="shared" si="4"/>
        <v>0</v>
      </c>
      <c r="J28" s="49" t="s">
        <v>63</v>
      </c>
      <c r="K28" s="132"/>
      <c r="L28" s="76"/>
    </row>
    <row r="29" spans="1:17" ht="16.5" customHeight="1" x14ac:dyDescent="0.3">
      <c r="A29" s="170"/>
      <c r="B29" s="38">
        <f t="shared" si="5"/>
        <v>10</v>
      </c>
      <c r="C29" s="88" t="s">
        <v>97</v>
      </c>
      <c r="D29" s="81"/>
      <c r="E29" s="76" t="s">
        <v>106</v>
      </c>
      <c r="F29" s="118">
        <v>3360000</v>
      </c>
      <c r="G29" s="75">
        <f t="shared" si="3"/>
        <v>1680000</v>
      </c>
      <c r="H29" s="118">
        <v>1680000</v>
      </c>
      <c r="I29" s="75">
        <f t="shared" si="4"/>
        <v>0</v>
      </c>
      <c r="J29" s="49" t="s">
        <v>63</v>
      </c>
      <c r="K29" s="132"/>
      <c r="L29" s="93"/>
    </row>
    <row r="30" spans="1:17" ht="16.5" customHeight="1" x14ac:dyDescent="0.25">
      <c r="A30" s="170"/>
      <c r="B30" s="38">
        <f t="shared" si="5"/>
        <v>11</v>
      </c>
      <c r="C30" s="88" t="s">
        <v>108</v>
      </c>
      <c r="D30" s="78"/>
      <c r="E30" s="81" t="s">
        <v>52</v>
      </c>
      <c r="F30" s="89">
        <v>1160000</v>
      </c>
      <c r="G30" s="75">
        <f t="shared" si="3"/>
        <v>696000</v>
      </c>
      <c r="H30" s="119">
        <v>696000</v>
      </c>
      <c r="I30" s="75">
        <f t="shared" si="4"/>
        <v>0</v>
      </c>
      <c r="J30" s="49" t="s">
        <v>63</v>
      </c>
      <c r="K30" s="132"/>
      <c r="L30" s="80"/>
    </row>
    <row r="31" spans="1:17" ht="15" customHeight="1" x14ac:dyDescent="0.3">
      <c r="A31" s="170"/>
      <c r="B31" s="38">
        <f t="shared" si="5"/>
        <v>12</v>
      </c>
      <c r="C31" s="77" t="s">
        <v>103</v>
      </c>
      <c r="D31" s="74"/>
      <c r="E31" s="74" t="s">
        <v>16</v>
      </c>
      <c r="F31" s="89">
        <v>2060000</v>
      </c>
      <c r="G31" s="75">
        <f t="shared" si="3"/>
        <v>1030000</v>
      </c>
      <c r="H31" s="89">
        <v>1030000</v>
      </c>
      <c r="I31" s="75">
        <f t="shared" si="4"/>
        <v>0</v>
      </c>
      <c r="J31" s="49" t="s">
        <v>63</v>
      </c>
      <c r="K31" s="132"/>
      <c r="L31" s="93"/>
    </row>
    <row r="32" spans="1:17" ht="15" customHeight="1" x14ac:dyDescent="0.3">
      <c r="A32" s="170"/>
      <c r="B32" s="38">
        <f t="shared" si="5"/>
        <v>13</v>
      </c>
      <c r="C32" s="156" t="s">
        <v>110</v>
      </c>
      <c r="D32" s="157"/>
      <c r="E32" s="140" t="s">
        <v>98</v>
      </c>
      <c r="F32" s="139"/>
      <c r="G32" s="139">
        <f t="shared" si="3"/>
        <v>0</v>
      </c>
      <c r="H32" s="139"/>
      <c r="I32" s="75">
        <f t="shared" si="4"/>
        <v>0</v>
      </c>
      <c r="J32" s="128"/>
      <c r="K32" s="132" t="s">
        <v>158</v>
      </c>
      <c r="L32" s="93"/>
    </row>
    <row r="33" spans="1:12" ht="18.75" customHeight="1" x14ac:dyDescent="0.3">
      <c r="A33" s="170"/>
      <c r="B33" s="38">
        <f t="shared" si="5"/>
        <v>14</v>
      </c>
      <c r="C33" s="87" t="s">
        <v>109</v>
      </c>
      <c r="D33" s="87"/>
      <c r="E33" s="81" t="s">
        <v>35</v>
      </c>
      <c r="F33" s="90">
        <v>1768000</v>
      </c>
      <c r="G33" s="75">
        <f t="shared" si="3"/>
        <v>884000</v>
      </c>
      <c r="H33" s="89">
        <v>884000</v>
      </c>
      <c r="I33" s="75">
        <f t="shared" si="4"/>
        <v>0</v>
      </c>
      <c r="J33" s="49" t="s">
        <v>63</v>
      </c>
      <c r="K33" s="89"/>
      <c r="L33" s="76"/>
    </row>
    <row r="34" spans="1:12" ht="18.75" x14ac:dyDescent="0.3">
      <c r="A34" s="170"/>
      <c r="B34" s="38">
        <f t="shared" si="5"/>
        <v>15</v>
      </c>
      <c r="C34" s="87" t="s">
        <v>111</v>
      </c>
      <c r="D34" s="120"/>
      <c r="E34" s="81" t="s">
        <v>15</v>
      </c>
      <c r="F34" s="79">
        <v>2030000</v>
      </c>
      <c r="G34" s="75">
        <f t="shared" si="3"/>
        <v>1015000</v>
      </c>
      <c r="H34" s="79">
        <v>1015000</v>
      </c>
      <c r="I34" s="75">
        <f t="shared" si="4"/>
        <v>0</v>
      </c>
      <c r="J34" s="49" t="s">
        <v>63</v>
      </c>
      <c r="K34" s="132"/>
      <c r="L34" s="76"/>
    </row>
    <row r="35" spans="1:12" ht="18.75" x14ac:dyDescent="0.3">
      <c r="A35" s="170"/>
      <c r="B35" s="38">
        <f t="shared" si="5"/>
        <v>16</v>
      </c>
      <c r="C35" s="87" t="s">
        <v>122</v>
      </c>
      <c r="D35" s="120"/>
      <c r="E35" s="86" t="s">
        <v>76</v>
      </c>
      <c r="F35" s="118">
        <v>2100000</v>
      </c>
      <c r="G35" s="75">
        <f t="shared" si="3"/>
        <v>1050000</v>
      </c>
      <c r="H35" s="118">
        <v>1050000</v>
      </c>
      <c r="I35" s="75">
        <f t="shared" si="4"/>
        <v>0</v>
      </c>
      <c r="J35" s="49" t="s">
        <v>63</v>
      </c>
      <c r="K35" s="132"/>
      <c r="L35" s="80"/>
    </row>
    <row r="36" spans="1:12" ht="18.75" x14ac:dyDescent="0.3">
      <c r="A36" s="170"/>
      <c r="B36" s="38">
        <f t="shared" si="5"/>
        <v>17</v>
      </c>
      <c r="C36" s="87" t="s">
        <v>130</v>
      </c>
      <c r="D36" s="120"/>
      <c r="E36" s="86" t="s">
        <v>76</v>
      </c>
      <c r="F36" s="118">
        <v>2000000</v>
      </c>
      <c r="G36" s="75">
        <f t="shared" si="3"/>
        <v>1000000</v>
      </c>
      <c r="H36" s="118">
        <v>1000000</v>
      </c>
      <c r="I36" s="75">
        <f t="shared" si="4"/>
        <v>0</v>
      </c>
      <c r="J36" s="49" t="s">
        <v>63</v>
      </c>
      <c r="K36" s="132"/>
      <c r="L36" s="46"/>
    </row>
    <row r="37" spans="1:12" ht="18.75" x14ac:dyDescent="0.3">
      <c r="A37" s="170"/>
      <c r="B37" s="38">
        <f t="shared" si="5"/>
        <v>18</v>
      </c>
      <c r="C37" s="142"/>
      <c r="D37" s="143"/>
      <c r="E37" s="144" t="s">
        <v>76</v>
      </c>
      <c r="F37" s="145"/>
      <c r="G37" s="139">
        <f t="shared" si="3"/>
        <v>0</v>
      </c>
      <c r="H37" s="146"/>
      <c r="I37" s="139">
        <f t="shared" si="4"/>
        <v>0</v>
      </c>
      <c r="J37" s="83"/>
      <c r="K37" s="98"/>
      <c r="L37" s="47"/>
    </row>
    <row r="38" spans="1:12" ht="18.75" x14ac:dyDescent="0.3">
      <c r="A38" s="170"/>
      <c r="B38" s="38">
        <f t="shared" si="5"/>
        <v>19</v>
      </c>
      <c r="C38" s="99" t="s">
        <v>134</v>
      </c>
      <c r="D38" s="43"/>
      <c r="E38" s="86" t="s">
        <v>76</v>
      </c>
      <c r="F38" s="90">
        <v>2400000</v>
      </c>
      <c r="G38" s="75">
        <f t="shared" si="3"/>
        <v>1200000</v>
      </c>
      <c r="H38" s="89">
        <v>1200000</v>
      </c>
      <c r="I38" s="75">
        <f t="shared" si="4"/>
        <v>0</v>
      </c>
      <c r="J38" s="49" t="s">
        <v>63</v>
      </c>
      <c r="K38" s="98"/>
      <c r="L38" s="47"/>
    </row>
    <row r="39" spans="1:12" ht="18.75" x14ac:dyDescent="0.3">
      <c r="A39" s="170"/>
      <c r="B39" s="38">
        <f t="shared" si="5"/>
        <v>20</v>
      </c>
      <c r="C39" s="99"/>
      <c r="D39" s="43"/>
      <c r="E39" s="86" t="s">
        <v>76</v>
      </c>
      <c r="F39" s="90"/>
      <c r="G39" s="75">
        <f t="shared" si="3"/>
        <v>0</v>
      </c>
      <c r="H39" s="89"/>
      <c r="I39" s="75">
        <f t="shared" si="4"/>
        <v>0</v>
      </c>
      <c r="J39" s="83"/>
      <c r="K39" s="98"/>
      <c r="L39" s="47"/>
    </row>
    <row r="40" spans="1:12" ht="18.75" x14ac:dyDescent="0.3">
      <c r="A40" s="170"/>
      <c r="B40" s="38">
        <f t="shared" si="5"/>
        <v>21</v>
      </c>
      <c r="C40" s="99"/>
      <c r="D40" s="43"/>
      <c r="E40" s="60" t="s">
        <v>76</v>
      </c>
      <c r="F40" s="90"/>
      <c r="G40" s="75">
        <f t="shared" si="3"/>
        <v>0</v>
      </c>
      <c r="H40" s="89"/>
      <c r="I40" s="75">
        <f t="shared" si="4"/>
        <v>0</v>
      </c>
      <c r="J40" s="83"/>
      <c r="K40" s="98"/>
      <c r="L40" s="47"/>
    </row>
    <row r="41" spans="1:12" ht="18.75" x14ac:dyDescent="0.3">
      <c r="A41" s="170"/>
      <c r="B41" s="38">
        <f t="shared" si="5"/>
        <v>22</v>
      </c>
      <c r="C41" s="99"/>
      <c r="D41" s="43"/>
      <c r="E41" s="60" t="s">
        <v>76</v>
      </c>
      <c r="F41" s="100"/>
      <c r="G41" s="75">
        <f t="shared" si="3"/>
        <v>0</v>
      </c>
      <c r="H41" s="89"/>
      <c r="I41" s="75">
        <f t="shared" si="4"/>
        <v>0</v>
      </c>
      <c r="J41" s="83"/>
      <c r="K41" s="98"/>
      <c r="L41" s="47"/>
    </row>
    <row r="42" spans="1:12" ht="18.75" x14ac:dyDescent="0.3">
      <c r="A42" s="170"/>
      <c r="B42" s="38">
        <f t="shared" si="5"/>
        <v>23</v>
      </c>
      <c r="C42" s="99"/>
      <c r="D42" s="43"/>
      <c r="E42" s="60" t="s">
        <v>76</v>
      </c>
      <c r="F42" s="100"/>
      <c r="G42" s="75">
        <f t="shared" si="3"/>
        <v>0</v>
      </c>
      <c r="H42" s="89"/>
      <c r="I42" s="75">
        <f t="shared" si="4"/>
        <v>0</v>
      </c>
      <c r="J42" s="83"/>
      <c r="K42" s="98"/>
      <c r="L42" s="47"/>
    </row>
    <row r="43" spans="1:12" ht="18.75" x14ac:dyDescent="0.3">
      <c r="A43" s="170"/>
      <c r="B43" s="38">
        <f t="shared" si="5"/>
        <v>24</v>
      </c>
      <c r="C43" s="99"/>
      <c r="D43" s="43"/>
      <c r="E43" s="43"/>
      <c r="F43" s="100"/>
      <c r="G43" s="75">
        <f t="shared" si="3"/>
        <v>0</v>
      </c>
      <c r="H43" s="89"/>
      <c r="I43" s="75">
        <f t="shared" si="4"/>
        <v>0</v>
      </c>
      <c r="J43" s="83"/>
      <c r="K43" s="98"/>
      <c r="L43" s="47"/>
    </row>
    <row r="44" spans="1:12" ht="18.75" x14ac:dyDescent="0.3">
      <c r="A44" s="170"/>
      <c r="B44" s="38">
        <f t="shared" si="5"/>
        <v>25</v>
      </c>
      <c r="C44" s="99"/>
      <c r="D44" s="43"/>
      <c r="E44" s="43"/>
      <c r="F44" s="100"/>
      <c r="G44" s="75">
        <f t="shared" si="3"/>
        <v>0</v>
      </c>
      <c r="H44" s="89"/>
      <c r="I44" s="75">
        <f t="shared" si="4"/>
        <v>0</v>
      </c>
      <c r="J44" s="83"/>
      <c r="K44" s="98"/>
      <c r="L44" s="47"/>
    </row>
    <row r="45" spans="1:12" ht="18.75" x14ac:dyDescent="0.3">
      <c r="A45" s="170"/>
      <c r="B45" s="38">
        <f t="shared" si="5"/>
        <v>26</v>
      </c>
      <c r="C45" s="99"/>
      <c r="D45" s="43"/>
      <c r="E45" s="43"/>
      <c r="F45" s="100"/>
      <c r="G45" s="75">
        <f t="shared" si="3"/>
        <v>0</v>
      </c>
      <c r="H45" s="89"/>
      <c r="I45" s="75">
        <f t="shared" si="4"/>
        <v>0</v>
      </c>
      <c r="J45" s="83"/>
      <c r="K45" s="98"/>
      <c r="L45" s="47"/>
    </row>
    <row r="46" spans="1:12" ht="18.75" x14ac:dyDescent="0.3">
      <c r="A46" s="170"/>
      <c r="B46" s="38">
        <f t="shared" si="5"/>
        <v>27</v>
      </c>
      <c r="C46" s="99"/>
      <c r="D46" s="43"/>
      <c r="E46" s="43"/>
      <c r="F46" s="100"/>
      <c r="G46" s="75">
        <f t="shared" si="3"/>
        <v>0</v>
      </c>
      <c r="H46" s="89"/>
      <c r="I46" s="75">
        <f t="shared" si="4"/>
        <v>0</v>
      </c>
      <c r="J46" s="83"/>
      <c r="K46" s="98"/>
      <c r="L46" s="47"/>
    </row>
    <row r="47" spans="1:12" ht="18.75" x14ac:dyDescent="0.3">
      <c r="A47" s="170"/>
      <c r="B47" s="38">
        <f t="shared" si="5"/>
        <v>28</v>
      </c>
      <c r="C47" s="99"/>
      <c r="D47" s="43"/>
      <c r="E47" s="43"/>
      <c r="F47" s="100"/>
      <c r="G47" s="75">
        <f t="shared" si="3"/>
        <v>0</v>
      </c>
      <c r="H47" s="89"/>
      <c r="I47" s="75">
        <f t="shared" si="4"/>
        <v>0</v>
      </c>
      <c r="J47" s="83"/>
      <c r="K47" s="98"/>
      <c r="L47" s="47"/>
    </row>
  </sheetData>
  <mergeCells count="8">
    <mergeCell ref="A20:A47"/>
    <mergeCell ref="B3:K3"/>
    <mergeCell ref="A7:A19"/>
    <mergeCell ref="N10:O11"/>
    <mergeCell ref="P10:P11"/>
    <mergeCell ref="N12:O14"/>
    <mergeCell ref="P12:P14"/>
    <mergeCell ref="N15:O1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2736-7444-48AB-AC37-B03361E9F460}">
  <dimension ref="A3:Q47"/>
  <sheetViews>
    <sheetView topLeftCell="A3" zoomScale="70" zoomScaleNormal="70" workbookViewId="0">
      <selection activeCell="H11" sqref="H11"/>
    </sheetView>
  </sheetViews>
  <sheetFormatPr defaultColWidth="9.140625" defaultRowHeight="15" x14ac:dyDescent="0.25"/>
  <cols>
    <col min="1" max="1" width="23.140625" style="1" customWidth="1"/>
    <col min="2" max="2" width="9.140625" style="1"/>
    <col min="3" max="3" width="37.7109375" style="1" customWidth="1"/>
    <col min="4" max="4" width="24.85546875" style="1" customWidth="1"/>
    <col min="5" max="5" width="19.5703125" style="1" customWidth="1"/>
    <col min="6" max="6" width="20.28515625" style="1" customWidth="1"/>
    <col min="7" max="7" width="19.5703125" style="1" customWidth="1"/>
    <col min="8" max="8" width="20.42578125" style="1" customWidth="1"/>
    <col min="9" max="9" width="18" style="1" customWidth="1"/>
    <col min="10" max="10" width="20" style="1" customWidth="1"/>
    <col min="11" max="11" width="39.85546875" style="1" customWidth="1"/>
    <col min="12" max="12" width="11.5703125" style="1" customWidth="1"/>
    <col min="13" max="13" width="5" style="1" customWidth="1"/>
    <col min="14" max="14" width="31.425781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6" ht="27.75" x14ac:dyDescent="0.25">
      <c r="B3" s="165" t="s">
        <v>30</v>
      </c>
      <c r="C3" s="165"/>
      <c r="D3" s="165"/>
      <c r="E3" s="165"/>
      <c r="F3" s="165"/>
      <c r="G3" s="165"/>
      <c r="H3" s="165"/>
      <c r="I3" s="165"/>
      <c r="J3" s="165"/>
      <c r="K3" s="165"/>
    </row>
    <row r="4" spans="1:16" ht="30.75" x14ac:dyDescent="0.25">
      <c r="C4" s="59"/>
      <c r="D4" s="59"/>
      <c r="E4" s="59"/>
      <c r="G4" s="58" t="s">
        <v>157</v>
      </c>
      <c r="I4" s="59"/>
      <c r="J4" s="59"/>
      <c r="K4" s="59"/>
    </row>
    <row r="5" spans="1:16" ht="18" customHeight="1" x14ac:dyDescent="0.25"/>
    <row r="6" spans="1:16" ht="53.25" customHeight="1" x14ac:dyDescent="0.25">
      <c r="A6" s="57"/>
      <c r="B6" s="65" t="s">
        <v>0</v>
      </c>
      <c r="C6" s="65" t="s">
        <v>1</v>
      </c>
      <c r="D6" s="65" t="s">
        <v>47</v>
      </c>
      <c r="E6" s="65" t="s">
        <v>46</v>
      </c>
      <c r="F6" s="65" t="s">
        <v>4</v>
      </c>
      <c r="G6" s="66" t="s">
        <v>94</v>
      </c>
      <c r="H6" s="65" t="s">
        <v>86</v>
      </c>
      <c r="I6" s="65" t="s">
        <v>87</v>
      </c>
      <c r="J6" s="65" t="s">
        <v>6</v>
      </c>
      <c r="K6" s="65" t="s">
        <v>33</v>
      </c>
      <c r="L6" s="65" t="s">
        <v>48</v>
      </c>
      <c r="N6" s="49" t="s">
        <v>63</v>
      </c>
    </row>
    <row r="7" spans="1:16" ht="23.25" customHeight="1" x14ac:dyDescent="0.25">
      <c r="A7" s="171" t="s">
        <v>90</v>
      </c>
      <c r="B7" s="38">
        <v>1</v>
      </c>
      <c r="C7" s="39" t="s">
        <v>159</v>
      </c>
      <c r="D7" s="40"/>
      <c r="E7" s="60" t="s">
        <v>76</v>
      </c>
      <c r="F7" s="41">
        <v>350000</v>
      </c>
      <c r="G7" s="41">
        <f>IF(F7="",0,IF(F7&gt;1800000,F7*O$19,F7*O$18))</f>
        <v>210000</v>
      </c>
      <c r="H7" s="41">
        <v>175000</v>
      </c>
      <c r="I7" s="41">
        <f>G7-H7</f>
        <v>35000</v>
      </c>
      <c r="J7" s="49" t="s">
        <v>63</v>
      </c>
      <c r="K7" s="129"/>
      <c r="L7" s="46"/>
      <c r="N7" s="50" t="s">
        <v>25</v>
      </c>
    </row>
    <row r="8" spans="1:16" ht="16.5" customHeight="1" x14ac:dyDescent="0.25">
      <c r="A8" s="172"/>
      <c r="B8" s="38">
        <f>B7+1</f>
        <v>2</v>
      </c>
      <c r="C8" s="39" t="s">
        <v>101</v>
      </c>
      <c r="D8" s="45"/>
      <c r="E8" s="72" t="s">
        <v>65</v>
      </c>
      <c r="F8" s="41">
        <v>1100000</v>
      </c>
      <c r="G8" s="41">
        <f t="shared" ref="G8:G18" si="0">IF(F8="",0,IF(F8&gt;1800000,F8*O$19,F8*O$18))</f>
        <v>660000</v>
      </c>
      <c r="H8" s="41">
        <v>550000</v>
      </c>
      <c r="I8" s="41">
        <f t="shared" ref="I8:I18" si="1">G8-H8</f>
        <v>110000</v>
      </c>
      <c r="J8" s="50" t="s">
        <v>25</v>
      </c>
      <c r="K8" s="130"/>
      <c r="L8" s="46"/>
      <c r="N8" s="48" t="s">
        <v>64</v>
      </c>
    </row>
    <row r="9" spans="1:16" ht="16.5" customHeight="1" x14ac:dyDescent="0.25">
      <c r="A9" s="172"/>
      <c r="B9" s="38">
        <f t="shared" ref="B9:B18" si="2">B8+1</f>
        <v>3</v>
      </c>
      <c r="C9" s="39"/>
      <c r="D9" s="40"/>
      <c r="E9" s="71" t="s">
        <v>71</v>
      </c>
      <c r="F9" s="41"/>
      <c r="G9" s="41">
        <f t="shared" si="0"/>
        <v>0</v>
      </c>
      <c r="H9" s="44"/>
      <c r="I9" s="41">
        <f t="shared" si="1"/>
        <v>0</v>
      </c>
      <c r="J9" s="155"/>
      <c r="K9" s="154"/>
      <c r="L9" s="47"/>
    </row>
    <row r="10" spans="1:16" ht="16.5" customHeight="1" x14ac:dyDescent="0.25">
      <c r="A10" s="172"/>
      <c r="B10" s="38">
        <f>B9+1</f>
        <v>4</v>
      </c>
      <c r="C10" s="42" t="s">
        <v>92</v>
      </c>
      <c r="D10" s="43"/>
      <c r="E10" s="60" t="s">
        <v>76</v>
      </c>
      <c r="F10" s="44">
        <v>1000000</v>
      </c>
      <c r="G10" s="41">
        <f t="shared" si="0"/>
        <v>600000</v>
      </c>
      <c r="H10" s="44">
        <v>600000</v>
      </c>
      <c r="I10" s="41">
        <f t="shared" si="1"/>
        <v>0</v>
      </c>
      <c r="J10" s="50" t="s">
        <v>25</v>
      </c>
      <c r="K10" s="130" t="s">
        <v>166</v>
      </c>
      <c r="L10" s="46"/>
      <c r="N10" s="174" t="s">
        <v>28</v>
      </c>
      <c r="O10" s="174"/>
      <c r="P10" s="175">
        <f>SUM(F7:F1006)</f>
        <v>30628000</v>
      </c>
    </row>
    <row r="11" spans="1:16" ht="16.5" customHeight="1" x14ac:dyDescent="0.25">
      <c r="A11" s="172"/>
      <c r="B11" s="38">
        <f t="shared" si="2"/>
        <v>5</v>
      </c>
      <c r="C11" s="42"/>
      <c r="D11" s="43"/>
      <c r="E11" s="60" t="s">
        <v>76</v>
      </c>
      <c r="F11" s="44"/>
      <c r="G11" s="41">
        <f t="shared" si="0"/>
        <v>0</v>
      </c>
      <c r="H11" s="44"/>
      <c r="I11" s="41">
        <f t="shared" si="1"/>
        <v>0</v>
      </c>
      <c r="J11" s="155"/>
      <c r="K11" s="130"/>
      <c r="L11" s="46"/>
      <c r="N11" s="174"/>
      <c r="O11" s="174"/>
      <c r="P11" s="175"/>
    </row>
    <row r="12" spans="1:16" ht="16.5" customHeight="1" x14ac:dyDescent="0.25">
      <c r="A12" s="172"/>
      <c r="B12" s="38">
        <f t="shared" si="2"/>
        <v>6</v>
      </c>
      <c r="C12" s="42" t="s">
        <v>96</v>
      </c>
      <c r="D12" s="43"/>
      <c r="E12" s="60" t="s">
        <v>76</v>
      </c>
      <c r="F12" s="44"/>
      <c r="G12" s="41">
        <f t="shared" si="0"/>
        <v>0</v>
      </c>
      <c r="H12" s="44"/>
      <c r="I12" s="41">
        <f t="shared" si="1"/>
        <v>0</v>
      </c>
      <c r="J12" s="155"/>
      <c r="K12" s="130"/>
      <c r="L12" s="46"/>
      <c r="N12" s="176" t="s">
        <v>95</v>
      </c>
      <c r="O12" s="176"/>
      <c r="P12" s="175">
        <f>SUM(G7:G1006)</f>
        <v>15817000</v>
      </c>
    </row>
    <row r="13" spans="1:16" ht="22.5" customHeight="1" x14ac:dyDescent="0.25">
      <c r="A13" s="172"/>
      <c r="B13" s="38">
        <f t="shared" si="2"/>
        <v>7</v>
      </c>
      <c r="C13" s="42" t="s">
        <v>96</v>
      </c>
      <c r="D13" s="43"/>
      <c r="E13" s="60" t="s">
        <v>76</v>
      </c>
      <c r="F13" s="44"/>
      <c r="G13" s="41">
        <f t="shared" si="0"/>
        <v>0</v>
      </c>
      <c r="H13" s="44"/>
      <c r="I13" s="41">
        <f t="shared" si="1"/>
        <v>0</v>
      </c>
      <c r="J13" s="155"/>
      <c r="K13" s="130"/>
      <c r="L13" s="46"/>
      <c r="N13" s="176"/>
      <c r="O13" s="176"/>
      <c r="P13" s="175"/>
    </row>
    <row r="14" spans="1:16" ht="16.5" customHeight="1" x14ac:dyDescent="0.25">
      <c r="A14" s="172"/>
      <c r="B14" s="38">
        <f t="shared" si="2"/>
        <v>8</v>
      </c>
      <c r="C14" s="42" t="s">
        <v>96</v>
      </c>
      <c r="D14" s="43"/>
      <c r="E14" s="60" t="s">
        <v>76</v>
      </c>
      <c r="F14" s="44"/>
      <c r="G14" s="41">
        <f t="shared" si="0"/>
        <v>0</v>
      </c>
      <c r="H14" s="44"/>
      <c r="I14" s="41">
        <f t="shared" si="1"/>
        <v>0</v>
      </c>
      <c r="J14" s="62"/>
      <c r="K14" s="130"/>
      <c r="L14" s="46"/>
      <c r="N14" s="176"/>
      <c r="O14" s="176"/>
      <c r="P14" s="175"/>
    </row>
    <row r="15" spans="1:16" ht="22.5" customHeight="1" x14ac:dyDescent="0.3">
      <c r="A15" s="172"/>
      <c r="B15" s="38">
        <f>B14+1</f>
        <v>9</v>
      </c>
      <c r="C15" s="42" t="s">
        <v>96</v>
      </c>
      <c r="D15" s="43"/>
      <c r="E15" s="60" t="s">
        <v>76</v>
      </c>
      <c r="F15" s="44"/>
      <c r="G15" s="41">
        <f t="shared" si="0"/>
        <v>0</v>
      </c>
      <c r="H15" s="44"/>
      <c r="I15" s="41">
        <f t="shared" si="1"/>
        <v>0</v>
      </c>
      <c r="J15" s="62"/>
      <c r="K15" s="130"/>
      <c r="L15" s="46"/>
      <c r="N15" s="177" t="s">
        <v>88</v>
      </c>
      <c r="O15" s="177"/>
      <c r="P15" s="67">
        <f>SUM(H7:H1006)</f>
        <v>15605000</v>
      </c>
    </row>
    <row r="16" spans="1:16" ht="16.5" customHeight="1" x14ac:dyDescent="0.25">
      <c r="A16" s="172"/>
      <c r="B16" s="38">
        <f t="shared" si="2"/>
        <v>10</v>
      </c>
      <c r="C16" s="42" t="s">
        <v>96</v>
      </c>
      <c r="D16" s="43"/>
      <c r="E16" s="60"/>
      <c r="F16" s="44"/>
      <c r="G16" s="41">
        <f t="shared" si="0"/>
        <v>0</v>
      </c>
      <c r="H16" s="44"/>
      <c r="I16" s="41">
        <f t="shared" si="1"/>
        <v>0</v>
      </c>
      <c r="J16" s="62"/>
      <c r="K16" s="130"/>
      <c r="L16" s="46"/>
    </row>
    <row r="17" spans="1:17" ht="16.5" customHeight="1" x14ac:dyDescent="0.25">
      <c r="A17" s="172"/>
      <c r="B17" s="38">
        <f t="shared" si="2"/>
        <v>11</v>
      </c>
      <c r="C17" s="42" t="s">
        <v>96</v>
      </c>
      <c r="D17" s="43"/>
      <c r="E17" s="60"/>
      <c r="F17" s="44"/>
      <c r="G17" s="41">
        <f t="shared" si="0"/>
        <v>0</v>
      </c>
      <c r="H17" s="44"/>
      <c r="I17" s="41">
        <f t="shared" si="1"/>
        <v>0</v>
      </c>
      <c r="J17" s="62"/>
      <c r="K17" s="130"/>
      <c r="L17" s="46"/>
    </row>
    <row r="18" spans="1:17" ht="16.5" customHeight="1" x14ac:dyDescent="0.3">
      <c r="A18" s="172"/>
      <c r="B18" s="38">
        <f t="shared" si="2"/>
        <v>12</v>
      </c>
      <c r="C18" s="42" t="s">
        <v>96</v>
      </c>
      <c r="D18" s="43"/>
      <c r="E18" s="60"/>
      <c r="F18" s="44"/>
      <c r="G18" s="41">
        <f t="shared" si="0"/>
        <v>0</v>
      </c>
      <c r="H18" s="44"/>
      <c r="I18" s="41">
        <f t="shared" si="1"/>
        <v>0</v>
      </c>
      <c r="J18" s="62"/>
      <c r="K18" s="130"/>
      <c r="L18" s="46"/>
      <c r="N18" s="64" t="s">
        <v>60</v>
      </c>
      <c r="O18" s="68">
        <v>0.6</v>
      </c>
      <c r="Q18" s="70" t="s">
        <v>99</v>
      </c>
    </row>
    <row r="19" spans="1:17" ht="16.5" customHeight="1" x14ac:dyDescent="0.3">
      <c r="A19" s="173"/>
      <c r="B19" s="51"/>
      <c r="C19" s="52"/>
      <c r="D19" s="51"/>
      <c r="E19" s="53"/>
      <c r="F19" s="54"/>
      <c r="G19" s="54"/>
      <c r="H19" s="63"/>
      <c r="I19" s="61"/>
      <c r="J19" s="55"/>
      <c r="K19" s="131"/>
      <c r="L19" s="56"/>
      <c r="N19" s="64" t="s">
        <v>60</v>
      </c>
      <c r="O19" s="69">
        <v>0.5</v>
      </c>
      <c r="Q19" s="70" t="s">
        <v>100</v>
      </c>
    </row>
    <row r="20" spans="1:17" ht="16.5" customHeight="1" x14ac:dyDescent="0.25">
      <c r="A20" s="169" t="s">
        <v>89</v>
      </c>
      <c r="B20" s="38">
        <v>1</v>
      </c>
      <c r="C20" s="137" t="s">
        <v>124</v>
      </c>
      <c r="D20" s="138"/>
      <c r="E20" s="138" t="s">
        <v>13</v>
      </c>
      <c r="F20" s="139"/>
      <c r="G20" s="139">
        <f t="shared" ref="G20:G47" si="3">IF(F20="",0,IF(F20&gt;=1700000,F20*O$19,F20*O$18))</f>
        <v>0</v>
      </c>
      <c r="H20" s="139"/>
      <c r="I20" s="75">
        <f t="shared" ref="I20:I47" si="4">G20-H20</f>
        <v>0</v>
      </c>
      <c r="J20" s="128"/>
      <c r="K20" s="132"/>
      <c r="L20" s="76"/>
    </row>
    <row r="21" spans="1:17" ht="16.5" customHeight="1" x14ac:dyDescent="0.25">
      <c r="A21" s="170"/>
      <c r="B21" s="38">
        <f>B20+1</f>
        <v>2</v>
      </c>
      <c r="C21" s="77" t="s">
        <v>125</v>
      </c>
      <c r="D21" s="78"/>
      <c r="E21" s="78" t="s">
        <v>105</v>
      </c>
      <c r="F21" s="79">
        <v>1883000</v>
      </c>
      <c r="G21" s="75">
        <f t="shared" si="3"/>
        <v>941500</v>
      </c>
      <c r="H21" s="79">
        <v>945000</v>
      </c>
      <c r="I21" s="75">
        <f t="shared" si="4"/>
        <v>-3500</v>
      </c>
      <c r="J21" s="49" t="s">
        <v>63</v>
      </c>
      <c r="K21" s="132"/>
      <c r="L21" s="80"/>
    </row>
    <row r="22" spans="1:17" ht="16.5" customHeight="1" x14ac:dyDescent="0.3">
      <c r="A22" s="170"/>
      <c r="B22" s="38">
        <f t="shared" ref="B22:B47" si="5">B21+1</f>
        <v>3</v>
      </c>
      <c r="C22" s="137" t="s">
        <v>127</v>
      </c>
      <c r="D22" s="140"/>
      <c r="E22" s="140" t="s">
        <v>21</v>
      </c>
      <c r="F22" s="139"/>
      <c r="G22" s="139">
        <f t="shared" si="3"/>
        <v>0</v>
      </c>
      <c r="H22" s="160"/>
      <c r="I22" s="75">
        <f t="shared" si="4"/>
        <v>0</v>
      </c>
      <c r="J22" s="49"/>
      <c r="K22" s="164" t="s">
        <v>160</v>
      </c>
      <c r="L22" s="82"/>
    </row>
    <row r="23" spans="1:17" ht="16.5" customHeight="1" x14ac:dyDescent="0.25">
      <c r="A23" s="170"/>
      <c r="B23" s="38">
        <f t="shared" si="5"/>
        <v>4</v>
      </c>
      <c r="C23" s="73" t="s">
        <v>154</v>
      </c>
      <c r="D23" s="81"/>
      <c r="E23" s="81" t="s">
        <v>26</v>
      </c>
      <c r="F23" s="75">
        <v>1380000</v>
      </c>
      <c r="G23" s="75">
        <f t="shared" si="3"/>
        <v>828000</v>
      </c>
      <c r="H23" s="75">
        <v>828000</v>
      </c>
      <c r="I23" s="75">
        <f t="shared" si="4"/>
        <v>0</v>
      </c>
      <c r="J23" s="49" t="s">
        <v>63</v>
      </c>
      <c r="K23" s="132"/>
      <c r="L23" s="76"/>
    </row>
    <row r="24" spans="1:17" ht="16.5" customHeight="1" x14ac:dyDescent="0.25">
      <c r="A24" s="170"/>
      <c r="B24" s="38">
        <f t="shared" si="5"/>
        <v>5</v>
      </c>
      <c r="C24" s="137" t="s">
        <v>107</v>
      </c>
      <c r="D24" s="140"/>
      <c r="E24" s="140" t="s">
        <v>53</v>
      </c>
      <c r="F24" s="139"/>
      <c r="G24" s="139">
        <f t="shared" si="3"/>
        <v>0</v>
      </c>
      <c r="H24" s="160"/>
      <c r="I24" s="75">
        <f t="shared" si="4"/>
        <v>0</v>
      </c>
      <c r="J24" s="49"/>
      <c r="K24" s="132" t="s">
        <v>161</v>
      </c>
      <c r="L24" s="82"/>
    </row>
    <row r="25" spans="1:17" ht="16.5" customHeight="1" x14ac:dyDescent="0.25">
      <c r="A25" s="170"/>
      <c r="B25" s="38">
        <f t="shared" si="5"/>
        <v>6</v>
      </c>
      <c r="C25" s="73" t="s">
        <v>128</v>
      </c>
      <c r="D25" s="76"/>
      <c r="E25" s="76" t="s">
        <v>104</v>
      </c>
      <c r="F25" s="75">
        <v>2030000</v>
      </c>
      <c r="G25" s="75">
        <f t="shared" si="3"/>
        <v>1015000</v>
      </c>
      <c r="H25" s="79">
        <v>1030000</v>
      </c>
      <c r="I25" s="75">
        <f t="shared" si="4"/>
        <v>-15000</v>
      </c>
      <c r="J25" s="49" t="s">
        <v>63</v>
      </c>
      <c r="K25" s="132"/>
      <c r="L25" s="76"/>
    </row>
    <row r="26" spans="1:17" ht="22.15" customHeight="1" x14ac:dyDescent="0.25">
      <c r="A26" s="170"/>
      <c r="B26" s="38">
        <f t="shared" si="5"/>
        <v>7</v>
      </c>
      <c r="C26" s="77" t="s">
        <v>75</v>
      </c>
      <c r="D26" s="80"/>
      <c r="E26" s="76" t="s">
        <v>70</v>
      </c>
      <c r="F26" s="75">
        <v>3120000</v>
      </c>
      <c r="G26" s="75">
        <f t="shared" si="3"/>
        <v>1560000</v>
      </c>
      <c r="H26" s="75">
        <v>1560000</v>
      </c>
      <c r="I26" s="75">
        <f t="shared" si="4"/>
        <v>0</v>
      </c>
      <c r="J26" s="49"/>
      <c r="K26" s="132"/>
      <c r="L26" s="76"/>
    </row>
    <row r="27" spans="1:17" ht="20.45" customHeight="1" x14ac:dyDescent="0.3">
      <c r="A27" s="170"/>
      <c r="B27" s="38">
        <f t="shared" si="5"/>
        <v>8</v>
      </c>
      <c r="C27" s="77" t="s">
        <v>123</v>
      </c>
      <c r="D27" s="87"/>
      <c r="E27" s="86" t="s">
        <v>76</v>
      </c>
      <c r="F27" s="79">
        <v>3380000</v>
      </c>
      <c r="G27" s="75">
        <f t="shared" si="3"/>
        <v>1690000</v>
      </c>
      <c r="H27" s="75">
        <v>1690000</v>
      </c>
      <c r="I27" s="75">
        <f t="shared" si="4"/>
        <v>0</v>
      </c>
      <c r="J27" s="49" t="s">
        <v>63</v>
      </c>
      <c r="K27" s="132"/>
      <c r="L27" s="76"/>
    </row>
    <row r="28" spans="1:17" ht="16.5" customHeight="1" x14ac:dyDescent="0.25">
      <c r="A28" s="170"/>
      <c r="B28" s="38">
        <f t="shared" si="5"/>
        <v>9</v>
      </c>
      <c r="C28" s="88" t="s">
        <v>129</v>
      </c>
      <c r="D28" s="74"/>
      <c r="E28" s="81" t="s">
        <v>24</v>
      </c>
      <c r="F28" s="79">
        <v>3310000</v>
      </c>
      <c r="G28" s="75">
        <f t="shared" si="3"/>
        <v>1655000</v>
      </c>
      <c r="H28" s="79">
        <v>1655000</v>
      </c>
      <c r="I28" s="75">
        <f t="shared" si="4"/>
        <v>0</v>
      </c>
      <c r="J28" s="49" t="s">
        <v>63</v>
      </c>
      <c r="K28" s="132"/>
      <c r="L28" s="76"/>
    </row>
    <row r="29" spans="1:17" ht="16.5" customHeight="1" x14ac:dyDescent="0.3">
      <c r="A29" s="170"/>
      <c r="B29" s="38">
        <f t="shared" si="5"/>
        <v>10</v>
      </c>
      <c r="C29" s="88" t="s">
        <v>97</v>
      </c>
      <c r="D29" s="81"/>
      <c r="E29" s="76" t="s">
        <v>106</v>
      </c>
      <c r="F29" s="118">
        <v>1970000</v>
      </c>
      <c r="G29" s="75">
        <f t="shared" si="3"/>
        <v>985000</v>
      </c>
      <c r="H29" s="118">
        <v>1000000</v>
      </c>
      <c r="I29" s="75">
        <f t="shared" si="4"/>
        <v>-15000</v>
      </c>
      <c r="J29" s="49" t="s">
        <v>63</v>
      </c>
      <c r="K29" s="132"/>
      <c r="L29" s="93"/>
    </row>
    <row r="30" spans="1:17" ht="16.5" customHeight="1" x14ac:dyDescent="0.25">
      <c r="A30" s="170"/>
      <c r="B30" s="38">
        <f t="shared" si="5"/>
        <v>11</v>
      </c>
      <c r="C30" s="161" t="s">
        <v>108</v>
      </c>
      <c r="D30" s="162"/>
      <c r="E30" s="140" t="s">
        <v>52</v>
      </c>
      <c r="F30" s="146"/>
      <c r="G30" s="139">
        <f t="shared" si="3"/>
        <v>0</v>
      </c>
      <c r="H30" s="163"/>
      <c r="I30" s="139">
        <f t="shared" si="4"/>
        <v>0</v>
      </c>
      <c r="J30" s="49"/>
      <c r="K30" s="132" t="s">
        <v>162</v>
      </c>
      <c r="L30" s="80"/>
    </row>
    <row r="31" spans="1:17" ht="15" customHeight="1" x14ac:dyDescent="0.3">
      <c r="A31" s="170"/>
      <c r="B31" s="38">
        <f t="shared" si="5"/>
        <v>12</v>
      </c>
      <c r="C31" s="77" t="s">
        <v>103</v>
      </c>
      <c r="D31" s="74"/>
      <c r="E31" s="74" t="s">
        <v>16</v>
      </c>
      <c r="F31" s="89">
        <v>2600000</v>
      </c>
      <c r="G31" s="75">
        <f t="shared" si="3"/>
        <v>1300000</v>
      </c>
      <c r="H31" s="89">
        <v>1200000</v>
      </c>
      <c r="I31" s="75">
        <f t="shared" si="4"/>
        <v>100000</v>
      </c>
      <c r="J31" s="49" t="s">
        <v>63</v>
      </c>
      <c r="K31" s="132" t="s">
        <v>163</v>
      </c>
      <c r="L31" s="93"/>
    </row>
    <row r="32" spans="1:17" ht="15" customHeight="1" x14ac:dyDescent="0.3">
      <c r="A32" s="170"/>
      <c r="B32" s="38">
        <f t="shared" si="5"/>
        <v>13</v>
      </c>
      <c r="C32" s="156" t="s">
        <v>110</v>
      </c>
      <c r="D32" s="157"/>
      <c r="E32" s="140" t="s">
        <v>98</v>
      </c>
      <c r="F32" s="139"/>
      <c r="G32" s="139">
        <f t="shared" si="3"/>
        <v>0</v>
      </c>
      <c r="H32" s="139"/>
      <c r="I32" s="75">
        <f t="shared" si="4"/>
        <v>0</v>
      </c>
      <c r="J32" s="49"/>
      <c r="K32" s="132" t="s">
        <v>165</v>
      </c>
      <c r="L32" s="93"/>
    </row>
    <row r="33" spans="1:12" ht="18.75" customHeight="1" x14ac:dyDescent="0.3">
      <c r="A33" s="170"/>
      <c r="B33" s="38">
        <f t="shared" si="5"/>
        <v>14</v>
      </c>
      <c r="C33" s="157" t="s">
        <v>109</v>
      </c>
      <c r="D33" s="157"/>
      <c r="E33" s="140" t="s">
        <v>35</v>
      </c>
      <c r="F33" s="145"/>
      <c r="G33" s="139">
        <f t="shared" si="3"/>
        <v>0</v>
      </c>
      <c r="H33" s="146"/>
      <c r="I33" s="75">
        <f t="shared" si="4"/>
        <v>0</v>
      </c>
      <c r="J33" s="49"/>
      <c r="K33" s="89" t="s">
        <v>164</v>
      </c>
      <c r="L33" s="76"/>
    </row>
    <row r="34" spans="1:12" ht="18.75" x14ac:dyDescent="0.3">
      <c r="A34" s="170"/>
      <c r="B34" s="38">
        <f t="shared" si="5"/>
        <v>15</v>
      </c>
      <c r="C34" s="87" t="s">
        <v>111</v>
      </c>
      <c r="D34" s="120"/>
      <c r="E34" s="81" t="s">
        <v>15</v>
      </c>
      <c r="F34" s="79">
        <v>2720000</v>
      </c>
      <c r="G34" s="75">
        <f t="shared" si="3"/>
        <v>1360000</v>
      </c>
      <c r="H34" s="79">
        <v>1360000</v>
      </c>
      <c r="I34" s="75">
        <f t="shared" si="4"/>
        <v>0</v>
      </c>
      <c r="J34" s="49" t="s">
        <v>63</v>
      </c>
      <c r="K34" s="132"/>
      <c r="L34" s="76"/>
    </row>
    <row r="35" spans="1:12" ht="18.75" x14ac:dyDescent="0.3">
      <c r="A35" s="170"/>
      <c r="B35" s="38">
        <f t="shared" si="5"/>
        <v>16</v>
      </c>
      <c r="C35" s="87" t="s">
        <v>122</v>
      </c>
      <c r="D35" s="120"/>
      <c r="E35" s="86" t="s">
        <v>76</v>
      </c>
      <c r="F35" s="118">
        <v>1850000</v>
      </c>
      <c r="G35" s="75">
        <f t="shared" si="3"/>
        <v>925000</v>
      </c>
      <c r="H35" s="118">
        <v>925000</v>
      </c>
      <c r="I35" s="75">
        <f t="shared" si="4"/>
        <v>0</v>
      </c>
      <c r="J35" s="49" t="s">
        <v>63</v>
      </c>
      <c r="K35" s="132"/>
      <c r="L35" s="80"/>
    </row>
    <row r="36" spans="1:12" ht="18.75" x14ac:dyDescent="0.3">
      <c r="A36" s="170"/>
      <c r="B36" s="38">
        <f t="shared" si="5"/>
        <v>17</v>
      </c>
      <c r="C36" s="87" t="s">
        <v>130</v>
      </c>
      <c r="D36" s="120"/>
      <c r="E36" s="86" t="s">
        <v>76</v>
      </c>
      <c r="F36" s="118">
        <v>1200000</v>
      </c>
      <c r="G36" s="75">
        <f t="shared" si="3"/>
        <v>720000</v>
      </c>
      <c r="H36" s="118">
        <v>720000</v>
      </c>
      <c r="I36" s="75">
        <f t="shared" si="4"/>
        <v>0</v>
      </c>
      <c r="J36" s="49" t="s">
        <v>63</v>
      </c>
      <c r="K36" s="132" t="s">
        <v>167</v>
      </c>
      <c r="L36" s="46"/>
    </row>
    <row r="37" spans="1:12" ht="18.75" x14ac:dyDescent="0.3">
      <c r="A37" s="170"/>
      <c r="B37" s="38">
        <f t="shared" si="5"/>
        <v>18</v>
      </c>
      <c r="C37" s="142"/>
      <c r="D37" s="143"/>
      <c r="E37" s="144" t="s">
        <v>76</v>
      </c>
      <c r="F37" s="145"/>
      <c r="G37" s="139">
        <f t="shared" si="3"/>
        <v>0</v>
      </c>
      <c r="H37" s="146"/>
      <c r="I37" s="139">
        <f t="shared" si="4"/>
        <v>0</v>
      </c>
      <c r="J37" s="49"/>
      <c r="K37" s="98"/>
      <c r="L37" s="47"/>
    </row>
    <row r="38" spans="1:12" ht="18.75" x14ac:dyDescent="0.3">
      <c r="A38" s="170"/>
      <c r="B38" s="38">
        <f t="shared" si="5"/>
        <v>19</v>
      </c>
      <c r="C38" s="99" t="s">
        <v>134</v>
      </c>
      <c r="D38" s="43"/>
      <c r="E38" s="86" t="s">
        <v>76</v>
      </c>
      <c r="F38" s="90">
        <v>2735000</v>
      </c>
      <c r="G38" s="75">
        <f t="shared" si="3"/>
        <v>1367500</v>
      </c>
      <c r="H38" s="89">
        <v>1367000</v>
      </c>
      <c r="I38" s="75">
        <f t="shared" si="4"/>
        <v>500</v>
      </c>
      <c r="J38" s="49" t="s">
        <v>63</v>
      </c>
      <c r="K38" s="98"/>
      <c r="L38" s="47"/>
    </row>
    <row r="39" spans="1:12" ht="18.75" x14ac:dyDescent="0.3">
      <c r="A39" s="170"/>
      <c r="B39" s="38">
        <f t="shared" si="5"/>
        <v>20</v>
      </c>
      <c r="C39" s="99"/>
      <c r="D39" s="43"/>
      <c r="E39" s="86" t="s">
        <v>76</v>
      </c>
      <c r="F39" s="90"/>
      <c r="G39" s="75">
        <f t="shared" si="3"/>
        <v>0</v>
      </c>
      <c r="H39" s="89"/>
      <c r="I39" s="75">
        <f t="shared" si="4"/>
        <v>0</v>
      </c>
      <c r="J39" s="83"/>
      <c r="K39" s="98"/>
      <c r="L39" s="47"/>
    </row>
    <row r="40" spans="1:12" ht="18.75" x14ac:dyDescent="0.3">
      <c r="A40" s="170"/>
      <c r="B40" s="38">
        <f t="shared" si="5"/>
        <v>21</v>
      </c>
      <c r="C40" s="99"/>
      <c r="D40" s="43"/>
      <c r="E40" s="60" t="s">
        <v>76</v>
      </c>
      <c r="F40" s="90"/>
      <c r="G40" s="75">
        <f t="shared" si="3"/>
        <v>0</v>
      </c>
      <c r="H40" s="89"/>
      <c r="I40" s="75">
        <f t="shared" si="4"/>
        <v>0</v>
      </c>
      <c r="J40" s="83"/>
      <c r="K40" s="98"/>
      <c r="L40" s="47"/>
    </row>
    <row r="41" spans="1:12" ht="18.75" x14ac:dyDescent="0.3">
      <c r="A41" s="170"/>
      <c r="B41" s="38">
        <f t="shared" si="5"/>
        <v>22</v>
      </c>
      <c r="C41" s="99"/>
      <c r="D41" s="43"/>
      <c r="E41" s="60" t="s">
        <v>76</v>
      </c>
      <c r="F41" s="100"/>
      <c r="G41" s="75">
        <f t="shared" si="3"/>
        <v>0</v>
      </c>
      <c r="H41" s="89"/>
      <c r="I41" s="75">
        <f t="shared" si="4"/>
        <v>0</v>
      </c>
      <c r="J41" s="83"/>
      <c r="K41" s="98"/>
      <c r="L41" s="47"/>
    </row>
    <row r="42" spans="1:12" ht="18.75" x14ac:dyDescent="0.3">
      <c r="A42" s="170"/>
      <c r="B42" s="38">
        <f t="shared" si="5"/>
        <v>23</v>
      </c>
      <c r="C42" s="99"/>
      <c r="D42" s="43"/>
      <c r="E42" s="60" t="s">
        <v>76</v>
      </c>
      <c r="F42" s="100"/>
      <c r="G42" s="75">
        <f t="shared" si="3"/>
        <v>0</v>
      </c>
      <c r="H42" s="89"/>
      <c r="I42" s="75">
        <f t="shared" si="4"/>
        <v>0</v>
      </c>
      <c r="J42" s="83"/>
      <c r="K42" s="98"/>
      <c r="L42" s="47"/>
    </row>
    <row r="43" spans="1:12" ht="18.75" x14ac:dyDescent="0.3">
      <c r="A43" s="170"/>
      <c r="B43" s="38">
        <f t="shared" si="5"/>
        <v>24</v>
      </c>
      <c r="C43" s="99"/>
      <c r="D43" s="43"/>
      <c r="E43" s="43"/>
      <c r="F43" s="100"/>
      <c r="G43" s="75">
        <f t="shared" si="3"/>
        <v>0</v>
      </c>
      <c r="H43" s="89"/>
      <c r="I43" s="75">
        <f t="shared" si="4"/>
        <v>0</v>
      </c>
      <c r="J43" s="83"/>
      <c r="K43" s="98"/>
      <c r="L43" s="47"/>
    </row>
    <row r="44" spans="1:12" ht="18.75" x14ac:dyDescent="0.3">
      <c r="A44" s="170"/>
      <c r="B44" s="38">
        <f t="shared" si="5"/>
        <v>25</v>
      </c>
      <c r="C44" s="99"/>
      <c r="D44" s="43"/>
      <c r="E44" s="43"/>
      <c r="F44" s="100"/>
      <c r="G44" s="75">
        <f t="shared" si="3"/>
        <v>0</v>
      </c>
      <c r="H44" s="89"/>
      <c r="I44" s="75">
        <f t="shared" si="4"/>
        <v>0</v>
      </c>
      <c r="J44" s="83"/>
      <c r="K44" s="98"/>
      <c r="L44" s="47"/>
    </row>
    <row r="45" spans="1:12" ht="18.75" x14ac:dyDescent="0.3">
      <c r="A45" s="170"/>
      <c r="B45" s="38">
        <f t="shared" si="5"/>
        <v>26</v>
      </c>
      <c r="C45" s="99"/>
      <c r="D45" s="43"/>
      <c r="E45" s="43"/>
      <c r="F45" s="100"/>
      <c r="G45" s="75">
        <f t="shared" si="3"/>
        <v>0</v>
      </c>
      <c r="H45" s="89"/>
      <c r="I45" s="75">
        <f t="shared" si="4"/>
        <v>0</v>
      </c>
      <c r="J45" s="83"/>
      <c r="K45" s="98"/>
      <c r="L45" s="47"/>
    </row>
    <row r="46" spans="1:12" ht="18.75" x14ac:dyDescent="0.3">
      <c r="A46" s="170"/>
      <c r="B46" s="38">
        <f t="shared" si="5"/>
        <v>27</v>
      </c>
      <c r="C46" s="99"/>
      <c r="D46" s="43"/>
      <c r="E46" s="43"/>
      <c r="F46" s="100"/>
      <c r="G46" s="75">
        <f t="shared" si="3"/>
        <v>0</v>
      </c>
      <c r="H46" s="89"/>
      <c r="I46" s="75">
        <f t="shared" si="4"/>
        <v>0</v>
      </c>
      <c r="J46" s="83"/>
      <c r="K46" s="98"/>
      <c r="L46" s="47"/>
    </row>
    <row r="47" spans="1:12" ht="18.75" x14ac:dyDescent="0.3">
      <c r="A47" s="170"/>
      <c r="B47" s="38">
        <f t="shared" si="5"/>
        <v>28</v>
      </c>
      <c r="C47" s="99"/>
      <c r="D47" s="43"/>
      <c r="E47" s="43"/>
      <c r="F47" s="100"/>
      <c r="G47" s="75">
        <f t="shared" si="3"/>
        <v>0</v>
      </c>
      <c r="H47" s="89"/>
      <c r="I47" s="75">
        <f t="shared" si="4"/>
        <v>0</v>
      </c>
      <c r="J47" s="83"/>
      <c r="K47" s="98"/>
      <c r="L47" s="47"/>
    </row>
  </sheetData>
  <mergeCells count="8">
    <mergeCell ref="A20:A47"/>
    <mergeCell ref="B3:K3"/>
    <mergeCell ref="A7:A19"/>
    <mergeCell ref="N10:O11"/>
    <mergeCell ref="P10:P11"/>
    <mergeCell ref="N12:O14"/>
    <mergeCell ref="P12:P14"/>
    <mergeCell ref="N15:O1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8330-29DE-4F90-AE31-C18EEE9AE32B}">
  <dimension ref="A3:Q47"/>
  <sheetViews>
    <sheetView topLeftCell="A3" zoomScale="70" zoomScaleNormal="70" workbookViewId="0">
      <selection activeCell="L12" sqref="L12"/>
    </sheetView>
  </sheetViews>
  <sheetFormatPr defaultColWidth="9.140625" defaultRowHeight="15" x14ac:dyDescent="0.25"/>
  <cols>
    <col min="1" max="1" width="23.140625" style="1" customWidth="1"/>
    <col min="2" max="2" width="9.140625" style="1"/>
    <col min="3" max="3" width="37.7109375" style="1" customWidth="1"/>
    <col min="4" max="4" width="24.85546875" style="1" customWidth="1"/>
    <col min="5" max="5" width="19.5703125" style="1" customWidth="1"/>
    <col min="6" max="6" width="20.28515625" style="1" customWidth="1"/>
    <col min="7" max="7" width="19.5703125" style="1" customWidth="1"/>
    <col min="8" max="8" width="19.140625" style="1" customWidth="1"/>
    <col min="9" max="9" width="18" style="1" customWidth="1"/>
    <col min="10" max="10" width="20" style="1" customWidth="1"/>
    <col min="11" max="11" width="39.85546875" style="1" customWidth="1"/>
    <col min="12" max="12" width="11.5703125" style="1" customWidth="1"/>
    <col min="13" max="13" width="5" style="1" customWidth="1"/>
    <col min="14" max="14" width="31.425781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6" ht="27.75" x14ac:dyDescent="0.25">
      <c r="B3" s="165" t="s">
        <v>30</v>
      </c>
      <c r="C3" s="165"/>
      <c r="D3" s="165"/>
      <c r="E3" s="165"/>
      <c r="F3" s="165"/>
      <c r="G3" s="165"/>
      <c r="H3" s="165"/>
      <c r="I3" s="165"/>
      <c r="J3" s="165"/>
      <c r="K3" s="165"/>
    </row>
    <row r="4" spans="1:16" ht="30.75" x14ac:dyDescent="0.25">
      <c r="C4" s="59"/>
      <c r="D4" s="59"/>
      <c r="E4" s="59"/>
      <c r="G4" s="58" t="s">
        <v>170</v>
      </c>
      <c r="I4" s="59"/>
      <c r="J4" s="59"/>
      <c r="K4" s="59"/>
    </row>
    <row r="5" spans="1:16" ht="18" customHeight="1" x14ac:dyDescent="0.25"/>
    <row r="6" spans="1:16" ht="53.25" customHeight="1" x14ac:dyDescent="0.25">
      <c r="A6" s="57"/>
      <c r="B6" s="65" t="s">
        <v>0</v>
      </c>
      <c r="C6" s="65" t="s">
        <v>1</v>
      </c>
      <c r="D6" s="65" t="s">
        <v>47</v>
      </c>
      <c r="E6" s="65" t="s">
        <v>46</v>
      </c>
      <c r="F6" s="65" t="s">
        <v>4</v>
      </c>
      <c r="G6" s="66" t="s">
        <v>94</v>
      </c>
      <c r="H6" s="65" t="s">
        <v>86</v>
      </c>
      <c r="I6" s="65" t="s">
        <v>87</v>
      </c>
      <c r="J6" s="65" t="s">
        <v>6</v>
      </c>
      <c r="K6" s="65" t="s">
        <v>33</v>
      </c>
      <c r="L6" s="65" t="s">
        <v>48</v>
      </c>
      <c r="N6" s="49" t="s">
        <v>63</v>
      </c>
    </row>
    <row r="7" spans="1:16" ht="18" customHeight="1" x14ac:dyDescent="0.25">
      <c r="A7" s="171" t="s">
        <v>90</v>
      </c>
      <c r="B7" s="38">
        <v>1</v>
      </c>
      <c r="C7" s="122" t="s">
        <v>159</v>
      </c>
      <c r="D7" s="123"/>
      <c r="E7" s="178" t="s">
        <v>76</v>
      </c>
      <c r="F7" s="125"/>
      <c r="G7" s="125">
        <f>IF(F7="",0,IF(F7&gt;1800000,F7*O$19,F7*O$18))</f>
        <v>0</v>
      </c>
      <c r="H7" s="125"/>
      <c r="I7" s="125">
        <f>G7-H7</f>
        <v>0</v>
      </c>
      <c r="J7" s="48" t="s">
        <v>64</v>
      </c>
      <c r="K7" s="129" t="s">
        <v>172</v>
      </c>
      <c r="L7" s="46"/>
      <c r="N7" s="50" t="s">
        <v>25</v>
      </c>
    </row>
    <row r="8" spans="1:16" ht="16.5" customHeight="1" x14ac:dyDescent="0.25">
      <c r="A8" s="172"/>
      <c r="B8" s="38">
        <f>B7+1</f>
        <v>2</v>
      </c>
      <c r="C8" s="39" t="s">
        <v>101</v>
      </c>
      <c r="D8" s="45"/>
      <c r="E8" s="72" t="s">
        <v>65</v>
      </c>
      <c r="F8" s="41">
        <v>1820000</v>
      </c>
      <c r="G8" s="41">
        <f>IF(F8="",0,IF(F8&gt;=1800000,F8*O$19,F8*O$18))</f>
        <v>910000</v>
      </c>
      <c r="H8" s="41">
        <v>910000</v>
      </c>
      <c r="I8" s="41">
        <f t="shared" ref="I8:I18" si="0">G8-H8</f>
        <v>0</v>
      </c>
      <c r="J8" s="50" t="s">
        <v>25</v>
      </c>
      <c r="K8" s="130"/>
      <c r="L8" s="46"/>
      <c r="N8" s="48" t="s">
        <v>64</v>
      </c>
    </row>
    <row r="9" spans="1:16" ht="16.5" customHeight="1" x14ac:dyDescent="0.25">
      <c r="A9" s="172"/>
      <c r="B9" s="38">
        <f t="shared" ref="B9:B18" si="1">B8+1</f>
        <v>3</v>
      </c>
      <c r="C9" s="39"/>
      <c r="D9" s="40"/>
      <c r="E9" s="71" t="s">
        <v>71</v>
      </c>
      <c r="F9" s="41"/>
      <c r="G9" s="41">
        <f t="shared" ref="G9:G18" si="2">IF(F9="",0,IF(F9&gt;1800000,F9*O$19,F9*O$18))</f>
        <v>0</v>
      </c>
      <c r="H9" s="44"/>
      <c r="I9" s="41">
        <f t="shared" si="0"/>
        <v>0</v>
      </c>
      <c r="J9" s="155"/>
      <c r="K9" s="154"/>
      <c r="L9" s="47"/>
    </row>
    <row r="10" spans="1:16" ht="16.5" customHeight="1" x14ac:dyDescent="0.25">
      <c r="A10" s="172"/>
      <c r="B10" s="38">
        <f>B9+1</f>
        <v>4</v>
      </c>
      <c r="C10" s="42" t="s">
        <v>92</v>
      </c>
      <c r="D10" s="43"/>
      <c r="E10" s="60" t="s">
        <v>76</v>
      </c>
      <c r="F10" s="44">
        <v>800000</v>
      </c>
      <c r="G10" s="41">
        <f t="shared" si="2"/>
        <v>480000</v>
      </c>
      <c r="H10" s="44">
        <v>480000</v>
      </c>
      <c r="I10" s="41">
        <f t="shared" si="0"/>
        <v>0</v>
      </c>
      <c r="J10" s="50" t="s">
        <v>25</v>
      </c>
      <c r="K10" s="130" t="s">
        <v>171</v>
      </c>
      <c r="L10" s="46"/>
      <c r="N10" s="174" t="s">
        <v>28</v>
      </c>
      <c r="O10" s="174"/>
      <c r="P10" s="175">
        <f>SUM(F7:F1006)</f>
        <v>25741000</v>
      </c>
    </row>
    <row r="11" spans="1:16" ht="16.5" customHeight="1" x14ac:dyDescent="0.25">
      <c r="A11" s="172"/>
      <c r="B11" s="38">
        <f t="shared" si="1"/>
        <v>5</v>
      </c>
      <c r="C11" s="42"/>
      <c r="D11" s="43"/>
      <c r="E11" s="60" t="s">
        <v>76</v>
      </c>
      <c r="F11" s="44"/>
      <c r="G11" s="41">
        <f t="shared" si="2"/>
        <v>0</v>
      </c>
      <c r="H11" s="44"/>
      <c r="I11" s="41">
        <f t="shared" si="0"/>
        <v>0</v>
      </c>
      <c r="J11" s="155"/>
      <c r="K11" s="130"/>
      <c r="L11" s="46"/>
      <c r="N11" s="174"/>
      <c r="O11" s="174"/>
      <c r="P11" s="175"/>
    </row>
    <row r="12" spans="1:16" ht="16.5" customHeight="1" x14ac:dyDescent="0.25">
      <c r="A12" s="172"/>
      <c r="B12" s="38">
        <f t="shared" si="1"/>
        <v>6</v>
      </c>
      <c r="C12" s="42" t="s">
        <v>96</v>
      </c>
      <c r="D12" s="43"/>
      <c r="E12" s="60" t="s">
        <v>76</v>
      </c>
      <c r="F12" s="44"/>
      <c r="G12" s="41">
        <f t="shared" si="2"/>
        <v>0</v>
      </c>
      <c r="H12" s="44"/>
      <c r="I12" s="41">
        <f t="shared" si="0"/>
        <v>0</v>
      </c>
      <c r="J12" s="155"/>
      <c r="K12" s="130"/>
      <c r="L12" s="46"/>
      <c r="N12" s="176" t="s">
        <v>95</v>
      </c>
      <c r="O12" s="176"/>
      <c r="P12" s="175">
        <f>SUM(G7:G1006)</f>
        <v>13126500</v>
      </c>
    </row>
    <row r="13" spans="1:16" ht="22.5" customHeight="1" x14ac:dyDescent="0.25">
      <c r="A13" s="172"/>
      <c r="B13" s="38">
        <f t="shared" si="1"/>
        <v>7</v>
      </c>
      <c r="C13" s="42" t="s">
        <v>96</v>
      </c>
      <c r="D13" s="43"/>
      <c r="E13" s="60" t="s">
        <v>76</v>
      </c>
      <c r="F13" s="44"/>
      <c r="G13" s="41">
        <f t="shared" si="2"/>
        <v>0</v>
      </c>
      <c r="H13" s="44"/>
      <c r="I13" s="41">
        <f t="shared" si="0"/>
        <v>0</v>
      </c>
      <c r="J13" s="155"/>
      <c r="K13" s="130"/>
      <c r="L13" s="46"/>
      <c r="N13" s="176"/>
      <c r="O13" s="176"/>
      <c r="P13" s="175"/>
    </row>
    <row r="14" spans="1:16" ht="16.5" customHeight="1" x14ac:dyDescent="0.25">
      <c r="A14" s="172"/>
      <c r="B14" s="38">
        <f t="shared" si="1"/>
        <v>8</v>
      </c>
      <c r="C14" s="42" t="s">
        <v>96</v>
      </c>
      <c r="D14" s="43"/>
      <c r="E14" s="60" t="s">
        <v>76</v>
      </c>
      <c r="F14" s="44"/>
      <c r="G14" s="41">
        <f t="shared" si="2"/>
        <v>0</v>
      </c>
      <c r="H14" s="44"/>
      <c r="I14" s="41">
        <f t="shared" si="0"/>
        <v>0</v>
      </c>
      <c r="J14" s="62"/>
      <c r="K14" s="130"/>
      <c r="L14" s="46"/>
      <c r="N14" s="176"/>
      <c r="O14" s="176"/>
      <c r="P14" s="175"/>
    </row>
    <row r="15" spans="1:16" ht="22.5" customHeight="1" x14ac:dyDescent="0.3">
      <c r="A15" s="172"/>
      <c r="B15" s="38">
        <f>B14+1</f>
        <v>9</v>
      </c>
      <c r="C15" s="42" t="s">
        <v>96</v>
      </c>
      <c r="D15" s="43"/>
      <c r="E15" s="60" t="s">
        <v>76</v>
      </c>
      <c r="F15" s="44"/>
      <c r="G15" s="41">
        <f t="shared" si="2"/>
        <v>0</v>
      </c>
      <c r="H15" s="44"/>
      <c r="I15" s="41">
        <f t="shared" si="0"/>
        <v>0</v>
      </c>
      <c r="J15" s="62"/>
      <c r="K15" s="130"/>
      <c r="L15" s="46"/>
      <c r="N15" s="177" t="s">
        <v>88</v>
      </c>
      <c r="O15" s="177"/>
      <c r="P15" s="67">
        <f>SUM(H7:H1006)</f>
        <v>13138000</v>
      </c>
    </row>
    <row r="16" spans="1:16" ht="16.5" customHeight="1" x14ac:dyDescent="0.25">
      <c r="A16" s="172"/>
      <c r="B16" s="38">
        <f t="shared" si="1"/>
        <v>10</v>
      </c>
      <c r="C16" s="42" t="s">
        <v>96</v>
      </c>
      <c r="D16" s="43"/>
      <c r="E16" s="60"/>
      <c r="F16" s="44"/>
      <c r="G16" s="41">
        <f t="shared" si="2"/>
        <v>0</v>
      </c>
      <c r="H16" s="44"/>
      <c r="I16" s="41">
        <f t="shared" si="0"/>
        <v>0</v>
      </c>
      <c r="J16" s="62"/>
      <c r="K16" s="130"/>
      <c r="L16" s="46"/>
    </row>
    <row r="17" spans="1:17" ht="16.5" customHeight="1" x14ac:dyDescent="0.25">
      <c r="A17" s="172"/>
      <c r="B17" s="38">
        <f t="shared" si="1"/>
        <v>11</v>
      </c>
      <c r="C17" s="42" t="s">
        <v>96</v>
      </c>
      <c r="D17" s="43"/>
      <c r="E17" s="60"/>
      <c r="F17" s="44"/>
      <c r="G17" s="41">
        <f t="shared" si="2"/>
        <v>0</v>
      </c>
      <c r="H17" s="44"/>
      <c r="I17" s="41">
        <f t="shared" si="0"/>
        <v>0</v>
      </c>
      <c r="J17" s="62"/>
      <c r="K17" s="130"/>
      <c r="L17" s="46"/>
    </row>
    <row r="18" spans="1:17" ht="16.5" customHeight="1" x14ac:dyDescent="0.3">
      <c r="A18" s="172"/>
      <c r="B18" s="38">
        <f t="shared" si="1"/>
        <v>12</v>
      </c>
      <c r="C18" s="42" t="s">
        <v>96</v>
      </c>
      <c r="D18" s="43"/>
      <c r="E18" s="60"/>
      <c r="F18" s="44"/>
      <c r="G18" s="41">
        <f t="shared" si="2"/>
        <v>0</v>
      </c>
      <c r="H18" s="44"/>
      <c r="I18" s="41">
        <f t="shared" si="0"/>
        <v>0</v>
      </c>
      <c r="J18" s="62"/>
      <c r="K18" s="130"/>
      <c r="L18" s="46"/>
      <c r="N18" s="64" t="s">
        <v>60</v>
      </c>
      <c r="O18" s="68">
        <v>0.6</v>
      </c>
      <c r="Q18" s="70" t="s">
        <v>99</v>
      </c>
    </row>
    <row r="19" spans="1:17" ht="16.5" customHeight="1" x14ac:dyDescent="0.3">
      <c r="A19" s="173"/>
      <c r="B19" s="51"/>
      <c r="C19" s="52"/>
      <c r="D19" s="51"/>
      <c r="E19" s="53"/>
      <c r="F19" s="54"/>
      <c r="G19" s="54"/>
      <c r="H19" s="63"/>
      <c r="I19" s="61"/>
      <c r="J19" s="55"/>
      <c r="K19" s="131"/>
      <c r="L19" s="56"/>
      <c r="N19" s="64" t="s">
        <v>60</v>
      </c>
      <c r="O19" s="69">
        <v>0.5</v>
      </c>
      <c r="Q19" s="70" t="s">
        <v>100</v>
      </c>
    </row>
    <row r="20" spans="1:17" ht="16.5" customHeight="1" x14ac:dyDescent="0.25">
      <c r="A20" s="169" t="s">
        <v>89</v>
      </c>
      <c r="B20" s="38">
        <v>1</v>
      </c>
      <c r="C20" s="137" t="s">
        <v>124</v>
      </c>
      <c r="D20" s="138"/>
      <c r="E20" s="138" t="s">
        <v>13</v>
      </c>
      <c r="F20" s="139"/>
      <c r="G20" s="139">
        <f t="shared" ref="G20:G47" si="3">IF(F20="",0,IF(F20&gt;=1700000,F20*O$19,F20*O$18))</f>
        <v>0</v>
      </c>
      <c r="H20" s="139"/>
      <c r="I20" s="75">
        <f t="shared" ref="I20:I47" si="4">G20-H20</f>
        <v>0</v>
      </c>
      <c r="J20" s="128"/>
      <c r="K20" s="132" t="s">
        <v>139</v>
      </c>
      <c r="L20" s="76"/>
    </row>
    <row r="21" spans="1:17" ht="16.5" customHeight="1" x14ac:dyDescent="0.25">
      <c r="A21" s="170"/>
      <c r="B21" s="38">
        <f>B20+1</f>
        <v>2</v>
      </c>
      <c r="C21" s="156" t="s">
        <v>168</v>
      </c>
      <c r="D21" s="162"/>
      <c r="E21" s="162" t="s">
        <v>105</v>
      </c>
      <c r="F21" s="160"/>
      <c r="G21" s="139">
        <f t="shared" si="3"/>
        <v>0</v>
      </c>
      <c r="H21" s="160"/>
      <c r="I21" s="75">
        <f t="shared" si="4"/>
        <v>0</v>
      </c>
      <c r="J21" s="49"/>
      <c r="K21" s="132" t="s">
        <v>169</v>
      </c>
      <c r="L21" s="80"/>
    </row>
    <row r="22" spans="1:17" ht="16.5" customHeight="1" x14ac:dyDescent="0.3">
      <c r="A22" s="170"/>
      <c r="B22" s="38">
        <f t="shared" ref="B22:B47" si="5">B21+1</f>
        <v>3</v>
      </c>
      <c r="C22" s="73"/>
      <c r="D22" s="81"/>
      <c r="E22" s="81" t="s">
        <v>21</v>
      </c>
      <c r="F22" s="75"/>
      <c r="G22" s="75">
        <f t="shared" si="3"/>
        <v>0</v>
      </c>
      <c r="H22" s="79"/>
      <c r="I22" s="75">
        <f t="shared" si="4"/>
        <v>0</v>
      </c>
      <c r="J22" s="49"/>
      <c r="K22" s="164" t="s">
        <v>160</v>
      </c>
      <c r="L22" s="82"/>
    </row>
    <row r="23" spans="1:17" ht="16.5" customHeight="1" x14ac:dyDescent="0.25">
      <c r="A23" s="170"/>
      <c r="B23" s="38">
        <f t="shared" si="5"/>
        <v>4</v>
      </c>
      <c r="C23" s="137" t="s">
        <v>154</v>
      </c>
      <c r="D23" s="140"/>
      <c r="E23" s="140" t="s">
        <v>26</v>
      </c>
      <c r="F23" s="139"/>
      <c r="G23" s="139">
        <f t="shared" si="3"/>
        <v>0</v>
      </c>
      <c r="H23" s="139"/>
      <c r="I23" s="139">
        <f t="shared" si="4"/>
        <v>0</v>
      </c>
      <c r="J23" s="49"/>
      <c r="K23" s="132" t="s">
        <v>114</v>
      </c>
      <c r="L23" s="76"/>
    </row>
    <row r="24" spans="1:17" ht="16.5" customHeight="1" x14ac:dyDescent="0.25">
      <c r="A24" s="170"/>
      <c r="B24" s="38">
        <f t="shared" si="5"/>
        <v>5</v>
      </c>
      <c r="C24" s="73" t="s">
        <v>107</v>
      </c>
      <c r="D24" s="81"/>
      <c r="E24" s="81" t="s">
        <v>53</v>
      </c>
      <c r="F24" s="75">
        <v>460000</v>
      </c>
      <c r="G24" s="75">
        <f t="shared" si="3"/>
        <v>276000</v>
      </c>
      <c r="H24" s="79">
        <v>276000</v>
      </c>
      <c r="I24" s="75">
        <f t="shared" si="4"/>
        <v>0</v>
      </c>
      <c r="J24" s="49"/>
      <c r="K24" s="132" t="s">
        <v>169</v>
      </c>
      <c r="L24" s="82"/>
    </row>
    <row r="25" spans="1:17" ht="16.5" customHeight="1" x14ac:dyDescent="0.25">
      <c r="A25" s="170"/>
      <c r="B25" s="38">
        <f t="shared" si="5"/>
        <v>6</v>
      </c>
      <c r="C25" s="73" t="s">
        <v>128</v>
      </c>
      <c r="D25" s="76"/>
      <c r="E25" s="76" t="s">
        <v>104</v>
      </c>
      <c r="F25" s="75">
        <v>2070000</v>
      </c>
      <c r="G25" s="75">
        <f t="shared" si="3"/>
        <v>1035000</v>
      </c>
      <c r="H25" s="79">
        <v>1035000</v>
      </c>
      <c r="I25" s="75">
        <f t="shared" si="4"/>
        <v>0</v>
      </c>
      <c r="J25" s="49" t="s">
        <v>63</v>
      </c>
      <c r="K25" s="132"/>
      <c r="L25" s="76"/>
    </row>
    <row r="26" spans="1:17" ht="22.15" customHeight="1" x14ac:dyDescent="0.25">
      <c r="A26" s="170"/>
      <c r="B26" s="38">
        <f t="shared" si="5"/>
        <v>7</v>
      </c>
      <c r="C26" s="77" t="s">
        <v>75</v>
      </c>
      <c r="D26" s="80"/>
      <c r="E26" s="76" t="s">
        <v>70</v>
      </c>
      <c r="F26" s="75"/>
      <c r="G26" s="75">
        <f t="shared" si="3"/>
        <v>0</v>
      </c>
      <c r="H26" s="75"/>
      <c r="I26" s="75">
        <f t="shared" si="4"/>
        <v>0</v>
      </c>
      <c r="J26" s="48" t="s">
        <v>64</v>
      </c>
      <c r="K26" s="132"/>
      <c r="L26" s="76"/>
    </row>
    <row r="27" spans="1:17" ht="20.45" customHeight="1" x14ac:dyDescent="0.3">
      <c r="A27" s="170"/>
      <c r="B27" s="38">
        <f t="shared" si="5"/>
        <v>8</v>
      </c>
      <c r="C27" s="77" t="s">
        <v>123</v>
      </c>
      <c r="D27" s="87"/>
      <c r="E27" s="86" t="s">
        <v>76</v>
      </c>
      <c r="F27" s="79">
        <v>1880000</v>
      </c>
      <c r="G27" s="75">
        <f t="shared" si="3"/>
        <v>940000</v>
      </c>
      <c r="H27" s="75">
        <v>940000</v>
      </c>
      <c r="I27" s="75">
        <f t="shared" si="4"/>
        <v>0</v>
      </c>
      <c r="J27" s="49" t="s">
        <v>63</v>
      </c>
      <c r="K27" s="132"/>
      <c r="L27" s="76"/>
    </row>
    <row r="28" spans="1:17" ht="16.5" customHeight="1" x14ac:dyDescent="0.25">
      <c r="A28" s="170"/>
      <c r="B28" s="38">
        <f t="shared" si="5"/>
        <v>9</v>
      </c>
      <c r="C28" s="88" t="s">
        <v>129</v>
      </c>
      <c r="D28" s="74"/>
      <c r="E28" s="81" t="s">
        <v>24</v>
      </c>
      <c r="F28" s="79">
        <v>1300000</v>
      </c>
      <c r="G28" s="75">
        <f t="shared" si="3"/>
        <v>780000</v>
      </c>
      <c r="H28" s="79">
        <v>780000</v>
      </c>
      <c r="I28" s="75">
        <f t="shared" si="4"/>
        <v>0</v>
      </c>
      <c r="J28" s="49" t="s">
        <v>63</v>
      </c>
      <c r="K28" s="132"/>
      <c r="L28" s="76"/>
    </row>
    <row r="29" spans="1:17" ht="16.5" customHeight="1" x14ac:dyDescent="0.3">
      <c r="A29" s="170"/>
      <c r="B29" s="38">
        <f t="shared" si="5"/>
        <v>10</v>
      </c>
      <c r="C29" s="88" t="s">
        <v>97</v>
      </c>
      <c r="D29" s="81"/>
      <c r="E29" s="76" t="s">
        <v>106</v>
      </c>
      <c r="F29" s="118">
        <v>2550000</v>
      </c>
      <c r="G29" s="75">
        <f t="shared" si="3"/>
        <v>1275000</v>
      </c>
      <c r="H29" s="118">
        <v>1275000</v>
      </c>
      <c r="I29" s="75">
        <f t="shared" si="4"/>
        <v>0</v>
      </c>
      <c r="J29" s="49" t="s">
        <v>63</v>
      </c>
      <c r="K29" s="132"/>
      <c r="L29" s="93"/>
    </row>
    <row r="30" spans="1:17" ht="16.5" customHeight="1" x14ac:dyDescent="0.25">
      <c r="A30" s="170"/>
      <c r="B30" s="38">
        <f t="shared" si="5"/>
        <v>11</v>
      </c>
      <c r="C30" s="161" t="s">
        <v>108</v>
      </c>
      <c r="D30" s="162"/>
      <c r="E30" s="140" t="s">
        <v>52</v>
      </c>
      <c r="F30" s="146"/>
      <c r="G30" s="139">
        <f t="shared" si="3"/>
        <v>0</v>
      </c>
      <c r="H30" s="163"/>
      <c r="I30" s="139">
        <f t="shared" si="4"/>
        <v>0</v>
      </c>
      <c r="J30" s="49"/>
      <c r="K30" s="132" t="s">
        <v>162</v>
      </c>
      <c r="L30" s="80"/>
    </row>
    <row r="31" spans="1:17" ht="15" customHeight="1" x14ac:dyDescent="0.3">
      <c r="A31" s="170"/>
      <c r="B31" s="38">
        <f t="shared" si="5"/>
        <v>12</v>
      </c>
      <c r="C31" s="77" t="s">
        <v>103</v>
      </c>
      <c r="D31" s="74"/>
      <c r="E31" s="74" t="s">
        <v>16</v>
      </c>
      <c r="F31" s="89">
        <v>2430000</v>
      </c>
      <c r="G31" s="75">
        <f t="shared" si="3"/>
        <v>1215000</v>
      </c>
      <c r="H31" s="89">
        <v>1215000</v>
      </c>
      <c r="I31" s="75">
        <f t="shared" si="4"/>
        <v>0</v>
      </c>
      <c r="J31" s="49" t="s">
        <v>63</v>
      </c>
      <c r="K31" s="132"/>
      <c r="L31" s="93"/>
    </row>
    <row r="32" spans="1:17" ht="15" customHeight="1" x14ac:dyDescent="0.3">
      <c r="A32" s="170"/>
      <c r="B32" s="38">
        <f t="shared" si="5"/>
        <v>13</v>
      </c>
      <c r="C32" s="156" t="s">
        <v>110</v>
      </c>
      <c r="D32" s="157"/>
      <c r="E32" s="140" t="s">
        <v>98</v>
      </c>
      <c r="F32" s="139"/>
      <c r="G32" s="139">
        <f t="shared" si="3"/>
        <v>0</v>
      </c>
      <c r="H32" s="139"/>
      <c r="I32" s="75">
        <f t="shared" si="4"/>
        <v>0</v>
      </c>
      <c r="J32" s="49"/>
      <c r="K32" s="132" t="s">
        <v>165</v>
      </c>
      <c r="L32" s="93"/>
    </row>
    <row r="33" spans="1:12" ht="18.75" customHeight="1" x14ac:dyDescent="0.3">
      <c r="A33" s="170"/>
      <c r="B33" s="38">
        <f t="shared" si="5"/>
        <v>14</v>
      </c>
      <c r="C33" s="87" t="s">
        <v>109</v>
      </c>
      <c r="D33" s="87"/>
      <c r="E33" s="81" t="s">
        <v>35</v>
      </c>
      <c r="F33" s="90">
        <v>3312000</v>
      </c>
      <c r="G33" s="75">
        <f t="shared" si="3"/>
        <v>1656000</v>
      </c>
      <c r="H33" s="89">
        <v>1656000</v>
      </c>
      <c r="I33" s="75">
        <f t="shared" si="4"/>
        <v>0</v>
      </c>
      <c r="J33" s="49"/>
      <c r="K33" s="89" t="s">
        <v>164</v>
      </c>
      <c r="L33" s="76"/>
    </row>
    <row r="34" spans="1:12" ht="18.75" x14ac:dyDescent="0.3">
      <c r="A34" s="170"/>
      <c r="B34" s="38">
        <f t="shared" si="5"/>
        <v>15</v>
      </c>
      <c r="C34" s="87" t="s">
        <v>111</v>
      </c>
      <c r="D34" s="120"/>
      <c r="E34" s="81" t="s">
        <v>15</v>
      </c>
      <c r="F34" s="79">
        <v>3166000</v>
      </c>
      <c r="G34" s="75">
        <f t="shared" si="3"/>
        <v>1583000</v>
      </c>
      <c r="H34" s="79">
        <v>1583000</v>
      </c>
      <c r="I34" s="75">
        <f t="shared" si="4"/>
        <v>0</v>
      </c>
      <c r="J34" s="49" t="s">
        <v>63</v>
      </c>
      <c r="K34" s="132"/>
      <c r="L34" s="76"/>
    </row>
    <row r="35" spans="1:12" ht="18.75" x14ac:dyDescent="0.3">
      <c r="A35" s="170"/>
      <c r="B35" s="38">
        <f t="shared" si="5"/>
        <v>16</v>
      </c>
      <c r="C35" s="87" t="s">
        <v>122</v>
      </c>
      <c r="D35" s="120"/>
      <c r="E35" s="86" t="s">
        <v>76</v>
      </c>
      <c r="F35" s="118">
        <v>1736000</v>
      </c>
      <c r="G35" s="75">
        <f t="shared" si="3"/>
        <v>868000</v>
      </c>
      <c r="H35" s="118">
        <v>880000</v>
      </c>
      <c r="I35" s="75">
        <f t="shared" si="4"/>
        <v>-12000</v>
      </c>
      <c r="J35" s="49" t="s">
        <v>63</v>
      </c>
      <c r="K35" s="132"/>
      <c r="L35" s="80"/>
    </row>
    <row r="36" spans="1:12" ht="18.75" x14ac:dyDescent="0.3">
      <c r="A36" s="170"/>
      <c r="B36" s="38">
        <f t="shared" si="5"/>
        <v>17</v>
      </c>
      <c r="C36" s="87" t="s">
        <v>130</v>
      </c>
      <c r="D36" s="120"/>
      <c r="E36" s="86" t="s">
        <v>76</v>
      </c>
      <c r="F36" s="118">
        <v>1950000</v>
      </c>
      <c r="G36" s="75">
        <f t="shared" si="3"/>
        <v>975000</v>
      </c>
      <c r="H36" s="118">
        <v>975000</v>
      </c>
      <c r="I36" s="75">
        <f t="shared" si="4"/>
        <v>0</v>
      </c>
      <c r="J36" s="49" t="s">
        <v>63</v>
      </c>
      <c r="K36" s="132" t="s">
        <v>167</v>
      </c>
      <c r="L36" s="46"/>
    </row>
    <row r="37" spans="1:12" ht="18.75" x14ac:dyDescent="0.3">
      <c r="A37" s="170"/>
      <c r="B37" s="38">
        <f t="shared" si="5"/>
        <v>18</v>
      </c>
      <c r="C37" s="142"/>
      <c r="D37" s="143"/>
      <c r="E37" s="144" t="s">
        <v>76</v>
      </c>
      <c r="F37" s="145"/>
      <c r="G37" s="139">
        <f t="shared" si="3"/>
        <v>0</v>
      </c>
      <c r="H37" s="146"/>
      <c r="I37" s="139">
        <f t="shared" si="4"/>
        <v>0</v>
      </c>
      <c r="J37" s="49"/>
      <c r="K37" s="98"/>
      <c r="L37" s="47"/>
    </row>
    <row r="38" spans="1:12" ht="18.75" x14ac:dyDescent="0.3">
      <c r="A38" s="170"/>
      <c r="B38" s="38">
        <f t="shared" si="5"/>
        <v>19</v>
      </c>
      <c r="C38" s="99" t="s">
        <v>134</v>
      </c>
      <c r="D38" s="43"/>
      <c r="E38" s="86" t="s">
        <v>76</v>
      </c>
      <c r="F38" s="90">
        <v>2267000</v>
      </c>
      <c r="G38" s="75">
        <f t="shared" si="3"/>
        <v>1133500</v>
      </c>
      <c r="H38" s="89">
        <v>1133000</v>
      </c>
      <c r="I38" s="75">
        <f t="shared" si="4"/>
        <v>500</v>
      </c>
      <c r="J38" s="49" t="s">
        <v>63</v>
      </c>
      <c r="K38" s="98"/>
      <c r="L38" s="47"/>
    </row>
    <row r="39" spans="1:12" ht="18.75" x14ac:dyDescent="0.3">
      <c r="A39" s="170"/>
      <c r="B39" s="38">
        <f t="shared" si="5"/>
        <v>20</v>
      </c>
      <c r="C39" s="99"/>
      <c r="D39" s="43"/>
      <c r="E39" s="86" t="s">
        <v>76</v>
      </c>
      <c r="F39" s="90"/>
      <c r="G39" s="75">
        <f t="shared" si="3"/>
        <v>0</v>
      </c>
      <c r="H39" s="89"/>
      <c r="I39" s="75">
        <f t="shared" si="4"/>
        <v>0</v>
      </c>
      <c r="J39" s="83"/>
      <c r="K39" s="98"/>
      <c r="L39" s="47"/>
    </row>
    <row r="40" spans="1:12" ht="18.75" x14ac:dyDescent="0.3">
      <c r="A40" s="170"/>
      <c r="B40" s="38">
        <f t="shared" si="5"/>
        <v>21</v>
      </c>
      <c r="C40" s="99"/>
      <c r="D40" s="43"/>
      <c r="E40" s="60" t="s">
        <v>76</v>
      </c>
      <c r="F40" s="90"/>
      <c r="G40" s="75">
        <f t="shared" si="3"/>
        <v>0</v>
      </c>
      <c r="H40" s="89"/>
      <c r="I40" s="75">
        <f t="shared" si="4"/>
        <v>0</v>
      </c>
      <c r="J40" s="83"/>
      <c r="K40" s="98"/>
      <c r="L40" s="47"/>
    </row>
    <row r="41" spans="1:12" ht="18.75" x14ac:dyDescent="0.3">
      <c r="A41" s="170"/>
      <c r="B41" s="38">
        <f t="shared" si="5"/>
        <v>22</v>
      </c>
      <c r="C41" s="99"/>
      <c r="D41" s="43"/>
      <c r="E41" s="60" t="s">
        <v>76</v>
      </c>
      <c r="F41" s="100"/>
      <c r="G41" s="75">
        <f t="shared" si="3"/>
        <v>0</v>
      </c>
      <c r="H41" s="89"/>
      <c r="I41" s="75">
        <f t="shared" si="4"/>
        <v>0</v>
      </c>
      <c r="J41" s="83"/>
      <c r="K41" s="98"/>
      <c r="L41" s="47"/>
    </row>
    <row r="42" spans="1:12" ht="18.75" x14ac:dyDescent="0.3">
      <c r="A42" s="170"/>
      <c r="B42" s="38">
        <f t="shared" si="5"/>
        <v>23</v>
      </c>
      <c r="C42" s="99"/>
      <c r="D42" s="43"/>
      <c r="E42" s="60" t="s">
        <v>76</v>
      </c>
      <c r="F42" s="100"/>
      <c r="G42" s="75">
        <f t="shared" si="3"/>
        <v>0</v>
      </c>
      <c r="H42" s="89"/>
      <c r="I42" s="75">
        <f t="shared" si="4"/>
        <v>0</v>
      </c>
      <c r="J42" s="83"/>
      <c r="K42" s="98"/>
      <c r="L42" s="47"/>
    </row>
    <row r="43" spans="1:12" ht="18.75" x14ac:dyDescent="0.3">
      <c r="A43" s="170"/>
      <c r="B43" s="38">
        <f t="shared" si="5"/>
        <v>24</v>
      </c>
      <c r="C43" s="99"/>
      <c r="D43" s="43"/>
      <c r="E43" s="43"/>
      <c r="F43" s="100"/>
      <c r="G43" s="75">
        <f t="shared" si="3"/>
        <v>0</v>
      </c>
      <c r="H43" s="89"/>
      <c r="I43" s="75">
        <f t="shared" si="4"/>
        <v>0</v>
      </c>
      <c r="J43" s="83"/>
      <c r="K43" s="98"/>
      <c r="L43" s="47"/>
    </row>
    <row r="44" spans="1:12" ht="18.75" x14ac:dyDescent="0.3">
      <c r="A44" s="170"/>
      <c r="B44" s="38">
        <f t="shared" si="5"/>
        <v>25</v>
      </c>
      <c r="C44" s="99"/>
      <c r="D44" s="43"/>
      <c r="E44" s="43"/>
      <c r="F44" s="100"/>
      <c r="G44" s="75">
        <f t="shared" si="3"/>
        <v>0</v>
      </c>
      <c r="H44" s="89"/>
      <c r="I44" s="75">
        <f t="shared" si="4"/>
        <v>0</v>
      </c>
      <c r="J44" s="83"/>
      <c r="K44" s="98"/>
      <c r="L44" s="47"/>
    </row>
    <row r="45" spans="1:12" ht="18.75" x14ac:dyDescent="0.3">
      <c r="A45" s="170"/>
      <c r="B45" s="38">
        <f t="shared" si="5"/>
        <v>26</v>
      </c>
      <c r="C45" s="99"/>
      <c r="D45" s="43"/>
      <c r="E45" s="43"/>
      <c r="F45" s="100"/>
      <c r="G45" s="75">
        <f t="shared" si="3"/>
        <v>0</v>
      </c>
      <c r="H45" s="89"/>
      <c r="I45" s="75">
        <f t="shared" si="4"/>
        <v>0</v>
      </c>
      <c r="J45" s="83"/>
      <c r="K45" s="98"/>
      <c r="L45" s="47"/>
    </row>
    <row r="46" spans="1:12" ht="18.75" x14ac:dyDescent="0.3">
      <c r="A46" s="170"/>
      <c r="B46" s="38">
        <f t="shared" si="5"/>
        <v>27</v>
      </c>
      <c r="C46" s="99"/>
      <c r="D46" s="43"/>
      <c r="E46" s="43"/>
      <c r="F46" s="100"/>
      <c r="G46" s="75">
        <f t="shared" si="3"/>
        <v>0</v>
      </c>
      <c r="H46" s="89"/>
      <c r="I46" s="75">
        <f t="shared" si="4"/>
        <v>0</v>
      </c>
      <c r="J46" s="83"/>
      <c r="K46" s="98"/>
      <c r="L46" s="47"/>
    </row>
    <row r="47" spans="1:12" ht="18.75" x14ac:dyDescent="0.3">
      <c r="A47" s="170"/>
      <c r="B47" s="38">
        <f t="shared" si="5"/>
        <v>28</v>
      </c>
      <c r="C47" s="99"/>
      <c r="D47" s="43"/>
      <c r="E47" s="43"/>
      <c r="F47" s="100"/>
      <c r="G47" s="75">
        <f t="shared" si="3"/>
        <v>0</v>
      </c>
      <c r="H47" s="89"/>
      <c r="I47" s="75">
        <f t="shared" si="4"/>
        <v>0</v>
      </c>
      <c r="J47" s="83"/>
      <c r="K47" s="98"/>
      <c r="L47" s="47"/>
    </row>
  </sheetData>
  <mergeCells count="8">
    <mergeCell ref="A20:A47"/>
    <mergeCell ref="B3:K3"/>
    <mergeCell ref="A7:A19"/>
    <mergeCell ref="N10:O11"/>
    <mergeCell ref="P10:P11"/>
    <mergeCell ref="N12:O14"/>
    <mergeCell ref="P12:P14"/>
    <mergeCell ref="N15:O1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7CF0A-12D9-4118-9B99-1186D3F9D7B5}">
  <dimension ref="A3:Q47"/>
  <sheetViews>
    <sheetView zoomScale="70" zoomScaleNormal="70" workbookViewId="0">
      <selection activeCell="I15" sqref="I15"/>
    </sheetView>
  </sheetViews>
  <sheetFormatPr defaultColWidth="9.140625" defaultRowHeight="15" x14ac:dyDescent="0.25"/>
  <cols>
    <col min="1" max="1" width="23.140625" style="1" customWidth="1"/>
    <col min="2" max="2" width="9.140625" style="1"/>
    <col min="3" max="3" width="37.7109375" style="1" customWidth="1"/>
    <col min="4" max="4" width="24.85546875" style="1" customWidth="1"/>
    <col min="5" max="5" width="19.5703125" style="1" customWidth="1"/>
    <col min="6" max="6" width="20.28515625" style="1" customWidth="1"/>
    <col min="7" max="7" width="19.5703125" style="1" customWidth="1"/>
    <col min="8" max="8" width="19.140625" style="1" customWidth="1"/>
    <col min="9" max="9" width="18" style="1" customWidth="1"/>
    <col min="10" max="10" width="20" style="1" customWidth="1"/>
    <col min="11" max="11" width="47.85546875" style="1" customWidth="1"/>
    <col min="12" max="12" width="11.5703125" style="1" customWidth="1"/>
    <col min="13" max="13" width="5" style="1" customWidth="1"/>
    <col min="14" max="14" width="31.425781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6" ht="27.75" x14ac:dyDescent="0.25">
      <c r="B3" s="165" t="s">
        <v>30</v>
      </c>
      <c r="C3" s="165"/>
      <c r="D3" s="165"/>
      <c r="E3" s="165"/>
      <c r="F3" s="165"/>
      <c r="G3" s="165"/>
      <c r="H3" s="165"/>
      <c r="I3" s="165"/>
      <c r="J3" s="165"/>
      <c r="K3" s="165"/>
    </row>
    <row r="4" spans="1:16" ht="30.75" x14ac:dyDescent="0.25">
      <c r="C4" s="59"/>
      <c r="D4" s="59"/>
      <c r="E4" s="59"/>
      <c r="G4" s="58" t="s">
        <v>174</v>
      </c>
      <c r="I4" s="59"/>
      <c r="J4" s="59"/>
      <c r="K4" s="59"/>
    </row>
    <row r="5" spans="1:16" ht="18" customHeight="1" x14ac:dyDescent="0.25"/>
    <row r="6" spans="1:16" ht="53.25" customHeight="1" x14ac:dyDescent="0.25">
      <c r="A6" s="57"/>
      <c r="B6" s="65" t="s">
        <v>0</v>
      </c>
      <c r="C6" s="65" t="s">
        <v>1</v>
      </c>
      <c r="D6" s="65" t="s">
        <v>47</v>
      </c>
      <c r="E6" s="65" t="s">
        <v>46</v>
      </c>
      <c r="F6" s="65" t="s">
        <v>4</v>
      </c>
      <c r="G6" s="66" t="s">
        <v>94</v>
      </c>
      <c r="H6" s="65" t="s">
        <v>86</v>
      </c>
      <c r="I6" s="65" t="s">
        <v>87</v>
      </c>
      <c r="J6" s="65" t="s">
        <v>6</v>
      </c>
      <c r="K6" s="65" t="s">
        <v>33</v>
      </c>
      <c r="L6" s="65" t="s">
        <v>48</v>
      </c>
      <c r="N6" s="49" t="s">
        <v>63</v>
      </c>
    </row>
    <row r="7" spans="1:16" ht="18" customHeight="1" x14ac:dyDescent="0.25">
      <c r="A7" s="171" t="s">
        <v>90</v>
      </c>
      <c r="B7" s="38">
        <v>1</v>
      </c>
      <c r="C7" s="39" t="s">
        <v>159</v>
      </c>
      <c r="D7" s="40"/>
      <c r="E7" s="60" t="s">
        <v>76</v>
      </c>
      <c r="F7" s="41">
        <v>2140000</v>
      </c>
      <c r="G7" s="41">
        <f>IF(F7="",0,IF(F7&gt;1800000,F7*O$19,F7*O$18))</f>
        <v>1070000</v>
      </c>
      <c r="H7" s="41">
        <v>1070000</v>
      </c>
      <c r="I7" s="41">
        <f>G7-H7</f>
        <v>0</v>
      </c>
      <c r="J7" s="50" t="s">
        <v>25</v>
      </c>
      <c r="K7" s="129" t="s">
        <v>172</v>
      </c>
      <c r="L7" s="46"/>
      <c r="N7" s="50" t="s">
        <v>25</v>
      </c>
    </row>
    <row r="8" spans="1:16" ht="16.5" customHeight="1" x14ac:dyDescent="0.25">
      <c r="A8" s="172"/>
      <c r="B8" s="38">
        <f>B7+1</f>
        <v>2</v>
      </c>
      <c r="C8" s="39" t="s">
        <v>101</v>
      </c>
      <c r="D8" s="45"/>
      <c r="E8" s="72" t="s">
        <v>65</v>
      </c>
      <c r="F8" s="41">
        <v>1000000</v>
      </c>
      <c r="G8" s="41">
        <f>IF(F8="",0,IF(F8&gt;=1800000,F8*O$19,F8*O$18))</f>
        <v>600000</v>
      </c>
      <c r="H8" s="41">
        <v>500000</v>
      </c>
      <c r="I8" s="41">
        <f t="shared" ref="I8:I18" si="0">G8-H8</f>
        <v>100000</v>
      </c>
      <c r="J8" s="50" t="s">
        <v>25</v>
      </c>
      <c r="K8" s="130"/>
      <c r="L8" s="46"/>
      <c r="N8" s="48" t="s">
        <v>64</v>
      </c>
    </row>
    <row r="9" spans="1:16" ht="16.5" customHeight="1" x14ac:dyDescent="0.25">
      <c r="A9" s="172"/>
      <c r="B9" s="38">
        <f t="shared" ref="B9:B18" si="1">B8+1</f>
        <v>3</v>
      </c>
      <c r="C9" s="39"/>
      <c r="D9" s="40"/>
      <c r="E9" s="71" t="s">
        <v>71</v>
      </c>
      <c r="F9" s="41"/>
      <c r="G9" s="41">
        <f t="shared" ref="G9:G18" si="2">IF(F9="",0,IF(F9&gt;1800000,F9*O$19,F9*O$18))</f>
        <v>0</v>
      </c>
      <c r="H9" s="44"/>
      <c r="I9" s="41">
        <f t="shared" si="0"/>
        <v>0</v>
      </c>
      <c r="J9" s="155"/>
      <c r="K9" s="154"/>
      <c r="L9" s="47"/>
    </row>
    <row r="10" spans="1:16" ht="16.5" customHeight="1" x14ac:dyDescent="0.25">
      <c r="A10" s="172"/>
      <c r="B10" s="38">
        <f>B9+1</f>
        <v>4</v>
      </c>
      <c r="C10" s="179" t="s">
        <v>92</v>
      </c>
      <c r="D10" s="143"/>
      <c r="E10" s="178" t="s">
        <v>76</v>
      </c>
      <c r="F10" s="126"/>
      <c r="G10" s="125">
        <f t="shared" si="2"/>
        <v>0</v>
      </c>
      <c r="H10" s="126"/>
      <c r="I10" s="125">
        <f t="shared" si="0"/>
        <v>0</v>
      </c>
      <c r="J10" s="141"/>
      <c r="K10" s="130" t="s">
        <v>171</v>
      </c>
      <c r="L10" s="46"/>
      <c r="N10" s="174" t="s">
        <v>28</v>
      </c>
      <c r="O10" s="174"/>
      <c r="P10" s="175">
        <f>SUM(F7:F1006)</f>
        <v>23391000</v>
      </c>
    </row>
    <row r="11" spans="1:16" ht="16.5" customHeight="1" x14ac:dyDescent="0.25">
      <c r="A11" s="172"/>
      <c r="B11" s="38">
        <f t="shared" si="1"/>
        <v>5</v>
      </c>
      <c r="C11" s="42"/>
      <c r="D11" s="43"/>
      <c r="E11" s="60" t="s">
        <v>76</v>
      </c>
      <c r="F11" s="44"/>
      <c r="G11" s="41">
        <f t="shared" si="2"/>
        <v>0</v>
      </c>
      <c r="H11" s="44"/>
      <c r="I11" s="41">
        <f t="shared" si="0"/>
        <v>0</v>
      </c>
      <c r="J11" s="155"/>
      <c r="K11" s="130"/>
      <c r="L11" s="46"/>
      <c r="N11" s="174"/>
      <c r="O11" s="174"/>
      <c r="P11" s="175"/>
    </row>
    <row r="12" spans="1:16" ht="16.5" customHeight="1" x14ac:dyDescent="0.25">
      <c r="A12" s="172"/>
      <c r="B12" s="38">
        <f t="shared" si="1"/>
        <v>6</v>
      </c>
      <c r="C12" s="42" t="s">
        <v>96</v>
      </c>
      <c r="D12" s="43"/>
      <c r="E12" s="60" t="s">
        <v>76</v>
      </c>
      <c r="F12" s="44"/>
      <c r="G12" s="41">
        <f t="shared" si="2"/>
        <v>0</v>
      </c>
      <c r="H12" s="44"/>
      <c r="I12" s="41">
        <f t="shared" si="0"/>
        <v>0</v>
      </c>
      <c r="J12" s="155"/>
      <c r="K12" s="130"/>
      <c r="L12" s="46"/>
      <c r="N12" s="176" t="s">
        <v>95</v>
      </c>
      <c r="O12" s="176"/>
      <c r="P12" s="175">
        <f>SUM(G7:G1006)</f>
        <v>11795500</v>
      </c>
    </row>
    <row r="13" spans="1:16" ht="22.5" customHeight="1" x14ac:dyDescent="0.25">
      <c r="A13" s="172"/>
      <c r="B13" s="38">
        <f t="shared" si="1"/>
        <v>7</v>
      </c>
      <c r="C13" s="42" t="s">
        <v>96</v>
      </c>
      <c r="D13" s="43"/>
      <c r="E13" s="60" t="s">
        <v>76</v>
      </c>
      <c r="F13" s="44"/>
      <c r="G13" s="41">
        <f t="shared" si="2"/>
        <v>0</v>
      </c>
      <c r="H13" s="44"/>
      <c r="I13" s="41">
        <f t="shared" si="0"/>
        <v>0</v>
      </c>
      <c r="J13" s="155"/>
      <c r="K13" s="130"/>
      <c r="L13" s="46"/>
      <c r="N13" s="176"/>
      <c r="O13" s="176"/>
      <c r="P13" s="175"/>
    </row>
    <row r="14" spans="1:16" ht="16.5" customHeight="1" x14ac:dyDescent="0.25">
      <c r="A14" s="172"/>
      <c r="B14" s="38">
        <f t="shared" si="1"/>
        <v>8</v>
      </c>
      <c r="C14" s="42" t="s">
        <v>96</v>
      </c>
      <c r="D14" s="43"/>
      <c r="E14" s="60" t="s">
        <v>76</v>
      </c>
      <c r="F14" s="44"/>
      <c r="G14" s="41">
        <f t="shared" si="2"/>
        <v>0</v>
      </c>
      <c r="H14" s="44"/>
      <c r="I14" s="41">
        <f t="shared" si="0"/>
        <v>0</v>
      </c>
      <c r="J14" s="62"/>
      <c r="K14" s="130"/>
      <c r="L14" s="46"/>
      <c r="N14" s="176"/>
      <c r="O14" s="176"/>
      <c r="P14" s="175"/>
    </row>
    <row r="15" spans="1:16" ht="22.5" customHeight="1" x14ac:dyDescent="0.3">
      <c r="A15" s="172"/>
      <c r="B15" s="38">
        <f>B14+1</f>
        <v>9</v>
      </c>
      <c r="C15" s="42" t="s">
        <v>96</v>
      </c>
      <c r="D15" s="43"/>
      <c r="E15" s="60" t="s">
        <v>76</v>
      </c>
      <c r="F15" s="44"/>
      <c r="G15" s="41">
        <f t="shared" si="2"/>
        <v>0</v>
      </c>
      <c r="H15" s="44"/>
      <c r="I15" s="41">
        <f t="shared" si="0"/>
        <v>0</v>
      </c>
      <c r="J15" s="62"/>
      <c r="K15" s="130"/>
      <c r="L15" s="46"/>
      <c r="N15" s="177" t="s">
        <v>88</v>
      </c>
      <c r="O15" s="177"/>
      <c r="P15" s="67">
        <f>SUM(H7:H1006)</f>
        <v>11695000</v>
      </c>
    </row>
    <row r="16" spans="1:16" ht="16.5" customHeight="1" x14ac:dyDescent="0.25">
      <c r="A16" s="172"/>
      <c r="B16" s="38">
        <f t="shared" si="1"/>
        <v>10</v>
      </c>
      <c r="C16" s="42" t="s">
        <v>96</v>
      </c>
      <c r="D16" s="43"/>
      <c r="E16" s="60"/>
      <c r="F16" s="44"/>
      <c r="G16" s="41">
        <f t="shared" si="2"/>
        <v>0</v>
      </c>
      <c r="H16" s="44"/>
      <c r="I16" s="41">
        <f t="shared" si="0"/>
        <v>0</v>
      </c>
      <c r="J16" s="62"/>
      <c r="K16" s="130"/>
      <c r="L16" s="46"/>
    </row>
    <row r="17" spans="1:17" ht="16.5" customHeight="1" x14ac:dyDescent="0.25">
      <c r="A17" s="172"/>
      <c r="B17" s="38">
        <f t="shared" si="1"/>
        <v>11</v>
      </c>
      <c r="C17" s="42" t="s">
        <v>96</v>
      </c>
      <c r="D17" s="43"/>
      <c r="E17" s="60"/>
      <c r="F17" s="44"/>
      <c r="G17" s="41">
        <f t="shared" si="2"/>
        <v>0</v>
      </c>
      <c r="H17" s="44"/>
      <c r="I17" s="41">
        <f t="shared" si="0"/>
        <v>0</v>
      </c>
      <c r="J17" s="62"/>
      <c r="K17" s="130"/>
      <c r="L17" s="46"/>
    </row>
    <row r="18" spans="1:17" ht="16.5" customHeight="1" x14ac:dyDescent="0.3">
      <c r="A18" s="172"/>
      <c r="B18" s="38">
        <f t="shared" si="1"/>
        <v>12</v>
      </c>
      <c r="C18" s="42" t="s">
        <v>96</v>
      </c>
      <c r="D18" s="43"/>
      <c r="E18" s="60"/>
      <c r="F18" s="44"/>
      <c r="G18" s="41">
        <f t="shared" si="2"/>
        <v>0</v>
      </c>
      <c r="H18" s="44"/>
      <c r="I18" s="41">
        <f t="shared" si="0"/>
        <v>0</v>
      </c>
      <c r="J18" s="62"/>
      <c r="K18" s="130"/>
      <c r="L18" s="46"/>
      <c r="N18" s="64" t="s">
        <v>60</v>
      </c>
      <c r="O18" s="68">
        <v>0.6</v>
      </c>
      <c r="Q18" s="70" t="s">
        <v>99</v>
      </c>
    </row>
    <row r="19" spans="1:17" ht="16.5" customHeight="1" x14ac:dyDescent="0.3">
      <c r="A19" s="173"/>
      <c r="B19" s="51"/>
      <c r="C19" s="52"/>
      <c r="D19" s="51"/>
      <c r="E19" s="53"/>
      <c r="F19" s="54"/>
      <c r="G19" s="54"/>
      <c r="H19" s="63"/>
      <c r="I19" s="61"/>
      <c r="J19" s="55"/>
      <c r="K19" s="131"/>
      <c r="L19" s="56"/>
      <c r="N19" s="64" t="s">
        <v>60</v>
      </c>
      <c r="O19" s="69">
        <v>0.5</v>
      </c>
      <c r="Q19" s="70" t="s">
        <v>100</v>
      </c>
    </row>
    <row r="20" spans="1:17" ht="16.5" customHeight="1" x14ac:dyDescent="0.25">
      <c r="A20" s="169" t="s">
        <v>89</v>
      </c>
      <c r="B20" s="38">
        <v>1</v>
      </c>
      <c r="C20" s="137" t="s">
        <v>124</v>
      </c>
      <c r="D20" s="138"/>
      <c r="E20" s="138" t="s">
        <v>13</v>
      </c>
      <c r="F20" s="139"/>
      <c r="G20" s="139">
        <f t="shared" ref="G20:G47" si="3">IF(F20="",0,IF(F20&gt;=1700000,F20*O$19,F20*O$18))</f>
        <v>0</v>
      </c>
      <c r="H20" s="139"/>
      <c r="I20" s="139">
        <f t="shared" ref="I20:I47" si="4">G20-H20</f>
        <v>0</v>
      </c>
      <c r="J20" s="141"/>
      <c r="K20" s="132"/>
      <c r="L20" s="76"/>
    </row>
    <row r="21" spans="1:17" ht="16.5" customHeight="1" x14ac:dyDescent="0.25">
      <c r="A21" s="170"/>
      <c r="B21" s="38">
        <f>B20+1</f>
        <v>2</v>
      </c>
      <c r="C21" s="77"/>
      <c r="D21" s="78"/>
      <c r="E21" s="78" t="s">
        <v>105</v>
      </c>
      <c r="F21" s="79"/>
      <c r="G21" s="75">
        <f t="shared" si="3"/>
        <v>0</v>
      </c>
      <c r="H21" s="79"/>
      <c r="I21" s="75">
        <f t="shared" si="4"/>
        <v>0</v>
      </c>
      <c r="J21" s="49"/>
      <c r="K21" s="132"/>
      <c r="L21" s="80"/>
    </row>
    <row r="22" spans="1:17" ht="16.5" customHeight="1" x14ac:dyDescent="0.3">
      <c r="A22" s="170"/>
      <c r="B22" s="38">
        <f t="shared" ref="B22:B47" si="5">B21+1</f>
        <v>3</v>
      </c>
      <c r="C22" s="73"/>
      <c r="D22" s="81"/>
      <c r="E22" s="81" t="s">
        <v>21</v>
      </c>
      <c r="F22" s="75"/>
      <c r="G22" s="75">
        <f t="shared" si="3"/>
        <v>0</v>
      </c>
      <c r="H22" s="79"/>
      <c r="I22" s="75">
        <f t="shared" si="4"/>
        <v>0</v>
      </c>
      <c r="J22" s="49"/>
      <c r="K22" s="164"/>
      <c r="L22" s="82"/>
    </row>
    <row r="23" spans="1:17" ht="16.5" customHeight="1" x14ac:dyDescent="0.25">
      <c r="A23" s="170"/>
      <c r="B23" s="38">
        <f t="shared" si="5"/>
        <v>4</v>
      </c>
      <c r="C23" s="73"/>
      <c r="D23" s="81"/>
      <c r="E23" s="81" t="s">
        <v>26</v>
      </c>
      <c r="F23" s="75"/>
      <c r="G23" s="75">
        <f t="shared" si="3"/>
        <v>0</v>
      </c>
      <c r="H23" s="75"/>
      <c r="I23" s="75">
        <f t="shared" si="4"/>
        <v>0</v>
      </c>
      <c r="J23" s="49"/>
      <c r="K23" s="132"/>
      <c r="L23" s="76"/>
    </row>
    <row r="24" spans="1:17" ht="16.5" customHeight="1" x14ac:dyDescent="0.25">
      <c r="A24" s="170"/>
      <c r="B24" s="38">
        <f t="shared" si="5"/>
        <v>5</v>
      </c>
      <c r="C24" s="73"/>
      <c r="D24" s="81"/>
      <c r="E24" s="81" t="s">
        <v>53</v>
      </c>
      <c r="F24" s="75"/>
      <c r="G24" s="75">
        <f t="shared" si="3"/>
        <v>0</v>
      </c>
      <c r="H24" s="79"/>
      <c r="I24" s="75">
        <f t="shared" si="4"/>
        <v>0</v>
      </c>
      <c r="J24" s="49"/>
      <c r="K24" s="132"/>
      <c r="L24" s="82"/>
    </row>
    <row r="25" spans="1:17" ht="16.5" customHeight="1" x14ac:dyDescent="0.25">
      <c r="A25" s="170"/>
      <c r="B25" s="38">
        <f t="shared" si="5"/>
        <v>6</v>
      </c>
      <c r="C25" s="73" t="s">
        <v>128</v>
      </c>
      <c r="D25" s="76"/>
      <c r="E25" s="76" t="s">
        <v>104</v>
      </c>
      <c r="F25" s="75">
        <v>2070000</v>
      </c>
      <c r="G25" s="75">
        <f t="shared" si="3"/>
        <v>1035000</v>
      </c>
      <c r="H25" s="79">
        <v>1035000</v>
      </c>
      <c r="I25" s="75">
        <f t="shared" si="4"/>
        <v>0</v>
      </c>
      <c r="J25" s="49" t="s">
        <v>63</v>
      </c>
      <c r="K25" s="132"/>
      <c r="L25" s="76"/>
    </row>
    <row r="26" spans="1:17" ht="22.15" customHeight="1" x14ac:dyDescent="0.25">
      <c r="A26" s="170"/>
      <c r="B26" s="38">
        <f t="shared" si="5"/>
        <v>7</v>
      </c>
      <c r="C26" s="77" t="s">
        <v>75</v>
      </c>
      <c r="D26" s="80"/>
      <c r="E26" s="76" t="s">
        <v>70</v>
      </c>
      <c r="F26" s="75">
        <v>8646000</v>
      </c>
      <c r="G26" s="75">
        <f t="shared" si="3"/>
        <v>4323000</v>
      </c>
      <c r="H26" s="75">
        <v>4323000</v>
      </c>
      <c r="I26" s="75">
        <f t="shared" si="4"/>
        <v>0</v>
      </c>
      <c r="J26" s="49" t="s">
        <v>63</v>
      </c>
      <c r="K26" s="132" t="s">
        <v>173</v>
      </c>
      <c r="L26" s="76"/>
    </row>
    <row r="27" spans="1:17" ht="20.45" customHeight="1" x14ac:dyDescent="0.3">
      <c r="A27" s="170"/>
      <c r="B27" s="38">
        <f t="shared" si="5"/>
        <v>8</v>
      </c>
      <c r="C27" s="77"/>
      <c r="D27" s="87"/>
      <c r="E27" s="86" t="s">
        <v>76</v>
      </c>
      <c r="F27" s="79"/>
      <c r="G27" s="75">
        <f t="shared" si="3"/>
        <v>0</v>
      </c>
      <c r="H27" s="75"/>
      <c r="I27" s="75">
        <f t="shared" si="4"/>
        <v>0</v>
      </c>
      <c r="J27" s="49"/>
      <c r="K27" s="132"/>
      <c r="L27" s="76"/>
    </row>
    <row r="28" spans="1:17" ht="16.5" customHeight="1" x14ac:dyDescent="0.25">
      <c r="A28" s="170"/>
      <c r="B28" s="38">
        <f t="shared" si="5"/>
        <v>9</v>
      </c>
      <c r="C28" s="88" t="s">
        <v>129</v>
      </c>
      <c r="D28" s="74"/>
      <c r="E28" s="81" t="s">
        <v>24</v>
      </c>
      <c r="F28" s="79">
        <v>2750000</v>
      </c>
      <c r="G28" s="75">
        <f t="shared" si="3"/>
        <v>1375000</v>
      </c>
      <c r="H28" s="79">
        <v>1375000</v>
      </c>
      <c r="I28" s="75">
        <f t="shared" si="4"/>
        <v>0</v>
      </c>
      <c r="J28" s="49" t="s">
        <v>63</v>
      </c>
      <c r="K28" s="132"/>
      <c r="L28" s="76"/>
    </row>
    <row r="29" spans="1:17" ht="16.5" customHeight="1" x14ac:dyDescent="0.3">
      <c r="A29" s="170"/>
      <c r="B29" s="38">
        <f t="shared" si="5"/>
        <v>10</v>
      </c>
      <c r="C29" s="88" t="s">
        <v>97</v>
      </c>
      <c r="D29" s="81"/>
      <c r="E29" s="76" t="s">
        <v>106</v>
      </c>
      <c r="F29" s="118">
        <v>2950000</v>
      </c>
      <c r="G29" s="75">
        <f t="shared" si="3"/>
        <v>1475000</v>
      </c>
      <c r="H29" s="118">
        <v>1475000</v>
      </c>
      <c r="I29" s="75">
        <f t="shared" si="4"/>
        <v>0</v>
      </c>
      <c r="J29" s="49" t="s">
        <v>63</v>
      </c>
      <c r="K29" s="132"/>
      <c r="L29" s="93"/>
    </row>
    <row r="30" spans="1:17" ht="16.5" customHeight="1" x14ac:dyDescent="0.25">
      <c r="A30" s="170"/>
      <c r="B30" s="38">
        <f t="shared" si="5"/>
        <v>11</v>
      </c>
      <c r="C30" s="88" t="s">
        <v>108</v>
      </c>
      <c r="D30" s="78"/>
      <c r="E30" s="81" t="s">
        <v>52</v>
      </c>
      <c r="F30" s="89"/>
      <c r="G30" s="75">
        <f t="shared" si="3"/>
        <v>0</v>
      </c>
      <c r="H30" s="119"/>
      <c r="I30" s="75">
        <f t="shared" si="4"/>
        <v>0</v>
      </c>
      <c r="J30" s="49"/>
      <c r="K30" s="132"/>
      <c r="L30" s="80"/>
    </row>
    <row r="31" spans="1:17" ht="15" customHeight="1" x14ac:dyDescent="0.3">
      <c r="A31" s="170"/>
      <c r="B31" s="38">
        <f t="shared" si="5"/>
        <v>12</v>
      </c>
      <c r="C31" s="77" t="s">
        <v>103</v>
      </c>
      <c r="D31" s="74"/>
      <c r="E31" s="74" t="s">
        <v>16</v>
      </c>
      <c r="F31" s="89">
        <v>1790000</v>
      </c>
      <c r="G31" s="75">
        <f t="shared" si="3"/>
        <v>895000</v>
      </c>
      <c r="H31" s="89">
        <v>895000</v>
      </c>
      <c r="I31" s="75">
        <f t="shared" si="4"/>
        <v>0</v>
      </c>
      <c r="J31" s="49" t="s">
        <v>63</v>
      </c>
      <c r="K31" s="132">
        <v>1790000</v>
      </c>
      <c r="L31" s="93"/>
    </row>
    <row r="32" spans="1:17" ht="15" customHeight="1" x14ac:dyDescent="0.3">
      <c r="A32" s="170"/>
      <c r="B32" s="38">
        <f t="shared" si="5"/>
        <v>13</v>
      </c>
      <c r="C32" s="156" t="s">
        <v>110</v>
      </c>
      <c r="D32" s="157"/>
      <c r="E32" s="140" t="s">
        <v>98</v>
      </c>
      <c r="F32" s="139"/>
      <c r="G32" s="139">
        <f t="shared" si="3"/>
        <v>0</v>
      </c>
      <c r="H32" s="139"/>
      <c r="I32" s="139">
        <f t="shared" si="4"/>
        <v>0</v>
      </c>
      <c r="J32" s="141"/>
      <c r="K32" s="132"/>
      <c r="L32" s="93"/>
    </row>
    <row r="33" spans="1:12" ht="18.75" customHeight="1" x14ac:dyDescent="0.3">
      <c r="A33" s="170"/>
      <c r="B33" s="38">
        <f t="shared" si="5"/>
        <v>14</v>
      </c>
      <c r="C33" s="87"/>
      <c r="D33" s="87"/>
      <c r="E33" s="81" t="s">
        <v>35</v>
      </c>
      <c r="F33" s="90"/>
      <c r="G33" s="75">
        <f t="shared" si="3"/>
        <v>0</v>
      </c>
      <c r="H33" s="89"/>
      <c r="I33" s="75">
        <f t="shared" si="4"/>
        <v>0</v>
      </c>
      <c r="J33" s="49"/>
      <c r="K33" s="89"/>
      <c r="L33" s="76"/>
    </row>
    <row r="34" spans="1:12" ht="18.75" x14ac:dyDescent="0.3">
      <c r="A34" s="170"/>
      <c r="B34" s="38">
        <f t="shared" si="5"/>
        <v>15</v>
      </c>
      <c r="C34" s="87"/>
      <c r="D34" s="120"/>
      <c r="E34" s="81" t="s">
        <v>15</v>
      </c>
      <c r="F34" s="79"/>
      <c r="G34" s="75">
        <f t="shared" si="3"/>
        <v>0</v>
      </c>
      <c r="H34" s="79"/>
      <c r="I34" s="75">
        <f t="shared" si="4"/>
        <v>0</v>
      </c>
      <c r="J34" s="49"/>
      <c r="K34" s="132"/>
      <c r="L34" s="76"/>
    </row>
    <row r="35" spans="1:12" ht="18.75" x14ac:dyDescent="0.3">
      <c r="A35" s="170"/>
      <c r="B35" s="38">
        <f t="shared" si="5"/>
        <v>16</v>
      </c>
      <c r="C35" s="87"/>
      <c r="D35" s="120"/>
      <c r="E35" s="86" t="s">
        <v>76</v>
      </c>
      <c r="F35" s="118"/>
      <c r="G35" s="75">
        <f t="shared" si="3"/>
        <v>0</v>
      </c>
      <c r="H35" s="118"/>
      <c r="I35" s="75">
        <f t="shared" si="4"/>
        <v>0</v>
      </c>
      <c r="J35" s="49"/>
      <c r="K35" s="132"/>
      <c r="L35" s="80"/>
    </row>
    <row r="36" spans="1:12" ht="37.5" x14ac:dyDescent="0.3">
      <c r="A36" s="170"/>
      <c r="B36" s="38">
        <f t="shared" si="5"/>
        <v>17</v>
      </c>
      <c r="C36" s="157" t="s">
        <v>130</v>
      </c>
      <c r="D36" s="180"/>
      <c r="E36" s="144" t="s">
        <v>76</v>
      </c>
      <c r="F36" s="181"/>
      <c r="G36" s="139">
        <f t="shared" si="3"/>
        <v>0</v>
      </c>
      <c r="H36" s="181"/>
      <c r="I36" s="139">
        <f t="shared" si="4"/>
        <v>0</v>
      </c>
      <c r="J36" s="141"/>
      <c r="K36" s="182" t="s">
        <v>175</v>
      </c>
      <c r="L36" s="46"/>
    </row>
    <row r="37" spans="1:12" ht="18.75" x14ac:dyDescent="0.3">
      <c r="A37" s="170"/>
      <c r="B37" s="38">
        <f t="shared" si="5"/>
        <v>18</v>
      </c>
      <c r="C37" s="99"/>
      <c r="D37" s="43"/>
      <c r="E37" s="86" t="s">
        <v>76</v>
      </c>
      <c r="F37" s="90"/>
      <c r="G37" s="75">
        <f t="shared" si="3"/>
        <v>0</v>
      </c>
      <c r="H37" s="89"/>
      <c r="I37" s="75">
        <f t="shared" si="4"/>
        <v>0</v>
      </c>
      <c r="J37" s="49"/>
      <c r="K37" s="98"/>
      <c r="L37" s="47"/>
    </row>
    <row r="38" spans="1:12" ht="18.75" x14ac:dyDescent="0.3">
      <c r="A38" s="170"/>
      <c r="B38" s="38">
        <f t="shared" si="5"/>
        <v>19</v>
      </c>
      <c r="C38" s="99" t="s">
        <v>134</v>
      </c>
      <c r="D38" s="43"/>
      <c r="E38" s="86" t="s">
        <v>76</v>
      </c>
      <c r="F38" s="90">
        <v>2045000</v>
      </c>
      <c r="G38" s="75">
        <f t="shared" si="3"/>
        <v>1022500</v>
      </c>
      <c r="H38" s="89">
        <v>1022000</v>
      </c>
      <c r="I38" s="75">
        <f t="shared" si="4"/>
        <v>500</v>
      </c>
      <c r="J38" s="49" t="s">
        <v>63</v>
      </c>
      <c r="K38" s="98"/>
      <c r="L38" s="47"/>
    </row>
    <row r="39" spans="1:12" ht="18.75" x14ac:dyDescent="0.3">
      <c r="A39" s="170"/>
      <c r="B39" s="38">
        <f t="shared" si="5"/>
        <v>20</v>
      </c>
      <c r="C39" s="99"/>
      <c r="D39" s="43"/>
      <c r="E39" s="86" t="s">
        <v>76</v>
      </c>
      <c r="F39" s="90"/>
      <c r="G39" s="75">
        <f t="shared" si="3"/>
        <v>0</v>
      </c>
      <c r="H39" s="89"/>
      <c r="I39" s="75">
        <f t="shared" si="4"/>
        <v>0</v>
      </c>
      <c r="J39" s="83"/>
      <c r="K39" s="98"/>
      <c r="L39" s="47"/>
    </row>
    <row r="40" spans="1:12" ht="18.75" x14ac:dyDescent="0.3">
      <c r="A40" s="170"/>
      <c r="B40" s="38">
        <f t="shared" si="5"/>
        <v>21</v>
      </c>
      <c r="C40" s="99"/>
      <c r="D40" s="43"/>
      <c r="E40" s="60" t="s">
        <v>76</v>
      </c>
      <c r="F40" s="90"/>
      <c r="G40" s="75">
        <f t="shared" si="3"/>
        <v>0</v>
      </c>
      <c r="H40" s="89"/>
      <c r="I40" s="75">
        <f t="shared" si="4"/>
        <v>0</v>
      </c>
      <c r="J40" s="83"/>
      <c r="K40" s="98"/>
      <c r="L40" s="47"/>
    </row>
    <row r="41" spans="1:12" ht="18.75" x14ac:dyDescent="0.3">
      <c r="A41" s="170"/>
      <c r="B41" s="38">
        <f t="shared" si="5"/>
        <v>22</v>
      </c>
      <c r="C41" s="99"/>
      <c r="D41" s="43"/>
      <c r="E41" s="60" t="s">
        <v>76</v>
      </c>
      <c r="F41" s="100"/>
      <c r="G41" s="75">
        <f t="shared" si="3"/>
        <v>0</v>
      </c>
      <c r="H41" s="89"/>
      <c r="I41" s="75">
        <f t="shared" si="4"/>
        <v>0</v>
      </c>
      <c r="J41" s="83"/>
      <c r="K41" s="98"/>
      <c r="L41" s="47"/>
    </row>
    <row r="42" spans="1:12" ht="18.75" x14ac:dyDescent="0.3">
      <c r="A42" s="170"/>
      <c r="B42" s="38">
        <f t="shared" si="5"/>
        <v>23</v>
      </c>
      <c r="C42" s="99"/>
      <c r="D42" s="43"/>
      <c r="E42" s="60" t="s">
        <v>76</v>
      </c>
      <c r="F42" s="100"/>
      <c r="G42" s="75">
        <f t="shared" si="3"/>
        <v>0</v>
      </c>
      <c r="H42" s="89"/>
      <c r="I42" s="75">
        <f t="shared" si="4"/>
        <v>0</v>
      </c>
      <c r="J42" s="83"/>
      <c r="K42" s="98"/>
      <c r="L42" s="47"/>
    </row>
    <row r="43" spans="1:12" ht="18.75" x14ac:dyDescent="0.3">
      <c r="A43" s="170"/>
      <c r="B43" s="38">
        <f t="shared" si="5"/>
        <v>24</v>
      </c>
      <c r="C43" s="99"/>
      <c r="D43" s="43"/>
      <c r="E43" s="43"/>
      <c r="F43" s="100"/>
      <c r="G43" s="75">
        <f t="shared" si="3"/>
        <v>0</v>
      </c>
      <c r="H43" s="89"/>
      <c r="I43" s="75">
        <f t="shared" si="4"/>
        <v>0</v>
      </c>
      <c r="J43" s="83"/>
      <c r="K43" s="98"/>
      <c r="L43" s="47"/>
    </row>
    <row r="44" spans="1:12" ht="18.75" x14ac:dyDescent="0.3">
      <c r="A44" s="170"/>
      <c r="B44" s="38">
        <f t="shared" si="5"/>
        <v>25</v>
      </c>
      <c r="C44" s="99"/>
      <c r="D44" s="43"/>
      <c r="E44" s="43"/>
      <c r="F44" s="100"/>
      <c r="G44" s="75">
        <f t="shared" si="3"/>
        <v>0</v>
      </c>
      <c r="H44" s="89"/>
      <c r="I44" s="75">
        <f t="shared" si="4"/>
        <v>0</v>
      </c>
      <c r="J44" s="83"/>
      <c r="K44" s="98"/>
      <c r="L44" s="47"/>
    </row>
    <row r="45" spans="1:12" ht="18.75" x14ac:dyDescent="0.3">
      <c r="A45" s="170"/>
      <c r="B45" s="38">
        <f t="shared" si="5"/>
        <v>26</v>
      </c>
      <c r="C45" s="99"/>
      <c r="D45" s="43"/>
      <c r="E45" s="43"/>
      <c r="F45" s="100"/>
      <c r="G45" s="75">
        <f t="shared" si="3"/>
        <v>0</v>
      </c>
      <c r="H45" s="89"/>
      <c r="I45" s="75">
        <f t="shared" si="4"/>
        <v>0</v>
      </c>
      <c r="J45" s="83"/>
      <c r="K45" s="98"/>
      <c r="L45" s="47"/>
    </row>
    <row r="46" spans="1:12" ht="18.75" x14ac:dyDescent="0.3">
      <c r="A46" s="170"/>
      <c r="B46" s="38">
        <f t="shared" si="5"/>
        <v>27</v>
      </c>
      <c r="C46" s="99"/>
      <c r="D46" s="43"/>
      <c r="E46" s="43"/>
      <c r="F46" s="100"/>
      <c r="G46" s="75">
        <f t="shared" si="3"/>
        <v>0</v>
      </c>
      <c r="H46" s="89"/>
      <c r="I46" s="75">
        <f t="shared" si="4"/>
        <v>0</v>
      </c>
      <c r="J46" s="83"/>
      <c r="K46" s="98"/>
      <c r="L46" s="47"/>
    </row>
    <row r="47" spans="1:12" ht="18.75" x14ac:dyDescent="0.3">
      <c r="A47" s="170"/>
      <c r="B47" s="38">
        <f t="shared" si="5"/>
        <v>28</v>
      </c>
      <c r="C47" s="99"/>
      <c r="D47" s="43"/>
      <c r="E47" s="43"/>
      <c r="F47" s="100"/>
      <c r="G47" s="75">
        <f t="shared" si="3"/>
        <v>0</v>
      </c>
      <c r="H47" s="89"/>
      <c r="I47" s="75">
        <f t="shared" si="4"/>
        <v>0</v>
      </c>
      <c r="J47" s="83"/>
      <c r="K47" s="98"/>
      <c r="L47" s="47"/>
    </row>
  </sheetData>
  <mergeCells count="8">
    <mergeCell ref="A20:A47"/>
    <mergeCell ref="B3:K3"/>
    <mergeCell ref="A7:A19"/>
    <mergeCell ref="N10:O11"/>
    <mergeCell ref="P10:P11"/>
    <mergeCell ref="N12:O14"/>
    <mergeCell ref="P12:P14"/>
    <mergeCell ref="N15:O1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C60D-576A-4818-AE7C-59570D5C3B4B}">
  <dimension ref="A3:Q47"/>
  <sheetViews>
    <sheetView tabSelected="1" zoomScale="70" zoomScaleNormal="70" workbookViewId="0">
      <selection activeCell="S29" sqref="S29"/>
    </sheetView>
  </sheetViews>
  <sheetFormatPr defaultColWidth="9.140625" defaultRowHeight="15" x14ac:dyDescent="0.25"/>
  <cols>
    <col min="1" max="1" width="23.140625" style="1" customWidth="1"/>
    <col min="2" max="2" width="9.140625" style="1"/>
    <col min="3" max="3" width="37.7109375" style="1" customWidth="1"/>
    <col min="4" max="4" width="24.85546875" style="1" customWidth="1"/>
    <col min="5" max="5" width="19.5703125" style="1" customWidth="1"/>
    <col min="6" max="6" width="20.28515625" style="1" customWidth="1"/>
    <col min="7" max="7" width="19.5703125" style="1" customWidth="1"/>
    <col min="8" max="8" width="19.140625" style="1" customWidth="1"/>
    <col min="9" max="9" width="18" style="1" customWidth="1"/>
    <col min="10" max="10" width="20" style="1" customWidth="1"/>
    <col min="11" max="11" width="47.85546875" style="1" customWidth="1"/>
    <col min="12" max="12" width="11.5703125" style="1" customWidth="1"/>
    <col min="13" max="13" width="5" style="1" customWidth="1"/>
    <col min="14" max="14" width="31.42578125" style="1" customWidth="1"/>
    <col min="15" max="15" width="9.140625" style="1"/>
    <col min="16" max="16" width="18.5703125" style="1" customWidth="1"/>
    <col min="17" max="17" width="22.5703125" style="1" customWidth="1"/>
    <col min="18" max="18" width="21.28515625" style="1" customWidth="1"/>
    <col min="19" max="16384" width="9.140625" style="1"/>
  </cols>
  <sheetData>
    <row r="3" spans="1:16" ht="27.75" x14ac:dyDescent="0.25">
      <c r="B3" s="165" t="s">
        <v>30</v>
      </c>
      <c r="C3" s="165"/>
      <c r="D3" s="165"/>
      <c r="E3" s="165"/>
      <c r="F3" s="165"/>
      <c r="G3" s="165"/>
      <c r="H3" s="165"/>
      <c r="I3" s="165"/>
      <c r="J3" s="165"/>
      <c r="K3" s="165"/>
    </row>
    <row r="4" spans="1:16" ht="30.75" x14ac:dyDescent="0.25">
      <c r="C4" s="59"/>
      <c r="D4" s="59"/>
      <c r="E4" s="59"/>
      <c r="G4" s="58" t="s">
        <v>176</v>
      </c>
      <c r="I4" s="59"/>
      <c r="J4" s="59"/>
      <c r="K4" s="59"/>
    </row>
    <row r="5" spans="1:16" ht="18" customHeight="1" x14ac:dyDescent="0.25"/>
    <row r="6" spans="1:16" ht="53.25" customHeight="1" x14ac:dyDescent="0.25">
      <c r="A6" s="57"/>
      <c r="B6" s="65" t="s">
        <v>0</v>
      </c>
      <c r="C6" s="65" t="s">
        <v>1</v>
      </c>
      <c r="D6" s="65" t="s">
        <v>47</v>
      </c>
      <c r="E6" s="65" t="s">
        <v>46</v>
      </c>
      <c r="F6" s="65" t="s">
        <v>4</v>
      </c>
      <c r="G6" s="66" t="s">
        <v>94</v>
      </c>
      <c r="H6" s="65" t="s">
        <v>86</v>
      </c>
      <c r="I6" s="65" t="s">
        <v>87</v>
      </c>
      <c r="J6" s="65" t="s">
        <v>6</v>
      </c>
      <c r="K6" s="65" t="s">
        <v>33</v>
      </c>
      <c r="L6" s="65" t="s">
        <v>48</v>
      </c>
      <c r="N6" s="49" t="s">
        <v>63</v>
      </c>
    </row>
    <row r="7" spans="1:16" ht="18" customHeight="1" x14ac:dyDescent="0.25">
      <c r="A7" s="171" t="s">
        <v>90</v>
      </c>
      <c r="B7" s="38">
        <v>1</v>
      </c>
      <c r="C7" s="39" t="s">
        <v>159</v>
      </c>
      <c r="D7" s="40"/>
      <c r="E7" s="60" t="s">
        <v>76</v>
      </c>
      <c r="F7" s="41"/>
      <c r="G7" s="41">
        <f>IF(F7="",0,IF(F7&gt;1800000,F7*O$19,F7*O$18))</f>
        <v>0</v>
      </c>
      <c r="H7" s="41"/>
      <c r="I7" s="41">
        <f>G7-H7</f>
        <v>0</v>
      </c>
      <c r="J7" s="128"/>
      <c r="K7" s="129"/>
      <c r="L7" s="46"/>
      <c r="N7" s="50" t="s">
        <v>25</v>
      </c>
    </row>
    <row r="8" spans="1:16" ht="16.5" customHeight="1" x14ac:dyDescent="0.25">
      <c r="A8" s="172"/>
      <c r="B8" s="38">
        <f>B7+1</f>
        <v>2</v>
      </c>
      <c r="C8" s="39" t="s">
        <v>101</v>
      </c>
      <c r="D8" s="45"/>
      <c r="E8" s="72" t="s">
        <v>65</v>
      </c>
      <c r="F8" s="41"/>
      <c r="G8" s="41">
        <f>IF(F8="",0,IF(F8&gt;=1800000,F8*O$19,F8*O$18))</f>
        <v>0</v>
      </c>
      <c r="H8" s="41"/>
      <c r="I8" s="41">
        <f t="shared" ref="I8:I18" si="0">G8-H8</f>
        <v>0</v>
      </c>
      <c r="J8" s="128"/>
      <c r="K8" s="130"/>
      <c r="L8" s="46"/>
      <c r="N8" s="48" t="s">
        <v>64</v>
      </c>
    </row>
    <row r="9" spans="1:16" ht="16.5" customHeight="1" x14ac:dyDescent="0.25">
      <c r="A9" s="172"/>
      <c r="B9" s="38">
        <f t="shared" ref="B9:B18" si="1">B8+1</f>
        <v>3</v>
      </c>
      <c r="C9" s="39"/>
      <c r="D9" s="40"/>
      <c r="E9" s="71" t="s">
        <v>71</v>
      </c>
      <c r="F9" s="41"/>
      <c r="G9" s="41">
        <f t="shared" ref="G9:G18" si="2">IF(F9="",0,IF(F9&gt;1800000,F9*O$19,F9*O$18))</f>
        <v>0</v>
      </c>
      <c r="H9" s="44"/>
      <c r="I9" s="41">
        <f t="shared" si="0"/>
        <v>0</v>
      </c>
      <c r="J9" s="155"/>
      <c r="K9" s="154"/>
      <c r="L9" s="47"/>
    </row>
    <row r="10" spans="1:16" ht="16.5" customHeight="1" x14ac:dyDescent="0.25">
      <c r="A10" s="172"/>
      <c r="B10" s="38">
        <f>B9+1</f>
        <v>4</v>
      </c>
      <c r="C10" s="42" t="s">
        <v>92</v>
      </c>
      <c r="D10" s="43"/>
      <c r="E10" s="60" t="s">
        <v>76</v>
      </c>
      <c r="F10" s="41">
        <v>550000</v>
      </c>
      <c r="G10" s="41">
        <f t="shared" si="2"/>
        <v>330000</v>
      </c>
      <c r="H10" s="44">
        <v>330000</v>
      </c>
      <c r="I10" s="41">
        <f t="shared" si="0"/>
        <v>0</v>
      </c>
      <c r="J10" s="50" t="s">
        <v>25</v>
      </c>
      <c r="K10" s="130"/>
      <c r="L10" s="46"/>
      <c r="N10" s="174" t="s">
        <v>28</v>
      </c>
      <c r="O10" s="174"/>
      <c r="P10" s="175">
        <f>SUM(F7:F1006)</f>
        <v>550000</v>
      </c>
    </row>
    <row r="11" spans="1:16" ht="16.5" customHeight="1" x14ac:dyDescent="0.25">
      <c r="A11" s="172"/>
      <c r="B11" s="38">
        <f t="shared" si="1"/>
        <v>5</v>
      </c>
      <c r="C11" s="42"/>
      <c r="D11" s="43"/>
      <c r="E11" s="60" t="s">
        <v>76</v>
      </c>
      <c r="F11" s="44"/>
      <c r="G11" s="41">
        <f t="shared" si="2"/>
        <v>0</v>
      </c>
      <c r="H11" s="44"/>
      <c r="I11" s="41">
        <f t="shared" si="0"/>
        <v>0</v>
      </c>
      <c r="J11" s="155"/>
      <c r="K11" s="130"/>
      <c r="L11" s="46"/>
      <c r="N11" s="174"/>
      <c r="O11" s="174"/>
      <c r="P11" s="175"/>
    </row>
    <row r="12" spans="1:16" ht="16.5" customHeight="1" x14ac:dyDescent="0.25">
      <c r="A12" s="172"/>
      <c r="B12" s="38">
        <f t="shared" si="1"/>
        <v>6</v>
      </c>
      <c r="C12" s="42" t="s">
        <v>96</v>
      </c>
      <c r="D12" s="43"/>
      <c r="E12" s="60" t="s">
        <v>76</v>
      </c>
      <c r="F12" s="44"/>
      <c r="G12" s="41">
        <f t="shared" si="2"/>
        <v>0</v>
      </c>
      <c r="H12" s="44"/>
      <c r="I12" s="41">
        <f t="shared" si="0"/>
        <v>0</v>
      </c>
      <c r="J12" s="155"/>
      <c r="K12" s="130"/>
      <c r="L12" s="46"/>
      <c r="N12" s="176" t="s">
        <v>95</v>
      </c>
      <c r="O12" s="176"/>
      <c r="P12" s="175">
        <f>SUM(G7:G1006)</f>
        <v>330000</v>
      </c>
    </row>
    <row r="13" spans="1:16" ht="22.5" customHeight="1" x14ac:dyDescent="0.25">
      <c r="A13" s="172"/>
      <c r="B13" s="38">
        <f t="shared" si="1"/>
        <v>7</v>
      </c>
      <c r="C13" s="42" t="s">
        <v>96</v>
      </c>
      <c r="D13" s="43"/>
      <c r="E13" s="60" t="s">
        <v>76</v>
      </c>
      <c r="F13" s="44"/>
      <c r="G13" s="41">
        <f t="shared" si="2"/>
        <v>0</v>
      </c>
      <c r="H13" s="44"/>
      <c r="I13" s="41">
        <f t="shared" si="0"/>
        <v>0</v>
      </c>
      <c r="J13" s="155"/>
      <c r="K13" s="130"/>
      <c r="L13" s="46"/>
      <c r="N13" s="176"/>
      <c r="O13" s="176"/>
      <c r="P13" s="175"/>
    </row>
    <row r="14" spans="1:16" ht="16.5" customHeight="1" x14ac:dyDescent="0.25">
      <c r="A14" s="172"/>
      <c r="B14" s="38">
        <f t="shared" si="1"/>
        <v>8</v>
      </c>
      <c r="C14" s="42" t="s">
        <v>96</v>
      </c>
      <c r="D14" s="43"/>
      <c r="E14" s="60" t="s">
        <v>76</v>
      </c>
      <c r="F14" s="44"/>
      <c r="G14" s="41">
        <f t="shared" si="2"/>
        <v>0</v>
      </c>
      <c r="H14" s="44"/>
      <c r="I14" s="41">
        <f t="shared" si="0"/>
        <v>0</v>
      </c>
      <c r="J14" s="62"/>
      <c r="K14" s="130"/>
      <c r="L14" s="46"/>
      <c r="N14" s="176"/>
      <c r="O14" s="176"/>
      <c r="P14" s="175"/>
    </row>
    <row r="15" spans="1:16" ht="22.5" customHeight="1" x14ac:dyDescent="0.3">
      <c r="A15" s="172"/>
      <c r="B15" s="38">
        <f>B14+1</f>
        <v>9</v>
      </c>
      <c r="C15" s="42" t="s">
        <v>96</v>
      </c>
      <c r="D15" s="43"/>
      <c r="E15" s="60" t="s">
        <v>76</v>
      </c>
      <c r="F15" s="44"/>
      <c r="G15" s="41">
        <f t="shared" si="2"/>
        <v>0</v>
      </c>
      <c r="H15" s="44"/>
      <c r="I15" s="41">
        <f t="shared" si="0"/>
        <v>0</v>
      </c>
      <c r="J15" s="62"/>
      <c r="K15" s="130"/>
      <c r="L15" s="46"/>
      <c r="N15" s="177" t="s">
        <v>88</v>
      </c>
      <c r="O15" s="177"/>
      <c r="P15" s="67">
        <f>SUM(H7:H1006)</f>
        <v>330000</v>
      </c>
    </row>
    <row r="16" spans="1:16" ht="16.5" customHeight="1" x14ac:dyDescent="0.25">
      <c r="A16" s="172"/>
      <c r="B16" s="38">
        <f t="shared" si="1"/>
        <v>10</v>
      </c>
      <c r="C16" s="42" t="s">
        <v>96</v>
      </c>
      <c r="D16" s="43"/>
      <c r="E16" s="60"/>
      <c r="F16" s="44"/>
      <c r="G16" s="41">
        <f t="shared" si="2"/>
        <v>0</v>
      </c>
      <c r="H16" s="44"/>
      <c r="I16" s="41">
        <f t="shared" si="0"/>
        <v>0</v>
      </c>
      <c r="J16" s="62"/>
      <c r="K16" s="130"/>
      <c r="L16" s="46"/>
    </row>
    <row r="17" spans="1:17" ht="16.5" customHeight="1" x14ac:dyDescent="0.25">
      <c r="A17" s="172"/>
      <c r="B17" s="38">
        <f t="shared" si="1"/>
        <v>11</v>
      </c>
      <c r="C17" s="42" t="s">
        <v>96</v>
      </c>
      <c r="D17" s="43"/>
      <c r="E17" s="60"/>
      <c r="F17" s="44"/>
      <c r="G17" s="41">
        <f t="shared" si="2"/>
        <v>0</v>
      </c>
      <c r="H17" s="44"/>
      <c r="I17" s="41">
        <f t="shared" si="0"/>
        <v>0</v>
      </c>
      <c r="J17" s="62"/>
      <c r="K17" s="130"/>
      <c r="L17" s="46"/>
    </row>
    <row r="18" spans="1:17" ht="16.5" customHeight="1" x14ac:dyDescent="0.3">
      <c r="A18" s="172"/>
      <c r="B18" s="38">
        <f t="shared" si="1"/>
        <v>12</v>
      </c>
      <c r="C18" s="42" t="s">
        <v>96</v>
      </c>
      <c r="D18" s="43"/>
      <c r="E18" s="60"/>
      <c r="F18" s="44"/>
      <c r="G18" s="41">
        <f t="shared" si="2"/>
        <v>0</v>
      </c>
      <c r="H18" s="44"/>
      <c r="I18" s="41">
        <f t="shared" si="0"/>
        <v>0</v>
      </c>
      <c r="J18" s="62"/>
      <c r="K18" s="130"/>
      <c r="L18" s="46"/>
      <c r="N18" s="64" t="s">
        <v>60</v>
      </c>
      <c r="O18" s="68">
        <v>0.6</v>
      </c>
      <c r="Q18" s="70" t="s">
        <v>99</v>
      </c>
    </row>
    <row r="19" spans="1:17" ht="16.5" customHeight="1" x14ac:dyDescent="0.3">
      <c r="A19" s="173"/>
      <c r="B19" s="51"/>
      <c r="C19" s="52"/>
      <c r="D19" s="51"/>
      <c r="E19" s="53"/>
      <c r="F19" s="54"/>
      <c r="G19" s="54"/>
      <c r="H19" s="63"/>
      <c r="I19" s="61"/>
      <c r="J19" s="55"/>
      <c r="K19" s="131"/>
      <c r="L19" s="56"/>
      <c r="N19" s="64" t="s">
        <v>60</v>
      </c>
      <c r="O19" s="69">
        <v>0.5</v>
      </c>
      <c r="Q19" s="70" t="s">
        <v>100</v>
      </c>
    </row>
    <row r="20" spans="1:17" ht="16.5" customHeight="1" x14ac:dyDescent="0.25">
      <c r="A20" s="169" t="s">
        <v>89</v>
      </c>
      <c r="B20" s="38">
        <v>1</v>
      </c>
      <c r="C20" s="73" t="s">
        <v>124</v>
      </c>
      <c r="D20" s="74"/>
      <c r="E20" s="74" t="s">
        <v>13</v>
      </c>
      <c r="F20" s="75"/>
      <c r="G20" s="75">
        <f t="shared" ref="G20:G47" si="3">IF(F20="",0,IF(F20&gt;=1700000,F20*O$19,F20*O$18))</f>
        <v>0</v>
      </c>
      <c r="H20" s="75"/>
      <c r="I20" s="75">
        <f t="shared" ref="I20:I47" si="4">G20-H20</f>
        <v>0</v>
      </c>
      <c r="J20" s="128"/>
      <c r="K20" s="132"/>
      <c r="L20" s="76"/>
    </row>
    <row r="21" spans="1:17" ht="16.5" customHeight="1" x14ac:dyDescent="0.25">
      <c r="A21" s="170"/>
      <c r="B21" s="38">
        <f>B20+1</f>
        <v>2</v>
      </c>
      <c r="C21" s="77"/>
      <c r="D21" s="78"/>
      <c r="E21" s="78" t="s">
        <v>105</v>
      </c>
      <c r="F21" s="79"/>
      <c r="G21" s="75">
        <f t="shared" si="3"/>
        <v>0</v>
      </c>
      <c r="H21" s="79"/>
      <c r="I21" s="75">
        <f t="shared" si="4"/>
        <v>0</v>
      </c>
      <c r="J21" s="128"/>
      <c r="K21" s="132"/>
      <c r="L21" s="80"/>
    </row>
    <row r="22" spans="1:17" ht="16.5" customHeight="1" x14ac:dyDescent="0.3">
      <c r="A22" s="170"/>
      <c r="B22" s="38">
        <f t="shared" ref="B22:B47" si="5">B21+1</f>
        <v>3</v>
      </c>
      <c r="C22" s="73"/>
      <c r="D22" s="81"/>
      <c r="E22" s="81" t="s">
        <v>21</v>
      </c>
      <c r="F22" s="75"/>
      <c r="G22" s="75">
        <f t="shared" si="3"/>
        <v>0</v>
      </c>
      <c r="H22" s="79"/>
      <c r="I22" s="75">
        <f t="shared" si="4"/>
        <v>0</v>
      </c>
      <c r="J22" s="128"/>
      <c r="K22" s="164"/>
      <c r="L22" s="82"/>
    </row>
    <row r="23" spans="1:17" ht="16.5" customHeight="1" x14ac:dyDescent="0.25">
      <c r="A23" s="170"/>
      <c r="B23" s="38">
        <f t="shared" si="5"/>
        <v>4</v>
      </c>
      <c r="C23" s="73"/>
      <c r="D23" s="81"/>
      <c r="E23" s="81" t="s">
        <v>26</v>
      </c>
      <c r="F23" s="75"/>
      <c r="G23" s="75">
        <f t="shared" si="3"/>
        <v>0</v>
      </c>
      <c r="H23" s="75"/>
      <c r="I23" s="75">
        <f t="shared" si="4"/>
        <v>0</v>
      </c>
      <c r="J23" s="128"/>
      <c r="K23" s="132"/>
      <c r="L23" s="76"/>
    </row>
    <row r="24" spans="1:17" ht="16.5" customHeight="1" x14ac:dyDescent="0.25">
      <c r="A24" s="170"/>
      <c r="B24" s="38">
        <f t="shared" si="5"/>
        <v>5</v>
      </c>
      <c r="C24" s="73"/>
      <c r="D24" s="81"/>
      <c r="E24" s="81" t="s">
        <v>53</v>
      </c>
      <c r="F24" s="75"/>
      <c r="G24" s="75">
        <f t="shared" si="3"/>
        <v>0</v>
      </c>
      <c r="H24" s="79"/>
      <c r="I24" s="75">
        <f t="shared" si="4"/>
        <v>0</v>
      </c>
      <c r="J24" s="128"/>
      <c r="K24" s="132"/>
      <c r="L24" s="82"/>
    </row>
    <row r="25" spans="1:17" ht="16.5" customHeight="1" x14ac:dyDescent="0.25">
      <c r="A25" s="170"/>
      <c r="B25" s="38">
        <f t="shared" si="5"/>
        <v>6</v>
      </c>
      <c r="C25" s="73" t="s">
        <v>128</v>
      </c>
      <c r="D25" s="76"/>
      <c r="E25" s="76" t="s">
        <v>104</v>
      </c>
      <c r="F25" s="75"/>
      <c r="G25" s="75">
        <f t="shared" si="3"/>
        <v>0</v>
      </c>
      <c r="H25" s="79"/>
      <c r="I25" s="75">
        <f t="shared" si="4"/>
        <v>0</v>
      </c>
      <c r="J25" s="128"/>
      <c r="K25" s="132"/>
      <c r="L25" s="76"/>
    </row>
    <row r="26" spans="1:17" ht="22.15" customHeight="1" x14ac:dyDescent="0.25">
      <c r="A26" s="170"/>
      <c r="B26" s="38">
        <f t="shared" si="5"/>
        <v>7</v>
      </c>
      <c r="C26" s="77" t="s">
        <v>75</v>
      </c>
      <c r="D26" s="80"/>
      <c r="E26" s="76" t="s">
        <v>70</v>
      </c>
      <c r="F26" s="75"/>
      <c r="G26" s="75">
        <f t="shared" si="3"/>
        <v>0</v>
      </c>
      <c r="H26" s="75"/>
      <c r="I26" s="75">
        <f t="shared" si="4"/>
        <v>0</v>
      </c>
      <c r="J26" s="128"/>
      <c r="K26" s="132"/>
      <c r="L26" s="76"/>
    </row>
    <row r="27" spans="1:17" ht="20.45" customHeight="1" x14ac:dyDescent="0.3">
      <c r="A27" s="170"/>
      <c r="B27" s="38">
        <f t="shared" si="5"/>
        <v>8</v>
      </c>
      <c r="C27" s="77"/>
      <c r="D27" s="87"/>
      <c r="E27" s="86" t="s">
        <v>76</v>
      </c>
      <c r="F27" s="79"/>
      <c r="G27" s="75">
        <f t="shared" si="3"/>
        <v>0</v>
      </c>
      <c r="H27" s="75"/>
      <c r="I27" s="75">
        <f t="shared" si="4"/>
        <v>0</v>
      </c>
      <c r="J27" s="128"/>
      <c r="K27" s="132"/>
      <c r="L27" s="76"/>
    </row>
    <row r="28" spans="1:17" ht="16.5" customHeight="1" x14ac:dyDescent="0.25">
      <c r="A28" s="170"/>
      <c r="B28" s="38">
        <f t="shared" si="5"/>
        <v>9</v>
      </c>
      <c r="C28" s="88" t="s">
        <v>129</v>
      </c>
      <c r="D28" s="74"/>
      <c r="E28" s="81" t="s">
        <v>24</v>
      </c>
      <c r="F28" s="79"/>
      <c r="G28" s="75">
        <f t="shared" si="3"/>
        <v>0</v>
      </c>
      <c r="H28" s="79"/>
      <c r="I28" s="75">
        <f t="shared" si="4"/>
        <v>0</v>
      </c>
      <c r="J28" s="128"/>
      <c r="K28" s="132"/>
      <c r="L28" s="76"/>
    </row>
    <row r="29" spans="1:17" ht="16.5" customHeight="1" x14ac:dyDescent="0.3">
      <c r="A29" s="170"/>
      <c r="B29" s="38">
        <f t="shared" si="5"/>
        <v>10</v>
      </c>
      <c r="C29" s="88" t="s">
        <v>97</v>
      </c>
      <c r="D29" s="81"/>
      <c r="E29" s="76" t="s">
        <v>106</v>
      </c>
      <c r="F29" s="118"/>
      <c r="G29" s="75">
        <f t="shared" si="3"/>
        <v>0</v>
      </c>
      <c r="H29" s="118"/>
      <c r="I29" s="75">
        <f t="shared" si="4"/>
        <v>0</v>
      </c>
      <c r="J29" s="128"/>
      <c r="K29" s="132"/>
      <c r="L29" s="93"/>
    </row>
    <row r="30" spans="1:17" ht="16.5" customHeight="1" x14ac:dyDescent="0.25">
      <c r="A30" s="170"/>
      <c r="B30" s="38">
        <f t="shared" si="5"/>
        <v>11</v>
      </c>
      <c r="C30" s="88" t="s">
        <v>108</v>
      </c>
      <c r="D30" s="78"/>
      <c r="E30" s="81" t="s">
        <v>52</v>
      </c>
      <c r="F30" s="89"/>
      <c r="G30" s="75">
        <f t="shared" si="3"/>
        <v>0</v>
      </c>
      <c r="H30" s="119"/>
      <c r="I30" s="75">
        <f t="shared" si="4"/>
        <v>0</v>
      </c>
      <c r="J30" s="128"/>
      <c r="K30" s="132"/>
      <c r="L30" s="80"/>
    </row>
    <row r="31" spans="1:17" ht="15" customHeight="1" x14ac:dyDescent="0.3">
      <c r="A31" s="170"/>
      <c r="B31" s="38">
        <f t="shared" si="5"/>
        <v>12</v>
      </c>
      <c r="C31" s="77" t="s">
        <v>103</v>
      </c>
      <c r="D31" s="74"/>
      <c r="E31" s="74" t="s">
        <v>16</v>
      </c>
      <c r="F31" s="89"/>
      <c r="G31" s="75">
        <f t="shared" si="3"/>
        <v>0</v>
      </c>
      <c r="H31" s="89"/>
      <c r="I31" s="75">
        <f t="shared" si="4"/>
        <v>0</v>
      </c>
      <c r="J31" s="128"/>
      <c r="K31" s="132"/>
      <c r="L31" s="93"/>
    </row>
    <row r="32" spans="1:17" ht="15" customHeight="1" x14ac:dyDescent="0.3">
      <c r="A32" s="170"/>
      <c r="B32" s="38">
        <f t="shared" si="5"/>
        <v>13</v>
      </c>
      <c r="C32" s="77" t="s">
        <v>110</v>
      </c>
      <c r="D32" s="87"/>
      <c r="E32" s="81" t="s">
        <v>98</v>
      </c>
      <c r="F32" s="75"/>
      <c r="G32" s="75">
        <f t="shared" si="3"/>
        <v>0</v>
      </c>
      <c r="H32" s="75"/>
      <c r="I32" s="75">
        <f t="shared" si="4"/>
        <v>0</v>
      </c>
      <c r="J32" s="128"/>
      <c r="K32" s="132"/>
      <c r="L32" s="93"/>
    </row>
    <row r="33" spans="1:12" ht="18.75" customHeight="1" x14ac:dyDescent="0.3">
      <c r="A33" s="170"/>
      <c r="B33" s="38">
        <f t="shared" si="5"/>
        <v>14</v>
      </c>
      <c r="C33" s="87"/>
      <c r="D33" s="87"/>
      <c r="E33" s="81" t="s">
        <v>35</v>
      </c>
      <c r="F33" s="90"/>
      <c r="G33" s="75">
        <f t="shared" si="3"/>
        <v>0</v>
      </c>
      <c r="H33" s="89"/>
      <c r="I33" s="75">
        <f t="shared" si="4"/>
        <v>0</v>
      </c>
      <c r="J33" s="128"/>
      <c r="K33" s="89"/>
      <c r="L33" s="76"/>
    </row>
    <row r="34" spans="1:12" ht="18.75" x14ac:dyDescent="0.3">
      <c r="A34" s="170"/>
      <c r="B34" s="38">
        <f t="shared" si="5"/>
        <v>15</v>
      </c>
      <c r="C34" s="87"/>
      <c r="D34" s="120"/>
      <c r="E34" s="81" t="s">
        <v>15</v>
      </c>
      <c r="F34" s="79"/>
      <c r="G34" s="75">
        <f t="shared" si="3"/>
        <v>0</v>
      </c>
      <c r="H34" s="79"/>
      <c r="I34" s="75">
        <f t="shared" si="4"/>
        <v>0</v>
      </c>
      <c r="J34" s="128"/>
      <c r="K34" s="132"/>
      <c r="L34" s="76"/>
    </row>
    <row r="35" spans="1:12" ht="18.75" x14ac:dyDescent="0.3">
      <c r="A35" s="170"/>
      <c r="B35" s="38">
        <f t="shared" si="5"/>
        <v>16</v>
      </c>
      <c r="C35" s="87"/>
      <c r="D35" s="120"/>
      <c r="E35" s="86" t="s">
        <v>76</v>
      </c>
      <c r="F35" s="118"/>
      <c r="G35" s="75">
        <f t="shared" si="3"/>
        <v>0</v>
      </c>
      <c r="H35" s="118"/>
      <c r="I35" s="75">
        <f t="shared" si="4"/>
        <v>0</v>
      </c>
      <c r="J35" s="128"/>
      <c r="K35" s="132"/>
      <c r="L35" s="80"/>
    </row>
    <row r="36" spans="1:12" ht="18.75" x14ac:dyDescent="0.3">
      <c r="A36" s="170"/>
      <c r="B36" s="38">
        <f t="shared" si="5"/>
        <v>17</v>
      </c>
      <c r="C36" s="87" t="s">
        <v>130</v>
      </c>
      <c r="D36" s="120"/>
      <c r="E36" s="86" t="s">
        <v>76</v>
      </c>
      <c r="F36" s="118"/>
      <c r="G36" s="75">
        <f t="shared" si="3"/>
        <v>0</v>
      </c>
      <c r="H36" s="118"/>
      <c r="I36" s="75">
        <f t="shared" si="4"/>
        <v>0</v>
      </c>
      <c r="J36" s="128"/>
      <c r="K36" s="182"/>
      <c r="L36" s="46"/>
    </row>
    <row r="37" spans="1:12" ht="18.75" x14ac:dyDescent="0.3">
      <c r="A37" s="170"/>
      <c r="B37" s="38">
        <f t="shared" si="5"/>
        <v>18</v>
      </c>
      <c r="C37" s="99"/>
      <c r="D37" s="43"/>
      <c r="E37" s="86" t="s">
        <v>76</v>
      </c>
      <c r="F37" s="90"/>
      <c r="G37" s="75">
        <f t="shared" si="3"/>
        <v>0</v>
      </c>
      <c r="H37" s="89"/>
      <c r="I37" s="75">
        <f t="shared" si="4"/>
        <v>0</v>
      </c>
      <c r="J37" s="128"/>
      <c r="K37" s="98"/>
      <c r="L37" s="47"/>
    </row>
    <row r="38" spans="1:12" ht="18.75" x14ac:dyDescent="0.3">
      <c r="A38" s="170"/>
      <c r="B38" s="38">
        <f t="shared" si="5"/>
        <v>19</v>
      </c>
      <c r="C38" s="99" t="s">
        <v>134</v>
      </c>
      <c r="D38" s="43"/>
      <c r="E38" s="86" t="s">
        <v>76</v>
      </c>
      <c r="F38" s="90"/>
      <c r="G38" s="75">
        <f t="shared" si="3"/>
        <v>0</v>
      </c>
      <c r="H38" s="89"/>
      <c r="I38" s="75">
        <f t="shared" si="4"/>
        <v>0</v>
      </c>
      <c r="J38" s="128"/>
      <c r="K38" s="98"/>
      <c r="L38" s="47"/>
    </row>
    <row r="39" spans="1:12" ht="18.75" x14ac:dyDescent="0.3">
      <c r="A39" s="170"/>
      <c r="B39" s="38">
        <f t="shared" si="5"/>
        <v>20</v>
      </c>
      <c r="C39" s="99"/>
      <c r="D39" s="43"/>
      <c r="E39" s="86" t="s">
        <v>76</v>
      </c>
      <c r="F39" s="90"/>
      <c r="G39" s="75">
        <f t="shared" si="3"/>
        <v>0</v>
      </c>
      <c r="H39" s="89"/>
      <c r="I39" s="75">
        <f t="shared" si="4"/>
        <v>0</v>
      </c>
      <c r="J39" s="83"/>
      <c r="K39" s="98"/>
      <c r="L39" s="47"/>
    </row>
    <row r="40" spans="1:12" ht="18.75" x14ac:dyDescent="0.3">
      <c r="A40" s="170"/>
      <c r="B40" s="38">
        <f t="shared" si="5"/>
        <v>21</v>
      </c>
      <c r="C40" s="99"/>
      <c r="D40" s="43"/>
      <c r="E40" s="60" t="s">
        <v>76</v>
      </c>
      <c r="F40" s="90"/>
      <c r="G40" s="75">
        <f t="shared" si="3"/>
        <v>0</v>
      </c>
      <c r="H40" s="89"/>
      <c r="I40" s="75">
        <f t="shared" si="4"/>
        <v>0</v>
      </c>
      <c r="J40" s="83"/>
      <c r="K40" s="98"/>
      <c r="L40" s="47"/>
    </row>
    <row r="41" spans="1:12" ht="18.75" x14ac:dyDescent="0.3">
      <c r="A41" s="170"/>
      <c r="B41" s="38">
        <f t="shared" si="5"/>
        <v>22</v>
      </c>
      <c r="C41" s="99"/>
      <c r="D41" s="43"/>
      <c r="E41" s="60" t="s">
        <v>76</v>
      </c>
      <c r="F41" s="90"/>
      <c r="G41" s="75">
        <f t="shared" si="3"/>
        <v>0</v>
      </c>
      <c r="H41" s="89"/>
      <c r="I41" s="75">
        <f t="shared" si="4"/>
        <v>0</v>
      </c>
      <c r="J41" s="83"/>
      <c r="K41" s="98"/>
      <c r="L41" s="47"/>
    </row>
    <row r="42" spans="1:12" ht="18.75" x14ac:dyDescent="0.3">
      <c r="A42" s="170"/>
      <c r="B42" s="38">
        <f t="shared" si="5"/>
        <v>23</v>
      </c>
      <c r="C42" s="99"/>
      <c r="D42" s="43"/>
      <c r="E42" s="60" t="s">
        <v>76</v>
      </c>
      <c r="F42" s="100"/>
      <c r="G42" s="75">
        <f t="shared" si="3"/>
        <v>0</v>
      </c>
      <c r="H42" s="89"/>
      <c r="I42" s="75">
        <f t="shared" si="4"/>
        <v>0</v>
      </c>
      <c r="J42" s="83"/>
      <c r="K42" s="98"/>
      <c r="L42" s="47"/>
    </row>
    <row r="43" spans="1:12" ht="18.75" x14ac:dyDescent="0.3">
      <c r="A43" s="170"/>
      <c r="B43" s="38">
        <f t="shared" si="5"/>
        <v>24</v>
      </c>
      <c r="C43" s="99"/>
      <c r="D43" s="43"/>
      <c r="E43" s="43"/>
      <c r="F43" s="100"/>
      <c r="G43" s="75">
        <f t="shared" si="3"/>
        <v>0</v>
      </c>
      <c r="H43" s="89"/>
      <c r="I43" s="75">
        <f t="shared" si="4"/>
        <v>0</v>
      </c>
      <c r="J43" s="83"/>
      <c r="K43" s="98"/>
      <c r="L43" s="47"/>
    </row>
    <row r="44" spans="1:12" ht="18.75" x14ac:dyDescent="0.3">
      <c r="A44" s="170"/>
      <c r="B44" s="38">
        <f t="shared" si="5"/>
        <v>25</v>
      </c>
      <c r="C44" s="99"/>
      <c r="D44" s="43"/>
      <c r="E44" s="43"/>
      <c r="F44" s="100"/>
      <c r="G44" s="75">
        <f t="shared" si="3"/>
        <v>0</v>
      </c>
      <c r="H44" s="89"/>
      <c r="I44" s="75">
        <f t="shared" si="4"/>
        <v>0</v>
      </c>
      <c r="J44" s="83"/>
      <c r="K44" s="98"/>
      <c r="L44" s="47"/>
    </row>
    <row r="45" spans="1:12" ht="18.75" x14ac:dyDescent="0.3">
      <c r="A45" s="170"/>
      <c r="B45" s="38">
        <f t="shared" si="5"/>
        <v>26</v>
      </c>
      <c r="C45" s="99"/>
      <c r="D45" s="43"/>
      <c r="E45" s="43"/>
      <c r="F45" s="100"/>
      <c r="G45" s="75">
        <f t="shared" si="3"/>
        <v>0</v>
      </c>
      <c r="H45" s="89"/>
      <c r="I45" s="75">
        <f t="shared" si="4"/>
        <v>0</v>
      </c>
      <c r="J45" s="83"/>
      <c r="K45" s="98"/>
      <c r="L45" s="47"/>
    </row>
    <row r="46" spans="1:12" ht="18.75" x14ac:dyDescent="0.3">
      <c r="A46" s="170"/>
      <c r="B46" s="38">
        <f t="shared" si="5"/>
        <v>27</v>
      </c>
      <c r="C46" s="99"/>
      <c r="D46" s="43"/>
      <c r="E46" s="43"/>
      <c r="F46" s="100"/>
      <c r="G46" s="75">
        <f t="shared" si="3"/>
        <v>0</v>
      </c>
      <c r="H46" s="89"/>
      <c r="I46" s="75">
        <f t="shared" si="4"/>
        <v>0</v>
      </c>
      <c r="J46" s="83"/>
      <c r="K46" s="98"/>
      <c r="L46" s="47"/>
    </row>
    <row r="47" spans="1:12" ht="18.75" x14ac:dyDescent="0.3">
      <c r="A47" s="170"/>
      <c r="B47" s="38">
        <f t="shared" si="5"/>
        <v>28</v>
      </c>
      <c r="C47" s="99"/>
      <c r="D47" s="43"/>
      <c r="E47" s="43"/>
      <c r="F47" s="100"/>
      <c r="G47" s="75">
        <f t="shared" si="3"/>
        <v>0</v>
      </c>
      <c r="H47" s="89"/>
      <c r="I47" s="75">
        <f t="shared" si="4"/>
        <v>0</v>
      </c>
      <c r="J47" s="83"/>
      <c r="K47" s="98"/>
      <c r="L47" s="47"/>
    </row>
  </sheetData>
  <mergeCells count="8">
    <mergeCell ref="A20:A47"/>
    <mergeCell ref="B3:K3"/>
    <mergeCell ref="A7:A19"/>
    <mergeCell ref="N10:O11"/>
    <mergeCell ref="P10:P11"/>
    <mergeCell ref="N12:O14"/>
    <mergeCell ref="P12:P14"/>
    <mergeCell ref="N15:O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10-01</vt:lpstr>
      <vt:lpstr>01-02</vt:lpstr>
      <vt:lpstr>02-02</vt:lpstr>
      <vt:lpstr>03-02</vt:lpstr>
      <vt:lpstr>04-02</vt:lpstr>
      <vt:lpstr>05-02</vt:lpstr>
      <vt:lpstr>06-02</vt:lpstr>
      <vt:lpstr>07-02</vt:lpstr>
      <vt:lpstr>08-02</vt:lpstr>
      <vt:lpstr>09-02</vt:lpstr>
      <vt:lpstr>10-02</vt:lpstr>
      <vt:lpstr>11-02</vt:lpstr>
      <vt:lpstr>12-02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NDC</dc:creator>
  <cp:lastModifiedBy>nguyenducanh12a10@gmail.com</cp:lastModifiedBy>
  <dcterms:created xsi:type="dcterms:W3CDTF">2015-06-05T18:17:20Z</dcterms:created>
  <dcterms:modified xsi:type="dcterms:W3CDTF">2026-02-12T23:42:36Z</dcterms:modified>
</cp:coreProperties>
</file>