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Theo dõi\"/>
    </mc:Choice>
  </mc:AlternateContent>
  <xr:revisionPtr revIDLastSave="0" documentId="13_ncr:1_{888DB4C9-4488-42C1-884F-381DFF7FB81E}" xr6:coauthVersionLast="47" xr6:coauthVersionMax="47" xr10:uidLastSave="{00000000-0000-0000-0000-000000000000}"/>
  <bookViews>
    <workbookView xWindow="-108" yWindow="-108" windowWidth="23256" windowHeight="12456" tabRatio="579" firstSheet="1" activeTab="5" xr2:uid="{00000000-000D-0000-FFFF-FFFF00000000}"/>
  </bookViews>
  <sheets>
    <sheet name="10-01" sheetId="14" state="hidden" r:id="rId1"/>
    <sheet name="01-02" sheetId="37" r:id="rId2"/>
    <sheet name="02-02" sheetId="38" r:id="rId3"/>
    <sheet name="03-02" sheetId="39" r:id="rId4"/>
    <sheet name="04-02" sheetId="40" r:id="rId5"/>
    <sheet name="05-02" sheetId="4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7" i="41" l="1"/>
  <c r="I47" i="41" s="1"/>
  <c r="G46" i="41"/>
  <c r="I46" i="41" s="1"/>
  <c r="G45" i="41"/>
  <c r="I45" i="41" s="1"/>
  <c r="I44" i="41"/>
  <c r="G44" i="41"/>
  <c r="G43" i="41"/>
  <c r="I43" i="41" s="1"/>
  <c r="G42" i="41"/>
  <c r="I42" i="41" s="1"/>
  <c r="G41" i="41"/>
  <c r="I41" i="41" s="1"/>
  <c r="I40" i="41"/>
  <c r="G40" i="41"/>
  <c r="G39" i="41"/>
  <c r="I39" i="41" s="1"/>
  <c r="I38" i="41"/>
  <c r="G38" i="41"/>
  <c r="G37" i="41"/>
  <c r="I37" i="41" s="1"/>
  <c r="G36" i="41"/>
  <c r="I36" i="41" s="1"/>
  <c r="G35" i="41"/>
  <c r="I35" i="41" s="1"/>
  <c r="G34" i="41"/>
  <c r="I34" i="41" s="1"/>
  <c r="G33" i="41"/>
  <c r="I33" i="41" s="1"/>
  <c r="G32" i="41"/>
  <c r="I32" i="41" s="1"/>
  <c r="G31" i="41"/>
  <c r="I31" i="41" s="1"/>
  <c r="G30" i="41"/>
  <c r="I30" i="41" s="1"/>
  <c r="G29" i="41"/>
  <c r="I29" i="41" s="1"/>
  <c r="G28" i="41"/>
  <c r="I28" i="41" s="1"/>
  <c r="G27" i="41"/>
  <c r="I27" i="41" s="1"/>
  <c r="G26" i="41"/>
  <c r="I26" i="41" s="1"/>
  <c r="G25" i="41"/>
  <c r="I25" i="41" s="1"/>
  <c r="I24" i="41"/>
  <c r="G24" i="41"/>
  <c r="G23" i="41"/>
  <c r="I23" i="41" s="1"/>
  <c r="G22" i="41"/>
  <c r="I22" i="41" s="1"/>
  <c r="B22" i="4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I21" i="41"/>
  <c r="G21" i="41"/>
  <c r="B21" i="41"/>
  <c r="G20" i="41"/>
  <c r="I20" i="41" s="1"/>
  <c r="G18" i="41"/>
  <c r="I18" i="41" s="1"/>
  <c r="G17" i="41"/>
  <c r="I17" i="41" s="1"/>
  <c r="I16" i="41"/>
  <c r="G16" i="41"/>
  <c r="P15" i="41"/>
  <c r="I15" i="41"/>
  <c r="G15" i="41"/>
  <c r="G14" i="41"/>
  <c r="I14" i="41" s="1"/>
  <c r="G13" i="41"/>
  <c r="I13" i="41" s="1"/>
  <c r="G12" i="41"/>
  <c r="I12" i="41" s="1"/>
  <c r="G11" i="41"/>
  <c r="I11" i="41" s="1"/>
  <c r="P10" i="41"/>
  <c r="I10" i="41"/>
  <c r="G10" i="41"/>
  <c r="G9" i="41"/>
  <c r="I9" i="41" s="1"/>
  <c r="B9" i="41"/>
  <c r="B10" i="41" s="1"/>
  <c r="B11" i="41" s="1"/>
  <c r="B12" i="41" s="1"/>
  <c r="B13" i="41" s="1"/>
  <c r="B14" i="41" s="1"/>
  <c r="B15" i="41" s="1"/>
  <c r="B16" i="41" s="1"/>
  <c r="B17" i="41" s="1"/>
  <c r="B18" i="41" s="1"/>
  <c r="G8" i="41"/>
  <c r="I8" i="41" s="1"/>
  <c r="B8" i="41"/>
  <c r="G7" i="41"/>
  <c r="P12" i="41" l="1"/>
  <c r="I7" i="41"/>
  <c r="G8" i="40" l="1"/>
  <c r="I8" i="40" s="1"/>
  <c r="G9" i="40"/>
  <c r="I9" i="40" s="1"/>
  <c r="G10" i="40"/>
  <c r="I10" i="40" s="1"/>
  <c r="G11" i="40"/>
  <c r="I11" i="40" s="1"/>
  <c r="G12" i="40"/>
  <c r="I12" i="40" s="1"/>
  <c r="G13" i="40"/>
  <c r="G14" i="40"/>
  <c r="G15" i="40"/>
  <c r="I15" i="40" s="1"/>
  <c r="G16" i="40"/>
  <c r="G17" i="40"/>
  <c r="I17" i="40" s="1"/>
  <c r="G18" i="40"/>
  <c r="G7" i="40"/>
  <c r="I7" i="40" s="1"/>
  <c r="G47" i="40"/>
  <c r="I47" i="40" s="1"/>
  <c r="G46" i="40"/>
  <c r="I46" i="40" s="1"/>
  <c r="G45" i="40"/>
  <c r="I45" i="40" s="1"/>
  <c r="G44" i="40"/>
  <c r="I44" i="40" s="1"/>
  <c r="I43" i="40"/>
  <c r="G43" i="40"/>
  <c r="I42" i="40"/>
  <c r="G42" i="40"/>
  <c r="G41" i="40"/>
  <c r="I41" i="40" s="1"/>
  <c r="G40" i="40"/>
  <c r="I40" i="40" s="1"/>
  <c r="I39" i="40"/>
  <c r="G39" i="40"/>
  <c r="G38" i="40"/>
  <c r="I38" i="40" s="1"/>
  <c r="G37" i="40"/>
  <c r="I37" i="40" s="1"/>
  <c r="G36" i="40"/>
  <c r="I36" i="40" s="1"/>
  <c r="G35" i="40"/>
  <c r="I35" i="40" s="1"/>
  <c r="G34" i="40"/>
  <c r="I34" i="40" s="1"/>
  <c r="G33" i="40"/>
  <c r="I33" i="40" s="1"/>
  <c r="G32" i="40"/>
  <c r="I32" i="40" s="1"/>
  <c r="G31" i="40"/>
  <c r="I31" i="40" s="1"/>
  <c r="G30" i="40"/>
  <c r="I30" i="40" s="1"/>
  <c r="G29" i="40"/>
  <c r="I29" i="40" s="1"/>
  <c r="G28" i="40"/>
  <c r="I28" i="40" s="1"/>
  <c r="G27" i="40"/>
  <c r="I27" i="40" s="1"/>
  <c r="G26" i="40"/>
  <c r="I26" i="40" s="1"/>
  <c r="G25" i="40"/>
  <c r="I25" i="40" s="1"/>
  <c r="G24" i="40"/>
  <c r="I24" i="40" s="1"/>
  <c r="G23" i="40"/>
  <c r="I23" i="40" s="1"/>
  <c r="G22" i="40"/>
  <c r="I22" i="40" s="1"/>
  <c r="G21" i="40"/>
  <c r="I21" i="40" s="1"/>
  <c r="B21" i="40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G20" i="40"/>
  <c r="I20" i="40" s="1"/>
  <c r="I18" i="40"/>
  <c r="I16" i="40"/>
  <c r="P15" i="40"/>
  <c r="I14" i="40"/>
  <c r="I13" i="40"/>
  <c r="P10" i="40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G47" i="39"/>
  <c r="I47" i="39" s="1"/>
  <c r="G46" i="39"/>
  <c r="I46" i="39" s="1"/>
  <c r="G45" i="39"/>
  <c r="I45" i="39" s="1"/>
  <c r="I44" i="39"/>
  <c r="G44" i="39"/>
  <c r="G43" i="39"/>
  <c r="I43" i="39" s="1"/>
  <c r="I42" i="39"/>
  <c r="G42" i="39"/>
  <c r="G41" i="39"/>
  <c r="I41" i="39" s="1"/>
  <c r="I40" i="39"/>
  <c r="G40" i="39"/>
  <c r="G39" i="39"/>
  <c r="I39" i="39" s="1"/>
  <c r="G38" i="39"/>
  <c r="I38" i="39" s="1"/>
  <c r="G37" i="39"/>
  <c r="I37" i="39" s="1"/>
  <c r="I36" i="39"/>
  <c r="G36" i="39"/>
  <c r="G35" i="39"/>
  <c r="I35" i="39" s="1"/>
  <c r="G34" i="39"/>
  <c r="I34" i="39" s="1"/>
  <c r="G33" i="39"/>
  <c r="I33" i="39" s="1"/>
  <c r="G32" i="39"/>
  <c r="I32" i="39" s="1"/>
  <c r="G31" i="39"/>
  <c r="I31" i="39" s="1"/>
  <c r="G30" i="39"/>
  <c r="I30" i="39" s="1"/>
  <c r="G29" i="39"/>
  <c r="I29" i="39" s="1"/>
  <c r="G28" i="39"/>
  <c r="I28" i="39" s="1"/>
  <c r="G27" i="39"/>
  <c r="I27" i="39" s="1"/>
  <c r="G26" i="39"/>
  <c r="I26" i="39" s="1"/>
  <c r="G25" i="39"/>
  <c r="I25" i="39" s="1"/>
  <c r="G24" i="39"/>
  <c r="I24" i="39" s="1"/>
  <c r="G23" i="39"/>
  <c r="I23" i="39" s="1"/>
  <c r="G22" i="39"/>
  <c r="I22" i="39" s="1"/>
  <c r="B22" i="39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G21" i="39"/>
  <c r="I21" i="39" s="1"/>
  <c r="B21" i="39"/>
  <c r="G20" i="39"/>
  <c r="I20" i="39" s="1"/>
  <c r="G18" i="39"/>
  <c r="I18" i="39" s="1"/>
  <c r="G17" i="39"/>
  <c r="I17" i="39" s="1"/>
  <c r="G16" i="39"/>
  <c r="I16" i="39" s="1"/>
  <c r="P15" i="39"/>
  <c r="G15" i="39"/>
  <c r="I15" i="39" s="1"/>
  <c r="G14" i="39"/>
  <c r="I14" i="39" s="1"/>
  <c r="G13" i="39"/>
  <c r="I13" i="39" s="1"/>
  <c r="I12" i="39"/>
  <c r="G12" i="39"/>
  <c r="G11" i="39"/>
  <c r="I11" i="39" s="1"/>
  <c r="P10" i="39"/>
  <c r="G10" i="39"/>
  <c r="I10" i="39" s="1"/>
  <c r="G9" i="39"/>
  <c r="I9" i="39" s="1"/>
  <c r="G8" i="39"/>
  <c r="I8" i="39" s="1"/>
  <c r="B8" i="39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G7" i="39"/>
  <c r="I9" i="38"/>
  <c r="G47" i="38"/>
  <c r="I47" i="38" s="1"/>
  <c r="G46" i="38"/>
  <c r="I46" i="38" s="1"/>
  <c r="G45" i="38"/>
  <c r="I45" i="38" s="1"/>
  <c r="G44" i="38"/>
  <c r="I44" i="38" s="1"/>
  <c r="G43" i="38"/>
  <c r="I43" i="38" s="1"/>
  <c r="I42" i="38"/>
  <c r="G42" i="38"/>
  <c r="G41" i="38"/>
  <c r="I41" i="38" s="1"/>
  <c r="G40" i="38"/>
  <c r="I40" i="38" s="1"/>
  <c r="I39" i="38"/>
  <c r="G39" i="38"/>
  <c r="G38" i="38"/>
  <c r="I38" i="38" s="1"/>
  <c r="I37" i="38"/>
  <c r="G37" i="38"/>
  <c r="G36" i="38"/>
  <c r="I36" i="38" s="1"/>
  <c r="G35" i="38"/>
  <c r="I35" i="38" s="1"/>
  <c r="G34" i="38"/>
  <c r="I34" i="38" s="1"/>
  <c r="G33" i="38"/>
  <c r="I33" i="38" s="1"/>
  <c r="G32" i="38"/>
  <c r="I32" i="38" s="1"/>
  <c r="G31" i="38"/>
  <c r="I31" i="38" s="1"/>
  <c r="G30" i="38"/>
  <c r="I30" i="38" s="1"/>
  <c r="G29" i="38"/>
  <c r="I29" i="38" s="1"/>
  <c r="G28" i="38"/>
  <c r="I28" i="38" s="1"/>
  <c r="G27" i="38"/>
  <c r="I27" i="38" s="1"/>
  <c r="G26" i="38"/>
  <c r="I26" i="38" s="1"/>
  <c r="G25" i="38"/>
  <c r="I25" i="38" s="1"/>
  <c r="G24" i="38"/>
  <c r="I24" i="38" s="1"/>
  <c r="G23" i="38"/>
  <c r="I23" i="38" s="1"/>
  <c r="G22" i="38"/>
  <c r="I22" i="38" s="1"/>
  <c r="B22" i="38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G21" i="38"/>
  <c r="I21" i="38" s="1"/>
  <c r="B21" i="38"/>
  <c r="G20" i="38"/>
  <c r="I20" i="38" s="1"/>
  <c r="G18" i="38"/>
  <c r="I18" i="38" s="1"/>
  <c r="I17" i="38"/>
  <c r="G17" i="38"/>
  <c r="G16" i="38"/>
  <c r="I16" i="38" s="1"/>
  <c r="P15" i="38"/>
  <c r="G15" i="38"/>
  <c r="I15" i="38" s="1"/>
  <c r="I14" i="38"/>
  <c r="G14" i="38"/>
  <c r="G13" i="38"/>
  <c r="I13" i="38" s="1"/>
  <c r="I12" i="38"/>
  <c r="G12" i="38"/>
  <c r="G11" i="38"/>
  <c r="I11" i="38" s="1"/>
  <c r="P10" i="38"/>
  <c r="G10" i="38"/>
  <c r="G9" i="38"/>
  <c r="G8" i="38"/>
  <c r="I8" i="38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G7" i="38"/>
  <c r="I7" i="38" s="1"/>
  <c r="I12" i="37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40" l="1"/>
  <c r="P12" i="39"/>
  <c r="I7" i="39"/>
  <c r="P12" i="38"/>
  <c r="I10" i="38"/>
  <c r="P12" i="37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<sst xmlns="http://schemas.openxmlformats.org/spreadsheetml/2006/main" count="632" uniqueCount="139">
  <si>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</si>
  <si>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</si>
  <si>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</si>
  <si>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</si>
  <si>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</si>
  <si>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</si>
  <si>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</si>
  <si>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</si>
  <si>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</si>
  <si>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</si>
  <si>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</si>
  <si>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</si>
  <si>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</si>
  <si>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</si>
  <si>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</si>
  <si>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</si>
  <si>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</si>
  <si>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</si>
  <si>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</si>
  <si>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</si>
  <si>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</si>
  <si>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</si>
  <si>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</si>
  <si>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</si>
  <si>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</si>
  <si>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</si>
  <si>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</si>
  <si>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</si>
  <si>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</si>
  <si>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</si>
  <si>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</si>
  <si>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</si>
  <si>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</si>
  <si>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</si>
  <si>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</si>
  <si>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</si>
  <si>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</si>
  <si>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</si>
  <si>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</si>
  <si>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</si>
  <si>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</si>
  <si>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</si>
  <si>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</si>
  <si>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</si>
  <si>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</si>
  <si>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</si>
  <si>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</si>
  <si>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</si>
  <si>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</si>
  <si>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</si>
  <si>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</si>
  <si>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</si>
  <si>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</si>
  <si>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</si>
  <si>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</si>
  <si>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</si>
  <si>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</si>
  <si>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</si>
  <si>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</si>
  <si>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</si>
  <si>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</si>
  <si>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</si>
  <si>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</si>
  <si>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</si>
  <si>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</si>
  <si>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</si>
  <si>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</si>
  <si>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</si>
  <si>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</si>
  <si>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</si>
  <si>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</si>
  <si>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</si>
  <si>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</si>
  <si>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</si>
  <si>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</si>
  <si>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</si>
  <si>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</si>
  <si>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</si>
  <si>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</si>
  <si>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</si>
  <si>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</si>
  <si>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</si>
  <si>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</si>
  <si>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</si>
  <si>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</si>
  <si>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</si>
  <si>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</si>
  <si>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</si>
  <si>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</si>
  <si>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</si>
  <si>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</si>
  <si>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</si>
  <si>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</si>
  <si>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</si>
  <si>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</si>
  <si>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</si>
  <si>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</si>
  <si>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</si>
  <si>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</si>
  <si>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</si>
  <si>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</si>
  <si>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</si>
  <si>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</si>
  <si>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</si>
  <si>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</si>
  <si>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</si>
  <si>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</si>
  <si>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</si>
  <si>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</si>
  <si>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</si>
  <si>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</si>
  <si>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</si>
  <si>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</si>
  <si>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</si>
  <si>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</si>
  <si>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</si>
  <si>
    <t>DOANH THU 02/02/2026</t>
  </si>
  <si>
    <t>Mai thanh toán</t>
  </si>
  <si>
    <t>Nghỉ tất liên</t>
  </si>
  <si>
    <t>nghỉ có việc</t>
  </si>
  <si>
    <t>DOANH THU 03/02/2026</t>
  </si>
  <si>
    <t>4189k</t>
  </si>
  <si>
    <t>NGUYỄN TUẤN ANH</t>
  </si>
  <si>
    <t>NGUYỄN HOÀI PHƯƠNG</t>
  </si>
  <si>
    <t xml:space="preserve">LÊ VĂN TÙNG </t>
  </si>
  <si>
    <t xml:space="preserve">LÊ THÀNH LẬP (Hiếu) </t>
  </si>
  <si>
    <t xml:space="preserve">TRẦN THANH THANH  </t>
  </si>
  <si>
    <t xml:space="preserve">NGUYỄN QUỐC NAM </t>
  </si>
  <si>
    <t xml:space="preserve">TRẦN VIẾT HÙNG </t>
  </si>
  <si>
    <t xml:space="preserve">VŨ ĐỨC HẠNH </t>
  </si>
  <si>
    <t>TRƯƠNG THANH TÚ</t>
  </si>
  <si>
    <t>2445 nhưng tính 2tr, còn 445 hnay</t>
  </si>
  <si>
    <t>Nhậu say quá ngủ nguyên ngày</t>
  </si>
  <si>
    <t>THUẬN NGÔ</t>
  </si>
  <si>
    <t>ĐINH ĐOÀN</t>
  </si>
  <si>
    <t>đưa dư 140k</t>
  </si>
  <si>
    <t>chuyển dư 214k</t>
  </si>
  <si>
    <t>DOANH THU 04/02/2026</t>
  </si>
  <si>
    <t>DOANH THU 05/02/2026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</si>
</sst>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50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0" borderId="6" xfId="0" applyNumberFormat="1" applyFont="1" applyFill="1" applyBorder="1" applyAlignment="1">
      <alignment horizontal="center"/>
    </xf>
    <xf numFmtId="3" fontId="29" fillId="9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/>
    <xf numFmtId="0" fontId="30" fillId="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left" vertical="center"/>
    </xf>
    <xf numFmtId="49" fontId="5" fillId="17" borderId="6" xfId="0" applyNumberFormat="1" applyFont="1" applyFill="1" applyBorder="1" applyAlignment="1">
      <alignment horizontal="center" vertical="center"/>
    </xf>
    <xf numFmtId="49" fontId="13" fillId="17" borderId="6" xfId="0" applyNumberFormat="1" applyFont="1" applyFill="1" applyBorder="1" applyAlignment="1">
      <alignment horizontal="center" vertical="center"/>
    </xf>
    <xf numFmtId="3" fontId="13" fillId="17" borderId="6" xfId="0" applyNumberFormat="1" applyFont="1" applyFill="1" applyBorder="1" applyAlignment="1">
      <alignment horizontal="center" vertical="center"/>
    </xf>
    <xf numFmtId="3" fontId="13" fillId="18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center" vertical="center"/>
    </xf>
    <xf numFmtId="0" fontId="32" fillId="9" borderId="6" xfId="0" applyFont="1" applyFill="1" applyBorder="1" applyAlignment="1">
      <alignment horizontal="center" vertical="center" wrapText="1"/>
    </xf>
    <xf numFmtId="0" fontId="32" fillId="9" borderId="6" xfId="0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7" fillId="16" borderId="6" xfId="0" applyFont="1" applyFill="1" applyBorder="1" applyAlignment="1">
      <alignment vertical="center"/>
    </xf>
    <xf numFmtId="49" fontId="27" fillId="16" borderId="6" xfId="0" applyNumberFormat="1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29" fillId="1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3.33203125" style="1" customWidth="1"/>
    <col min="5" max="5" width="5" style="1" customWidth="1"/>
    <col min="6" max="6" width="7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3.33203125" style="1" bestFit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137" t="s">
        <v>30</v>
      </c>
      <c r="C2" s="137"/>
      <c r="D2" s="137"/>
      <c r="E2" s="137"/>
      <c r="F2" s="137"/>
      <c r="G2" s="137"/>
      <c r="H2" s="137"/>
      <c r="I2" s="137"/>
      <c r="J2" s="137"/>
      <c r="K2" s="137"/>
    </row>
    <row r="3" spans="2:16" ht="30.6" x14ac:dyDescent="0.25">
      <c r="B3" s="138" t="s">
        <v>85</v>
      </c>
      <c r="C3" s="139"/>
      <c r="D3" s="139"/>
      <c r="E3" s="139"/>
      <c r="F3" s="139"/>
      <c r="G3" s="139"/>
      <c r="H3" s="139"/>
      <c r="I3" s="139"/>
      <c r="J3" s="139"/>
      <c r="K3" s="139"/>
    </row>
    <row r="4" spans="2:16" x14ac:dyDescent="0.25">
      <c r="J4" s="21"/>
    </row>
    <row r="6" spans="2:16" ht="21" x14ac:dyDescent="0.4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8" x14ac:dyDescent="0.3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8" x14ac:dyDescent="0.3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8" x14ac:dyDescent="0.3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8" x14ac:dyDescent="0.3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8" x14ac:dyDescent="0.3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8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8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8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8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8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8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8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8" x14ac:dyDescent="0.3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8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8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8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8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8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8" x14ac:dyDescent="0.4">
      <c r="C26" s="18" t="s">
        <v>60</v>
      </c>
      <c r="E26" s="19">
        <v>0.6</v>
      </c>
      <c r="F26" s="20" t="s">
        <v>61</v>
      </c>
      <c r="H26" s="140" t="s">
        <v>28</v>
      </c>
      <c r="I26" s="140"/>
      <c r="J26" s="5">
        <f>SUM(H7:H1001)</f>
        <v>28869000</v>
      </c>
    </row>
    <row r="27" spans="1:13" ht="22.8" x14ac:dyDescent="0.4">
      <c r="H27" s="140" t="s">
        <v>29</v>
      </c>
      <c r="I27" s="140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8" x14ac:dyDescent="0.25">
      <c r="B44" s="12" t="s">
        <v>13</v>
      </c>
    </row>
    <row r="45" spans="2:4" ht="16.8" x14ac:dyDescent="0.25">
      <c r="B45" s="13" t="s">
        <v>15</v>
      </c>
    </row>
    <row r="46" spans="2:4" ht="16.8" x14ac:dyDescent="0.25">
      <c r="B46" s="12" t="s">
        <v>16</v>
      </c>
      <c r="D46" s="28" t="s">
        <v>64</v>
      </c>
    </row>
    <row r="47" spans="2:4" ht="16.8" x14ac:dyDescent="0.25">
      <c r="B47" s="13" t="s">
        <v>45</v>
      </c>
    </row>
    <row r="48" spans="2:4" ht="16.8" x14ac:dyDescent="0.25">
      <c r="B48" s="12" t="s">
        <v>18</v>
      </c>
    </row>
    <row r="49" spans="2:2" ht="16.8" x14ac:dyDescent="0.25">
      <c r="B49" s="14" t="s">
        <v>52</v>
      </c>
    </row>
    <row r="50" spans="2:2" ht="16.8" x14ac:dyDescent="0.25">
      <c r="B50" s="15" t="s">
        <v>21</v>
      </c>
    </row>
    <row r="51" spans="2:2" ht="16.8" x14ac:dyDescent="0.25">
      <c r="B51" s="14" t="s">
        <v>31</v>
      </c>
    </row>
    <row r="52" spans="2:2" ht="16.8" x14ac:dyDescent="0.25">
      <c r="B52" s="15" t="s">
        <v>24</v>
      </c>
    </row>
    <row r="53" spans="2:2" ht="16.8" x14ac:dyDescent="0.25">
      <c r="B53" s="14" t="s">
        <v>26</v>
      </c>
    </row>
    <row r="54" spans="2:2" ht="16.8" x14ac:dyDescent="0.25">
      <c r="B54" s="15" t="s">
        <v>53</v>
      </c>
    </row>
    <row r="55" spans="2:2" ht="16.8" x14ac:dyDescent="0.25">
      <c r="B55" s="14" t="s">
        <v>35</v>
      </c>
    </row>
    <row r="56" spans="2:2" ht="16.8" x14ac:dyDescent="0.25">
      <c r="B56" s="16" t="s">
        <v>34</v>
      </c>
    </row>
    <row r="57" spans="2:2" ht="16.8" x14ac:dyDescent="0.25">
      <c r="B57" s="16" t="s">
        <v>71</v>
      </c>
    </row>
    <row r="58" spans="2:2" ht="17.399999999999999" thickBot="1" x14ac:dyDescent="0.3">
      <c r="B58" s="31" t="s">
        <v>70</v>
      </c>
    </row>
    <row r="59" spans="2:2" ht="14.4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zoomScale="70" zoomScaleNormal="70" workbookViewId="0">
      <selection activeCell="L10" sqref="L10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16675000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48" t="s">
        <v>95</v>
      </c>
      <c r="O12" s="148"/>
      <c r="P12" s="147">
        <f>SUM(G7:G1006)</f>
        <v>9346000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49" t="s">
        <v>88</v>
      </c>
      <c r="O15" s="149"/>
      <c r="P15" s="67">
        <f>SUM(H7:H1006)</f>
        <v>9285000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4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42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42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42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42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2" customHeight="1" x14ac:dyDescent="0.25">
      <c r="A26" s="142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399999999999999" customHeight="1" x14ac:dyDescent="0.25">
      <c r="A27" s="142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5">
      <c r="A28" s="142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5">
      <c r="A29" s="142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42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5">
      <c r="A31" s="142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5">
      <c r="A32" s="142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5">
      <c r="A33" s="142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" x14ac:dyDescent="0.3">
      <c r="A34" s="142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" x14ac:dyDescent="0.3">
      <c r="A35" s="142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7.399999999999999" x14ac:dyDescent="0.3">
      <c r="A36" s="142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7.399999999999999" x14ac:dyDescent="0.3">
      <c r="A37" s="142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7.399999999999999" x14ac:dyDescent="0.3">
      <c r="A38" s="142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7.399999999999999" x14ac:dyDescent="0.3">
      <c r="A39" s="142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7.399999999999999" x14ac:dyDescent="0.3">
      <c r="A40" s="142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7.399999999999999" x14ac:dyDescent="0.3">
      <c r="A41" s="142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7.399999999999999" x14ac:dyDescent="0.3">
      <c r="A42" s="142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7.399999999999999" x14ac:dyDescent="0.3">
      <c r="A43" s="142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7.399999999999999" x14ac:dyDescent="0.3">
      <c r="A44" s="142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7.399999999999999" x14ac:dyDescent="0.3">
      <c r="A45" s="142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7.399999999999999" x14ac:dyDescent="0.3">
      <c r="A46" s="142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7.399999999999999" x14ac:dyDescent="0.3">
      <c r="A47" s="142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A015-4E55-4C5A-A6A9-925DBA45A0C3}">
  <dimension ref="A3:Q47"/>
  <sheetViews>
    <sheetView zoomScale="70" zoomScaleNormal="70" workbookViewId="0">
      <selection activeCell="H22" sqref="H22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116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1300000</v>
      </c>
      <c r="G7" s="41">
        <f>IF(F7="",0,IF(F7&gt;1700000,F7*O$19,F7*O$18))</f>
        <v>780000</v>
      </c>
      <c r="H7" s="41">
        <v>780000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1235000</v>
      </c>
      <c r="G8" s="41">
        <f>IF(F8="",0,IF(F8&gt;1700000,F8*O$19,F8*O$18))</f>
        <v>741000</v>
      </c>
      <c r="H8" s="41">
        <v>620000</v>
      </c>
      <c r="I8" s="41">
        <f t="shared" ref="I8:I18" si="0">G8-H8</f>
        <v>121000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800000</v>
      </c>
      <c r="G9" s="41">
        <f>IF(F9="",0,IF(F9&gt;1700000,F9*O$19,F9*O$18))</f>
        <v>480000</v>
      </c>
      <c r="H9" s="44"/>
      <c r="I9" s="41">
        <f t="shared" si="0"/>
        <v>480000</v>
      </c>
      <c r="J9" s="48" t="s">
        <v>64</v>
      </c>
      <c r="K9" s="96" t="s">
        <v>117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1200000</v>
      </c>
      <c r="G10" s="41">
        <f>IF(F10="",0,IF(F10&gt;1700000,F10*O$19,F10*O$18))</f>
        <v>720000</v>
      </c>
      <c r="H10" s="44">
        <v>720000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30573000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150000</v>
      </c>
      <c r="G11" s="41">
        <f>IF(F11="",0,IF(F11&gt;1700000,F11*O$19,F11*O$18))</f>
        <v>90000</v>
      </c>
      <c r="H11" s="44">
        <v>90000</v>
      </c>
      <c r="I11" s="41">
        <f t="shared" si="0"/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48" t="s">
        <v>95</v>
      </c>
      <c r="O12" s="148"/>
      <c r="P12" s="147">
        <f>SUM(G7:G1006)</f>
        <v>16022500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9" t="s">
        <v>88</v>
      </c>
      <c r="O15" s="149"/>
      <c r="P15" s="67">
        <f>SUM(H7:H1006)</f>
        <v>15420500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4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39</v>
      </c>
      <c r="D20" s="74"/>
      <c r="E20" s="74" t="s">
        <v>13</v>
      </c>
      <c r="F20" s="75">
        <v>2320000</v>
      </c>
      <c r="G20" s="75">
        <f t="shared" ref="G20:G47" si="3">IF(F20="",0,IF(F20&gt;=1700000,F20*O$19,F20*O$18))</f>
        <v>1160000</v>
      </c>
      <c r="H20" s="75">
        <v>1160000</v>
      </c>
      <c r="I20" s="75">
        <f t="shared" ref="I20:I47" si="4">G20-H20</f>
        <v>0</v>
      </c>
      <c r="J20" s="49" t="s">
        <v>63</v>
      </c>
      <c r="K20" s="85"/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>
        <v>500000</v>
      </c>
      <c r="G21" s="75">
        <f t="shared" si="3"/>
        <v>300000</v>
      </c>
      <c r="H21" s="79">
        <v>300000</v>
      </c>
      <c r="I21" s="75">
        <f t="shared" si="4"/>
        <v>0</v>
      </c>
      <c r="J21" s="49" t="s">
        <v>63</v>
      </c>
      <c r="K21" s="85"/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42</v>
      </c>
      <c r="D22" s="81"/>
      <c r="E22" s="81" t="s">
        <v>21</v>
      </c>
      <c r="F22" s="75">
        <v>2320000</v>
      </c>
      <c r="G22" s="75">
        <f t="shared" si="3"/>
        <v>1160000</v>
      </c>
      <c r="H22" s="79">
        <v>1160000</v>
      </c>
      <c r="I22" s="75">
        <f t="shared" si="4"/>
        <v>0</v>
      </c>
      <c r="J22" s="49" t="s">
        <v>63</v>
      </c>
      <c r="K22" s="85"/>
      <c r="L22" s="82"/>
    </row>
    <row r="23" spans="1:17" ht="16.5" customHeight="1" x14ac:dyDescent="0.25">
      <c r="A23" s="142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84"/>
      <c r="L23" s="76"/>
    </row>
    <row r="24" spans="1:17" ht="16.5" customHeight="1" x14ac:dyDescent="0.25">
      <c r="A24" s="142"/>
      <c r="B24" s="38">
        <f t="shared" si="5"/>
        <v>5</v>
      </c>
      <c r="C24" s="73" t="s">
        <v>68</v>
      </c>
      <c r="D24" s="81"/>
      <c r="E24" s="81" t="s">
        <v>26</v>
      </c>
      <c r="F24" s="75">
        <v>1700000</v>
      </c>
      <c r="G24" s="75">
        <f t="shared" si="3"/>
        <v>850000</v>
      </c>
      <c r="H24" s="79">
        <v>850000</v>
      </c>
      <c r="I24" s="75">
        <f t="shared" si="4"/>
        <v>0</v>
      </c>
      <c r="J24" s="49" t="s">
        <v>63</v>
      </c>
      <c r="K24" s="85"/>
      <c r="L24" s="82"/>
    </row>
    <row r="25" spans="1:17" ht="16.5" customHeight="1" x14ac:dyDescent="0.25">
      <c r="A25" s="142"/>
      <c r="B25" s="38">
        <f t="shared" si="5"/>
        <v>6</v>
      </c>
      <c r="C25" s="73" t="s">
        <v>107</v>
      </c>
      <c r="D25" s="81"/>
      <c r="E25" s="81" t="s">
        <v>53</v>
      </c>
      <c r="F25" s="75">
        <v>1105000</v>
      </c>
      <c r="G25" s="75">
        <f t="shared" si="3"/>
        <v>663000</v>
      </c>
      <c r="H25" s="79">
        <v>663000</v>
      </c>
      <c r="I25" s="75">
        <f t="shared" si="4"/>
        <v>0</v>
      </c>
      <c r="J25" s="49" t="s">
        <v>63</v>
      </c>
      <c r="K25" s="84"/>
      <c r="L25" s="76"/>
    </row>
    <row r="26" spans="1:17" ht="22.2" customHeight="1" x14ac:dyDescent="0.25">
      <c r="A26" s="142"/>
      <c r="B26" s="38">
        <f t="shared" si="5"/>
        <v>7</v>
      </c>
      <c r="C26" s="73" t="s">
        <v>49</v>
      </c>
      <c r="D26" s="76"/>
      <c r="E26" s="76" t="s">
        <v>104</v>
      </c>
      <c r="F26" s="75">
        <v>1700000</v>
      </c>
      <c r="G26" s="75">
        <f t="shared" si="3"/>
        <v>850000</v>
      </c>
      <c r="H26" s="75">
        <v>850000</v>
      </c>
      <c r="I26" s="75">
        <f t="shared" si="4"/>
        <v>0</v>
      </c>
      <c r="J26" s="49" t="s">
        <v>63</v>
      </c>
      <c r="K26" s="85"/>
      <c r="L26" s="76"/>
    </row>
    <row r="27" spans="1:17" ht="20.399999999999999" customHeight="1" x14ac:dyDescent="0.25">
      <c r="A27" s="142"/>
      <c r="B27" s="38">
        <f t="shared" si="5"/>
        <v>8</v>
      </c>
      <c r="C27" s="77" t="s">
        <v>75</v>
      </c>
      <c r="D27" s="80"/>
      <c r="E27" s="76" t="s">
        <v>70</v>
      </c>
      <c r="F27" s="79">
        <v>3155000</v>
      </c>
      <c r="G27" s="75">
        <f t="shared" si="3"/>
        <v>1577500</v>
      </c>
      <c r="H27" s="75">
        <v>1577500</v>
      </c>
      <c r="I27" s="75">
        <f t="shared" si="4"/>
        <v>0</v>
      </c>
      <c r="J27" s="49" t="s">
        <v>63</v>
      </c>
      <c r="K27" s="85"/>
      <c r="L27" s="76"/>
    </row>
    <row r="28" spans="1:17" ht="16.5" customHeight="1" x14ac:dyDescent="0.35">
      <c r="A28" s="142"/>
      <c r="B28" s="38">
        <f t="shared" si="5"/>
        <v>9</v>
      </c>
      <c r="C28" s="77" t="s">
        <v>103</v>
      </c>
      <c r="D28" s="87"/>
      <c r="E28" s="86" t="s">
        <v>76</v>
      </c>
      <c r="F28" s="79">
        <v>2065000</v>
      </c>
      <c r="G28" s="75">
        <f t="shared" si="3"/>
        <v>1032500</v>
      </c>
      <c r="H28" s="79">
        <v>1032000</v>
      </c>
      <c r="I28" s="75">
        <f t="shared" si="4"/>
        <v>500</v>
      </c>
      <c r="J28" s="49" t="s">
        <v>63</v>
      </c>
      <c r="K28" s="91"/>
      <c r="L28" s="76"/>
    </row>
    <row r="29" spans="1:17" ht="16.5" customHeight="1" x14ac:dyDescent="0.35">
      <c r="A29" s="142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06"/>
      <c r="L29" s="93"/>
    </row>
    <row r="30" spans="1:17" ht="16.5" customHeight="1" x14ac:dyDescent="0.25">
      <c r="A30" s="142"/>
      <c r="B30" s="38">
        <f t="shared" si="5"/>
        <v>11</v>
      </c>
      <c r="C30" s="88" t="s">
        <v>93</v>
      </c>
      <c r="D30" s="74"/>
      <c r="E30" s="81" t="s">
        <v>24</v>
      </c>
      <c r="F30" s="89">
        <v>1900000</v>
      </c>
      <c r="G30" s="75">
        <f t="shared" si="3"/>
        <v>950000</v>
      </c>
      <c r="H30" s="119">
        <v>950000</v>
      </c>
      <c r="I30" s="75">
        <f t="shared" si="4"/>
        <v>0</v>
      </c>
      <c r="J30" s="49" t="s">
        <v>63</v>
      </c>
      <c r="K30" s="85"/>
      <c r="L30" s="80"/>
    </row>
    <row r="31" spans="1:17" ht="15" customHeight="1" x14ac:dyDescent="0.35">
      <c r="A31" s="142"/>
      <c r="B31" s="38">
        <f t="shared" si="5"/>
        <v>12</v>
      </c>
      <c r="C31" s="88" t="s">
        <v>97</v>
      </c>
      <c r="D31" s="81"/>
      <c r="E31" s="76" t="s">
        <v>106</v>
      </c>
      <c r="F31" s="89">
        <v>2070000</v>
      </c>
      <c r="G31" s="75">
        <f t="shared" si="3"/>
        <v>1035000</v>
      </c>
      <c r="H31" s="89">
        <v>1035000</v>
      </c>
      <c r="I31" s="75">
        <f t="shared" si="4"/>
        <v>0</v>
      </c>
      <c r="J31" s="49" t="s">
        <v>63</v>
      </c>
      <c r="K31" s="106"/>
      <c r="L31" s="93"/>
    </row>
    <row r="32" spans="1:17" ht="15" customHeight="1" x14ac:dyDescent="0.35">
      <c r="A32" s="142"/>
      <c r="B32" s="38">
        <f t="shared" si="5"/>
        <v>13</v>
      </c>
      <c r="C32" s="88" t="s">
        <v>108</v>
      </c>
      <c r="D32" s="78"/>
      <c r="E32" s="81" t="s">
        <v>52</v>
      </c>
      <c r="F32" s="75">
        <v>1070000</v>
      </c>
      <c r="G32" s="75">
        <f t="shared" si="3"/>
        <v>642000</v>
      </c>
      <c r="H32" s="75">
        <v>642000</v>
      </c>
      <c r="I32" s="75">
        <f t="shared" si="4"/>
        <v>0</v>
      </c>
      <c r="J32" s="49" t="s">
        <v>63</v>
      </c>
      <c r="K32" s="106"/>
      <c r="L32" s="93"/>
    </row>
    <row r="33" spans="1:12" ht="18.75" customHeight="1" x14ac:dyDescent="0.35">
      <c r="A33" s="142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06"/>
      <c r="L33" s="76"/>
    </row>
    <row r="34" spans="1:12" ht="18" x14ac:dyDescent="0.3">
      <c r="A34" s="142"/>
      <c r="B34" s="38">
        <f t="shared" si="5"/>
        <v>15</v>
      </c>
      <c r="C34" s="77" t="s">
        <v>110</v>
      </c>
      <c r="D34" s="87"/>
      <c r="E34" s="81" t="s">
        <v>98</v>
      </c>
      <c r="F34" s="79">
        <v>1910000</v>
      </c>
      <c r="G34" s="75">
        <f t="shared" si="3"/>
        <v>955000</v>
      </c>
      <c r="H34" s="79">
        <v>955000</v>
      </c>
      <c r="I34" s="75">
        <f t="shared" si="4"/>
        <v>0</v>
      </c>
      <c r="J34" s="49" t="s">
        <v>63</v>
      </c>
      <c r="K34" s="92"/>
      <c r="L34" s="76"/>
    </row>
    <row r="35" spans="1:12" ht="18" x14ac:dyDescent="0.3">
      <c r="A35" s="142"/>
      <c r="B35" s="38">
        <f t="shared" si="5"/>
        <v>16</v>
      </c>
      <c r="C35" s="87" t="s">
        <v>109</v>
      </c>
      <c r="D35" s="87"/>
      <c r="E35" s="81" t="s">
        <v>35</v>
      </c>
      <c r="F35" s="118">
        <v>1890000</v>
      </c>
      <c r="G35" s="75">
        <f t="shared" si="3"/>
        <v>945000</v>
      </c>
      <c r="H35" s="118">
        <v>945000</v>
      </c>
      <c r="I35" s="75">
        <f t="shared" si="4"/>
        <v>0</v>
      </c>
      <c r="J35" s="49" t="s">
        <v>63</v>
      </c>
      <c r="K35" s="85"/>
      <c r="L35" s="80"/>
    </row>
    <row r="36" spans="1:12" ht="17.399999999999999" x14ac:dyDescent="0.3">
      <c r="A36" s="142"/>
      <c r="B36" s="38">
        <f t="shared" si="5"/>
        <v>17</v>
      </c>
      <c r="C36" s="87" t="s">
        <v>111</v>
      </c>
      <c r="D36" s="120"/>
      <c r="E36" s="81" t="s">
        <v>15</v>
      </c>
      <c r="F36" s="118">
        <v>2183000</v>
      </c>
      <c r="G36" s="75">
        <f t="shared" si="3"/>
        <v>1091500</v>
      </c>
      <c r="H36" s="118">
        <v>1091000</v>
      </c>
      <c r="I36" s="75">
        <f t="shared" si="4"/>
        <v>500</v>
      </c>
      <c r="J36" s="49" t="s">
        <v>63</v>
      </c>
      <c r="K36" s="96"/>
      <c r="L36" s="46"/>
    </row>
    <row r="37" spans="1:12" ht="17.399999999999999" x14ac:dyDescent="0.3">
      <c r="A37" s="142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7B8B-2BBD-4D18-BE8C-6301B6B835E6}">
  <dimension ref="A3:Q47"/>
  <sheetViews>
    <sheetView zoomScale="70" zoomScaleNormal="70" workbookViewId="0">
      <selection activeCell="P37" sqref="P37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120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1100000</v>
      </c>
      <c r="G7" s="41">
        <f>IF(F7="",0,IF(F7&gt;1700000,F7*O$19,F7*O$18))</f>
        <v>660000</v>
      </c>
      <c r="H7" s="41">
        <v>660000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1145000</v>
      </c>
      <c r="G8" s="41">
        <f>IF(F8="",0,IF(F8&gt;1700000,F8*O$19,F8*O$18))</f>
        <v>687000</v>
      </c>
      <c r="H8" s="41">
        <v>570000</v>
      </c>
      <c r="I8" s="41">
        <f t="shared" ref="I8:I18" si="0">G8-H8</f>
        <v>117000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122" t="s">
        <v>102</v>
      </c>
      <c r="D9" s="123"/>
      <c r="E9" s="124" t="s">
        <v>71</v>
      </c>
      <c r="F9" s="125"/>
      <c r="G9" s="125">
        <f>IF(F9="",0,IF(F9&gt;1700000,F9*O$19,F9*O$18))</f>
        <v>0</v>
      </c>
      <c r="H9" s="126"/>
      <c r="I9" s="125">
        <f t="shared" si="0"/>
        <v>0</v>
      </c>
      <c r="J9" s="127"/>
      <c r="K9" s="96" t="s">
        <v>119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3545000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300000</v>
      </c>
      <c r="G11" s="41">
        <f>IF(F11="",0,IF(F11&gt;1700000,F11*O$19,F11*O$18))</f>
        <v>180000</v>
      </c>
      <c r="H11" s="44">
        <v>180000</v>
      </c>
      <c r="I11" s="41">
        <f t="shared" si="0"/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48" t="s">
        <v>95</v>
      </c>
      <c r="O12" s="148"/>
      <c r="P12" s="147">
        <f>SUM(G7:G1006)</f>
        <v>2127000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9" t="s">
        <v>88</v>
      </c>
      <c r="O15" s="149"/>
      <c r="P15" s="67">
        <f>SUM(H7:H1006)</f>
        <v>2010000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4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21" t="s">
        <v>118</v>
      </c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49"/>
      <c r="K21" s="121" t="s">
        <v>118</v>
      </c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42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21" t="s">
        <v>118</v>
      </c>
      <c r="L22" s="82"/>
    </row>
    <row r="23" spans="1:17" ht="16.5" customHeight="1" x14ac:dyDescent="0.25">
      <c r="A23" s="142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121" t="s">
        <v>118</v>
      </c>
      <c r="L23" s="76"/>
    </row>
    <row r="24" spans="1:17" ht="16.5" customHeight="1" x14ac:dyDescent="0.25">
      <c r="A24" s="142"/>
      <c r="B24" s="38">
        <f t="shared" si="5"/>
        <v>5</v>
      </c>
      <c r="C24" s="73" t="s">
        <v>68</v>
      </c>
      <c r="D24" s="81"/>
      <c r="E24" s="81" t="s">
        <v>26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21" t="s">
        <v>118</v>
      </c>
      <c r="L24" s="82"/>
    </row>
    <row r="25" spans="1:17" ht="16.5" customHeight="1" x14ac:dyDescent="0.25">
      <c r="A25" s="142"/>
      <c r="B25" s="38">
        <f t="shared" si="5"/>
        <v>6</v>
      </c>
      <c r="C25" s="73" t="s">
        <v>107</v>
      </c>
      <c r="D25" s="81"/>
      <c r="E25" s="81" t="s">
        <v>53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21" t="s">
        <v>118</v>
      </c>
      <c r="L25" s="76"/>
    </row>
    <row r="26" spans="1:17" ht="22.2" customHeight="1" x14ac:dyDescent="0.25">
      <c r="A26" s="142"/>
      <c r="B26" s="38">
        <f t="shared" si="5"/>
        <v>7</v>
      </c>
      <c r="C26" s="73" t="s">
        <v>49</v>
      </c>
      <c r="D26" s="76"/>
      <c r="E26" s="76" t="s">
        <v>104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21" t="s">
        <v>118</v>
      </c>
      <c r="L26" s="76"/>
    </row>
    <row r="27" spans="1:17" ht="20.399999999999999" customHeight="1" x14ac:dyDescent="0.25">
      <c r="A27" s="142"/>
      <c r="B27" s="38">
        <f t="shared" si="5"/>
        <v>8</v>
      </c>
      <c r="C27" s="77" t="s">
        <v>75</v>
      </c>
      <c r="D27" s="80"/>
      <c r="E27" s="76" t="s">
        <v>70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21" t="s">
        <v>118</v>
      </c>
      <c r="L27" s="76"/>
    </row>
    <row r="28" spans="1:17" ht="16.5" customHeight="1" x14ac:dyDescent="0.3">
      <c r="A28" s="142"/>
      <c r="B28" s="38">
        <f t="shared" si="5"/>
        <v>9</v>
      </c>
      <c r="C28" s="77" t="s">
        <v>103</v>
      </c>
      <c r="D28" s="87"/>
      <c r="E28" s="86" t="s">
        <v>76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21" t="s">
        <v>118</v>
      </c>
      <c r="L28" s="76"/>
    </row>
    <row r="29" spans="1:17" ht="16.5" customHeight="1" x14ac:dyDescent="0.3">
      <c r="A29" s="142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21" t="s">
        <v>118</v>
      </c>
      <c r="L29" s="93"/>
    </row>
    <row r="30" spans="1:17" ht="16.5" customHeight="1" x14ac:dyDescent="0.25">
      <c r="A30" s="142"/>
      <c r="B30" s="38">
        <f t="shared" si="5"/>
        <v>11</v>
      </c>
      <c r="C30" s="88" t="s">
        <v>93</v>
      </c>
      <c r="D30" s="74"/>
      <c r="E30" s="81" t="s">
        <v>24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21" t="s">
        <v>118</v>
      </c>
      <c r="L30" s="80"/>
    </row>
    <row r="31" spans="1:17" ht="15" customHeight="1" x14ac:dyDescent="0.3">
      <c r="A31" s="142"/>
      <c r="B31" s="38">
        <f t="shared" si="5"/>
        <v>12</v>
      </c>
      <c r="C31" s="88" t="s">
        <v>97</v>
      </c>
      <c r="D31" s="81"/>
      <c r="E31" s="76" t="s">
        <v>106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21" t="s">
        <v>118</v>
      </c>
      <c r="L31" s="93"/>
    </row>
    <row r="32" spans="1:17" ht="15" customHeight="1" x14ac:dyDescent="0.3">
      <c r="A32" s="142"/>
      <c r="B32" s="38">
        <f t="shared" si="5"/>
        <v>13</v>
      </c>
      <c r="C32" s="88" t="s">
        <v>108</v>
      </c>
      <c r="D32" s="78"/>
      <c r="E32" s="81" t="s">
        <v>52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21" t="s">
        <v>118</v>
      </c>
      <c r="L32" s="93"/>
    </row>
    <row r="33" spans="1:12" ht="18.75" customHeight="1" x14ac:dyDescent="0.3">
      <c r="A33" s="142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21" t="s">
        <v>118</v>
      </c>
      <c r="L33" s="76"/>
    </row>
    <row r="34" spans="1:12" ht="17.399999999999999" x14ac:dyDescent="0.3">
      <c r="A34" s="142"/>
      <c r="B34" s="38">
        <f t="shared" si="5"/>
        <v>15</v>
      </c>
      <c r="C34" s="77" t="s">
        <v>110</v>
      </c>
      <c r="D34" s="87"/>
      <c r="E34" s="81" t="s">
        <v>98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21" t="s">
        <v>118</v>
      </c>
      <c r="L34" s="76"/>
    </row>
    <row r="35" spans="1:12" ht="17.399999999999999" x14ac:dyDescent="0.3">
      <c r="A35" s="142"/>
      <c r="B35" s="38">
        <f t="shared" si="5"/>
        <v>16</v>
      </c>
      <c r="C35" s="87" t="s">
        <v>109</v>
      </c>
      <c r="D35" s="87"/>
      <c r="E35" s="81" t="s">
        <v>35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21" t="s">
        <v>118</v>
      </c>
      <c r="L35" s="80"/>
    </row>
    <row r="36" spans="1:12" ht="17.399999999999999" x14ac:dyDescent="0.3">
      <c r="A36" s="142"/>
      <c r="B36" s="38">
        <f t="shared" si="5"/>
        <v>17</v>
      </c>
      <c r="C36" s="87" t="s">
        <v>111</v>
      </c>
      <c r="D36" s="120"/>
      <c r="E36" s="81" t="s">
        <v>15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21" t="s">
        <v>118</v>
      </c>
      <c r="L36" s="46"/>
    </row>
    <row r="37" spans="1:12" ht="17.399999999999999" x14ac:dyDescent="0.3">
      <c r="A37" s="142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C35F-5774-4DEE-9905-7B7C61A41D99}">
  <dimension ref="A3:Q47"/>
  <sheetViews>
    <sheetView topLeftCell="A5" zoomScale="70" zoomScaleNormal="70" workbookViewId="0">
      <selection activeCell="H7" sqref="H7:H11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137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1200000</v>
      </c>
      <c r="G7" s="41">
        <f>IF(F7="",0,IF(F7&gt;1800000,F7*O$19,F7*O$18))</f>
        <v>720000</v>
      </c>
      <c r="H7" s="41">
        <v>720000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/>
      <c r="D8" s="45"/>
      <c r="E8" s="72" t="s">
        <v>65</v>
      </c>
      <c r="F8" s="41"/>
      <c r="G8" s="41">
        <f t="shared" ref="G8:G18" si="0">IF(F8="",0,IF(F8&gt;1800000,F8*O$19,F8*O$18))</f>
        <v>0</v>
      </c>
      <c r="H8" s="41"/>
      <c r="I8" s="41">
        <f t="shared" ref="I8:I18" si="1">G8-H8</f>
        <v>0</v>
      </c>
      <c r="J8" s="128"/>
      <c r="K8" s="130"/>
      <c r="L8" s="46"/>
      <c r="N8" s="48" t="s">
        <v>64</v>
      </c>
    </row>
    <row r="9" spans="1:16" ht="16.5" customHeight="1" x14ac:dyDescent="0.25">
      <c r="A9" s="144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30" t="s">
        <v>114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1150000</v>
      </c>
      <c r="G10" s="41">
        <f t="shared" si="0"/>
        <v>690000</v>
      </c>
      <c r="H10" s="44">
        <v>690000</v>
      </c>
      <c r="I10" s="41">
        <f t="shared" si="1"/>
        <v>0</v>
      </c>
      <c r="J10" s="50" t="s">
        <v>25</v>
      </c>
      <c r="K10" s="130"/>
      <c r="L10" s="46"/>
      <c r="N10" s="146" t="s">
        <v>28</v>
      </c>
      <c r="O10" s="146"/>
      <c r="P10" s="147">
        <f>SUM(F7:F1006)</f>
        <v>40751000</v>
      </c>
    </row>
    <row r="11" spans="1:16" ht="16.5" customHeight="1" x14ac:dyDescent="0.25">
      <c r="A11" s="144"/>
      <c r="B11" s="38">
        <f t="shared" si="2"/>
        <v>5</v>
      </c>
      <c r="C11" s="42" t="s">
        <v>112</v>
      </c>
      <c r="D11" s="43"/>
      <c r="E11" s="60" t="s">
        <v>76</v>
      </c>
      <c r="F11" s="44">
        <v>200000</v>
      </c>
      <c r="G11" s="41">
        <f t="shared" si="0"/>
        <v>120000</v>
      </c>
      <c r="H11" s="44">
        <v>120000</v>
      </c>
      <c r="I11" s="41">
        <f t="shared" si="1"/>
        <v>0</v>
      </c>
      <c r="J11" s="50" t="s">
        <v>25</v>
      </c>
      <c r="K11" s="130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48" t="s">
        <v>95</v>
      </c>
      <c r="O12" s="148"/>
      <c r="P12" s="147">
        <f>SUM(G7:G1006)</f>
        <v>20907500</v>
      </c>
    </row>
    <row r="13" spans="1:16" ht="22.5" customHeight="1" x14ac:dyDescent="0.25">
      <c r="A13" s="144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49" t="s">
        <v>88</v>
      </c>
      <c r="O15" s="149"/>
      <c r="P15" s="67">
        <f>SUM(H7:H1006)</f>
        <v>21280000</v>
      </c>
    </row>
    <row r="16" spans="1:16" ht="16.5" customHeight="1" x14ac:dyDescent="0.25">
      <c r="A16" s="144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44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4">
      <c r="A18" s="144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124</v>
      </c>
      <c r="D20" s="74"/>
      <c r="E20" s="74" t="s">
        <v>13</v>
      </c>
      <c r="F20" s="75">
        <v>2500000</v>
      </c>
      <c r="G20" s="75">
        <f t="shared" ref="G20:G47" si="3">IF(F20="",0,IF(F20&gt;=1700000,F20*O$19,F20*O$18))</f>
        <v>1250000</v>
      </c>
      <c r="H20" s="75">
        <v>1250000</v>
      </c>
      <c r="I20" s="75">
        <f t="shared" ref="I20:I47" si="4">G20-H20</f>
        <v>0</v>
      </c>
      <c r="J20" s="49" t="s">
        <v>63</v>
      </c>
      <c r="K20" s="132"/>
      <c r="L20" s="76"/>
    </row>
    <row r="21" spans="1:17" ht="16.5" customHeight="1" x14ac:dyDescent="0.25">
      <c r="A21" s="142"/>
      <c r="B21" s="38">
        <f>B20+1</f>
        <v>2</v>
      </c>
      <c r="C21" s="133" t="s">
        <v>125</v>
      </c>
      <c r="D21" s="134"/>
      <c r="E21" s="134" t="s">
        <v>105</v>
      </c>
      <c r="F21" s="115"/>
      <c r="G21" s="109">
        <f t="shared" si="3"/>
        <v>0</v>
      </c>
      <c r="H21" s="115"/>
      <c r="I21" s="109">
        <f t="shared" si="4"/>
        <v>0</v>
      </c>
      <c r="J21" s="135"/>
      <c r="K21" s="136" t="s">
        <v>132</v>
      </c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2340000</v>
      </c>
      <c r="G22" s="75">
        <f t="shared" si="3"/>
        <v>1170000</v>
      </c>
      <c r="H22" s="79">
        <v>1170000</v>
      </c>
      <c r="I22" s="75">
        <f t="shared" si="4"/>
        <v>0</v>
      </c>
      <c r="J22" s="49" t="s">
        <v>63</v>
      </c>
      <c r="K22" s="132"/>
      <c r="L22" s="82"/>
    </row>
    <row r="23" spans="1:17" ht="16.5" customHeight="1" x14ac:dyDescent="0.25">
      <c r="A23" s="142"/>
      <c r="B23" s="38">
        <f t="shared" si="5"/>
        <v>4</v>
      </c>
      <c r="C23" s="73" t="s">
        <v>126</v>
      </c>
      <c r="D23" s="81"/>
      <c r="E23" s="81" t="s">
        <v>26</v>
      </c>
      <c r="F23" s="75">
        <v>1430000</v>
      </c>
      <c r="G23" s="75">
        <f t="shared" si="3"/>
        <v>858000</v>
      </c>
      <c r="H23" s="75">
        <v>858000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42"/>
      <c r="B24" s="38">
        <f t="shared" si="5"/>
        <v>5</v>
      </c>
      <c r="C24" s="73" t="s">
        <v>107</v>
      </c>
      <c r="D24" s="81"/>
      <c r="E24" s="81" t="s">
        <v>53</v>
      </c>
      <c r="F24" s="75">
        <v>2840000</v>
      </c>
      <c r="G24" s="75">
        <f t="shared" si="3"/>
        <v>1420000</v>
      </c>
      <c r="H24" s="79">
        <v>1420000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42"/>
      <c r="B25" s="38">
        <f t="shared" si="5"/>
        <v>6</v>
      </c>
      <c r="C25" s="73" t="s">
        <v>128</v>
      </c>
      <c r="D25" s="76"/>
      <c r="E25" s="76" t="s">
        <v>104</v>
      </c>
      <c r="F25" s="75">
        <v>2170000</v>
      </c>
      <c r="G25" s="75">
        <f t="shared" si="3"/>
        <v>1085000</v>
      </c>
      <c r="H25" s="79">
        <v>1100000</v>
      </c>
      <c r="I25" s="75">
        <f t="shared" si="4"/>
        <v>-15000</v>
      </c>
      <c r="J25" s="49" t="s">
        <v>63</v>
      </c>
      <c r="K25" s="132"/>
      <c r="L25" s="76"/>
    </row>
    <row r="26" spans="1:17" ht="22.2" customHeight="1" x14ac:dyDescent="0.25">
      <c r="A26" s="142"/>
      <c r="B26" s="38">
        <f t="shared" si="5"/>
        <v>7</v>
      </c>
      <c r="C26" s="77" t="s">
        <v>75</v>
      </c>
      <c r="D26" s="80"/>
      <c r="E26" s="76" t="s">
        <v>70</v>
      </c>
      <c r="F26" s="75">
        <v>2592000</v>
      </c>
      <c r="G26" s="75">
        <f t="shared" si="3"/>
        <v>1296000</v>
      </c>
      <c r="H26" s="75">
        <v>1296000</v>
      </c>
      <c r="I26" s="75">
        <f t="shared" si="4"/>
        <v>0</v>
      </c>
      <c r="J26" s="49" t="s">
        <v>63</v>
      </c>
      <c r="K26" s="132"/>
      <c r="L26" s="76"/>
    </row>
    <row r="27" spans="1:17" ht="20.399999999999999" customHeight="1" x14ac:dyDescent="0.3">
      <c r="A27" s="142"/>
      <c r="B27" s="38">
        <f t="shared" si="5"/>
        <v>8</v>
      </c>
      <c r="C27" s="77" t="s">
        <v>123</v>
      </c>
      <c r="D27" s="87"/>
      <c r="E27" s="86" t="s">
        <v>76</v>
      </c>
      <c r="F27" s="79">
        <v>2888000</v>
      </c>
      <c r="G27" s="75">
        <f t="shared" si="3"/>
        <v>1444000</v>
      </c>
      <c r="H27" s="75">
        <v>1444000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42"/>
      <c r="B28" s="38">
        <f t="shared" si="5"/>
        <v>9</v>
      </c>
      <c r="C28" s="88" t="s">
        <v>129</v>
      </c>
      <c r="D28" s="74"/>
      <c r="E28" s="81" t="s">
        <v>24</v>
      </c>
      <c r="F28" s="79">
        <v>2000000</v>
      </c>
      <c r="G28" s="75">
        <f t="shared" si="3"/>
        <v>1000000</v>
      </c>
      <c r="H28" s="79">
        <v>1000000</v>
      </c>
      <c r="I28" s="75">
        <f t="shared" si="4"/>
        <v>0</v>
      </c>
      <c r="J28" s="49" t="s">
        <v>63</v>
      </c>
      <c r="K28" s="132" t="s">
        <v>131</v>
      </c>
      <c r="L28" s="76"/>
    </row>
    <row r="29" spans="1:17" ht="16.5" customHeight="1" x14ac:dyDescent="0.3">
      <c r="A29" s="142"/>
      <c r="B29" s="38">
        <f t="shared" si="5"/>
        <v>10</v>
      </c>
      <c r="C29" s="88" t="s">
        <v>97</v>
      </c>
      <c r="D29" s="81"/>
      <c r="E29" s="76" t="s">
        <v>106</v>
      </c>
      <c r="F29" s="118">
        <v>4180000</v>
      </c>
      <c r="G29" s="75">
        <f t="shared" si="3"/>
        <v>2090000</v>
      </c>
      <c r="H29" s="118">
        <v>2090000</v>
      </c>
      <c r="I29" s="75">
        <f t="shared" si="4"/>
        <v>0</v>
      </c>
      <c r="J29" s="49" t="s">
        <v>63</v>
      </c>
      <c r="K29" s="132" t="s">
        <v>121</v>
      </c>
      <c r="L29" s="93"/>
    </row>
    <row r="30" spans="1:17" ht="16.5" customHeight="1" x14ac:dyDescent="0.25">
      <c r="A30" s="142"/>
      <c r="B30" s="38">
        <f t="shared" si="5"/>
        <v>11</v>
      </c>
      <c r="C30" s="88" t="s">
        <v>108</v>
      </c>
      <c r="D30" s="78"/>
      <c r="E30" s="81" t="s">
        <v>52</v>
      </c>
      <c r="F30" s="89">
        <v>2070000</v>
      </c>
      <c r="G30" s="75">
        <f t="shared" si="3"/>
        <v>1035000</v>
      </c>
      <c r="H30" s="119">
        <v>1035000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42"/>
      <c r="B31" s="38">
        <f t="shared" si="5"/>
        <v>12</v>
      </c>
      <c r="C31" s="77" t="s">
        <v>103</v>
      </c>
      <c r="D31" s="74"/>
      <c r="E31" s="74" t="s">
        <v>16</v>
      </c>
      <c r="F31" s="89">
        <v>2490000</v>
      </c>
      <c r="G31" s="75">
        <f t="shared" si="3"/>
        <v>1245000</v>
      </c>
      <c r="H31" s="89">
        <v>1245000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42"/>
      <c r="B32" s="38">
        <f t="shared" si="5"/>
        <v>13</v>
      </c>
      <c r="C32" s="77" t="s">
        <v>110</v>
      </c>
      <c r="D32" s="87"/>
      <c r="E32" s="81" t="s">
        <v>98</v>
      </c>
      <c r="F32" s="75">
        <v>1340000</v>
      </c>
      <c r="G32" s="75">
        <f t="shared" si="3"/>
        <v>804000</v>
      </c>
      <c r="H32" s="75">
        <v>804000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42"/>
      <c r="B33" s="38">
        <f t="shared" si="5"/>
        <v>14</v>
      </c>
      <c r="C33" s="87" t="s">
        <v>109</v>
      </c>
      <c r="D33" s="87"/>
      <c r="E33" s="81" t="s">
        <v>35</v>
      </c>
      <c r="F33" s="90">
        <v>2146000</v>
      </c>
      <c r="G33" s="75">
        <f t="shared" si="3"/>
        <v>1073000</v>
      </c>
      <c r="H33" s="89">
        <v>1287000</v>
      </c>
      <c r="I33" s="75">
        <f t="shared" si="4"/>
        <v>-214000</v>
      </c>
      <c r="J33" s="49" t="s">
        <v>63</v>
      </c>
      <c r="K33" s="89" t="s">
        <v>136</v>
      </c>
      <c r="L33" s="76"/>
    </row>
    <row r="34" spans="1:12" ht="17.399999999999999" x14ac:dyDescent="0.3">
      <c r="A34" s="142"/>
      <c r="B34" s="38">
        <f t="shared" si="5"/>
        <v>15</v>
      </c>
      <c r="C34" s="87" t="s">
        <v>111</v>
      </c>
      <c r="D34" s="120"/>
      <c r="E34" s="81" t="s">
        <v>15</v>
      </c>
      <c r="F34" s="79">
        <v>3385000</v>
      </c>
      <c r="G34" s="75">
        <f t="shared" si="3"/>
        <v>1692500</v>
      </c>
      <c r="H34" s="79">
        <v>1831000</v>
      </c>
      <c r="I34" s="75">
        <f t="shared" si="4"/>
        <v>-138500</v>
      </c>
      <c r="J34" s="49" t="s">
        <v>63</v>
      </c>
      <c r="K34" s="132" t="s">
        <v>135</v>
      </c>
      <c r="L34" s="76"/>
    </row>
    <row r="35" spans="1:12" ht="17.399999999999999" x14ac:dyDescent="0.3">
      <c r="A35" s="142"/>
      <c r="B35" s="38">
        <f t="shared" si="5"/>
        <v>16</v>
      </c>
      <c r="C35" s="93" t="s">
        <v>122</v>
      </c>
      <c r="D35" s="57"/>
      <c r="E35" s="86" t="s">
        <v>76</v>
      </c>
      <c r="F35" s="118">
        <v>1770000</v>
      </c>
      <c r="G35" s="75">
        <f t="shared" si="3"/>
        <v>885000</v>
      </c>
      <c r="H35" s="118">
        <v>890000</v>
      </c>
      <c r="I35" s="75">
        <f t="shared" si="4"/>
        <v>-5000</v>
      </c>
      <c r="J35" s="49" t="s">
        <v>63</v>
      </c>
      <c r="K35" s="132"/>
      <c r="L35" s="80"/>
    </row>
    <row r="36" spans="1:12" ht="17.399999999999999" x14ac:dyDescent="0.3">
      <c r="A36" s="142"/>
      <c r="B36" s="38">
        <f t="shared" si="5"/>
        <v>17</v>
      </c>
      <c r="C36" s="93" t="s">
        <v>130</v>
      </c>
      <c r="D36" s="57"/>
      <c r="E36" s="86" t="s">
        <v>76</v>
      </c>
      <c r="F36" s="118">
        <v>2060000</v>
      </c>
      <c r="G36" s="75">
        <f t="shared" si="3"/>
        <v>1030000</v>
      </c>
      <c r="H36" s="118">
        <v>1030000</v>
      </c>
      <c r="I36" s="75">
        <f t="shared" si="4"/>
        <v>0</v>
      </c>
      <c r="J36" s="49" t="s">
        <v>63</v>
      </c>
      <c r="K36" s="132"/>
      <c r="L36" s="46"/>
    </row>
    <row r="37" spans="1:12" ht="17.399999999999999" x14ac:dyDescent="0.3">
      <c r="A37" s="142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8E37-18F4-45D2-9A8A-CA2CAECC56FB}">
  <dimension ref="A3:Q47"/>
  <sheetViews>
    <sheetView tabSelected="1" zoomScale="70" zoomScaleNormal="70" workbookViewId="0">
      <selection activeCell="G17" sqref="G17"/>
    </sheetView>
  </sheetViews>
  <sheetFormatPr defaultColWidth="9.109375" defaultRowHeight="13.8" x14ac:dyDescent="0.25"/>
  <cols>
    <col min="1" max="1" width="23.109375" style="1" customWidth="1"/>
    <col min="2" max="2" width="9.109375" style="1"/>
    <col min="3" max="3" width="37.6640625" style="1" customWidth="1"/>
    <col min="4" max="4" width="24.88671875" style="1" customWidth="1"/>
    <col min="5" max="5" width="19.5546875" style="1" customWidth="1"/>
    <col min="6" max="6" width="20.33203125" style="1" customWidth="1"/>
    <col min="7" max="7" width="19.5546875" style="1" customWidth="1"/>
    <col min="8" max="8" width="20.44140625" style="1" customWidth="1"/>
    <col min="9" max="9" width="18" style="1" customWidth="1"/>
    <col min="10" max="10" width="20" style="1" customWidth="1"/>
    <col min="11" max="11" width="39.88671875" style="1" customWidth="1"/>
    <col min="12" max="12" width="11.5546875" style="1" customWidth="1"/>
    <col min="13" max="13" width="5" style="1" customWidth="1"/>
    <col min="14" max="14" width="31.44140625" style="1" customWidth="1"/>
    <col min="15" max="15" width="9.109375" style="1"/>
    <col min="16" max="16" width="18.5546875" style="1" customWidth="1"/>
    <col min="17" max="17" width="22.5546875" style="1" customWidth="1"/>
    <col min="18" max="18" width="21.33203125" style="1" customWidth="1"/>
    <col min="19" max="16384" width="9.109375" style="1"/>
  </cols>
  <sheetData>
    <row r="3" spans="1:16" ht="28.2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6" x14ac:dyDescent="0.25">
      <c r="C4" s="59"/>
      <c r="D4" s="59"/>
      <c r="E4" s="59"/>
      <c r="G4" s="58" t="s">
        <v>138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/>
      <c r="G7" s="41">
        <f>IF(F7="",0,IF(F7&gt;1800000,F7*O$19,F7*O$18))</f>
        <v>0</v>
      </c>
      <c r="H7" s="41"/>
      <c r="I7" s="41">
        <f>G7-H7</f>
        <v>0</v>
      </c>
      <c r="J7" s="128"/>
      <c r="K7" s="129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340000</v>
      </c>
      <c r="G8" s="41">
        <f t="shared" ref="G8:G18" si="0">IF(F8="",0,IF(F8&gt;1800000,F8*O$19,F8*O$18))</f>
        <v>204000</v>
      </c>
      <c r="H8" s="41">
        <v>170000</v>
      </c>
      <c r="I8" s="41">
        <f t="shared" ref="I8:I18" si="1">G8-H8</f>
        <v>34000</v>
      </c>
      <c r="J8" s="128"/>
      <c r="K8" s="130"/>
      <c r="L8" s="46"/>
      <c r="N8" s="48" t="s">
        <v>64</v>
      </c>
    </row>
    <row r="9" spans="1:16" ht="16.5" customHeight="1" x14ac:dyDescent="0.25">
      <c r="A9" s="144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62"/>
      <c r="K9" s="130"/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/>
      <c r="G10" s="41">
        <f t="shared" si="0"/>
        <v>0</v>
      </c>
      <c r="H10" s="44"/>
      <c r="I10" s="41">
        <f t="shared" si="1"/>
        <v>0</v>
      </c>
      <c r="J10" s="128"/>
      <c r="K10" s="130"/>
      <c r="L10" s="46"/>
      <c r="N10" s="146" t="s">
        <v>28</v>
      </c>
      <c r="O10" s="146"/>
      <c r="P10" s="147">
        <f>SUM(F7:F1006)</f>
        <v>340000</v>
      </c>
    </row>
    <row r="11" spans="1:16" ht="16.5" customHeight="1" x14ac:dyDescent="0.25">
      <c r="A11" s="144"/>
      <c r="B11" s="38">
        <f t="shared" si="2"/>
        <v>5</v>
      </c>
      <c r="C11" s="42" t="s">
        <v>112</v>
      </c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48" t="s">
        <v>95</v>
      </c>
      <c r="O12" s="148"/>
      <c r="P12" s="147">
        <f>SUM(G7:G1006)</f>
        <v>204000</v>
      </c>
    </row>
    <row r="13" spans="1:16" ht="22.5" customHeight="1" x14ac:dyDescent="0.25">
      <c r="A13" s="144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48"/>
      <c r="O14" s="148"/>
      <c r="P14" s="147"/>
    </row>
    <row r="15" spans="1:16" ht="22.5" customHeight="1" x14ac:dyDescent="0.4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49" t="s">
        <v>88</v>
      </c>
      <c r="O15" s="149"/>
      <c r="P15" s="67">
        <f>SUM(H7:H1006)</f>
        <v>170000</v>
      </c>
    </row>
    <row r="16" spans="1:16" ht="16.5" customHeight="1" x14ac:dyDescent="0.25">
      <c r="A16" s="144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44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4">
      <c r="A18" s="144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4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124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32"/>
      <c r="L20" s="76"/>
    </row>
    <row r="21" spans="1:17" ht="16.5" customHeight="1" x14ac:dyDescent="0.25">
      <c r="A21" s="142"/>
      <c r="B21" s="38">
        <f>B20+1</f>
        <v>2</v>
      </c>
      <c r="C21" s="77" t="s">
        <v>125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128"/>
      <c r="K21" s="132"/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32"/>
      <c r="L22" s="82"/>
    </row>
    <row r="23" spans="1:17" ht="16.5" customHeight="1" x14ac:dyDescent="0.25">
      <c r="A23" s="142"/>
      <c r="B23" s="38">
        <f t="shared" si="5"/>
        <v>4</v>
      </c>
      <c r="C23" s="73" t="s">
        <v>126</v>
      </c>
      <c r="D23" s="81"/>
      <c r="E23" s="81" t="s">
        <v>26</v>
      </c>
      <c r="F23" s="75"/>
      <c r="G23" s="75">
        <f t="shared" si="3"/>
        <v>0</v>
      </c>
      <c r="H23" s="75"/>
      <c r="I23" s="75">
        <f t="shared" si="4"/>
        <v>0</v>
      </c>
      <c r="J23" s="49"/>
      <c r="K23" s="132"/>
      <c r="L23" s="76"/>
    </row>
    <row r="24" spans="1:17" ht="16.5" customHeight="1" x14ac:dyDescent="0.25">
      <c r="A24" s="142"/>
      <c r="B24" s="38">
        <f t="shared" si="5"/>
        <v>5</v>
      </c>
      <c r="C24" s="73" t="s">
        <v>107</v>
      </c>
      <c r="D24" s="81"/>
      <c r="E24" s="81" t="s">
        <v>53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32"/>
      <c r="L24" s="82"/>
    </row>
    <row r="25" spans="1:17" ht="16.5" customHeight="1" x14ac:dyDescent="0.25">
      <c r="A25" s="142"/>
      <c r="B25" s="38">
        <f t="shared" si="5"/>
        <v>6</v>
      </c>
      <c r="C25" s="73" t="s">
        <v>128</v>
      </c>
      <c r="D25" s="76"/>
      <c r="E25" s="76" t="s">
        <v>104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32"/>
      <c r="L25" s="76"/>
    </row>
    <row r="26" spans="1:17" ht="22.2" customHeight="1" x14ac:dyDescent="0.25">
      <c r="A26" s="142"/>
      <c r="B26" s="38">
        <f t="shared" si="5"/>
        <v>7</v>
      </c>
      <c r="C26" s="77" t="s">
        <v>75</v>
      </c>
      <c r="D26" s="80"/>
      <c r="E26" s="76" t="s">
        <v>70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32"/>
      <c r="L26" s="76"/>
    </row>
    <row r="27" spans="1:17" ht="20.399999999999999" customHeight="1" x14ac:dyDescent="0.3">
      <c r="A27" s="142"/>
      <c r="B27" s="38">
        <f t="shared" si="5"/>
        <v>8</v>
      </c>
      <c r="C27" s="77" t="s">
        <v>123</v>
      </c>
      <c r="D27" s="87"/>
      <c r="E27" s="86" t="s">
        <v>76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32"/>
      <c r="L27" s="76"/>
    </row>
    <row r="28" spans="1:17" ht="16.5" customHeight="1" x14ac:dyDescent="0.25">
      <c r="A28" s="142"/>
      <c r="B28" s="38">
        <f t="shared" si="5"/>
        <v>9</v>
      </c>
      <c r="C28" s="88" t="s">
        <v>129</v>
      </c>
      <c r="D28" s="74"/>
      <c r="E28" s="81" t="s">
        <v>24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32"/>
      <c r="L28" s="76"/>
    </row>
    <row r="29" spans="1:17" ht="16.5" customHeight="1" x14ac:dyDescent="0.3">
      <c r="A29" s="142"/>
      <c r="B29" s="38">
        <f t="shared" si="5"/>
        <v>10</v>
      </c>
      <c r="C29" s="88" t="s">
        <v>97</v>
      </c>
      <c r="D29" s="81"/>
      <c r="E29" s="76" t="s">
        <v>106</v>
      </c>
      <c r="F29" s="118"/>
      <c r="G29" s="75">
        <f t="shared" si="3"/>
        <v>0</v>
      </c>
      <c r="H29" s="118"/>
      <c r="I29" s="75">
        <f t="shared" si="4"/>
        <v>0</v>
      </c>
      <c r="J29" s="49"/>
      <c r="K29" s="132"/>
      <c r="L29" s="93"/>
    </row>
    <row r="30" spans="1:17" ht="16.5" customHeight="1" x14ac:dyDescent="0.25">
      <c r="A30" s="142"/>
      <c r="B30" s="38">
        <f t="shared" si="5"/>
        <v>11</v>
      </c>
      <c r="C30" s="88" t="s">
        <v>108</v>
      </c>
      <c r="D30" s="78"/>
      <c r="E30" s="81" t="s">
        <v>52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32"/>
      <c r="L30" s="80"/>
    </row>
    <row r="31" spans="1:17" ht="15" customHeight="1" x14ac:dyDescent="0.3">
      <c r="A31" s="142"/>
      <c r="B31" s="38">
        <f t="shared" si="5"/>
        <v>12</v>
      </c>
      <c r="C31" s="77" t="s">
        <v>103</v>
      </c>
      <c r="D31" s="74"/>
      <c r="E31" s="74" t="s">
        <v>16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32"/>
      <c r="L31" s="93"/>
    </row>
    <row r="32" spans="1:17" ht="15" customHeight="1" x14ac:dyDescent="0.3">
      <c r="A32" s="142"/>
      <c r="B32" s="38">
        <f t="shared" si="5"/>
        <v>13</v>
      </c>
      <c r="C32" s="77" t="s">
        <v>110</v>
      </c>
      <c r="D32" s="87"/>
      <c r="E32" s="81" t="s">
        <v>98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32"/>
      <c r="L32" s="93"/>
    </row>
    <row r="33" spans="1:12" ht="18.75" customHeight="1" x14ac:dyDescent="0.3">
      <c r="A33" s="142"/>
      <c r="B33" s="38">
        <f t="shared" si="5"/>
        <v>14</v>
      </c>
      <c r="C33" s="87" t="s">
        <v>109</v>
      </c>
      <c r="D33" s="87"/>
      <c r="E33" s="81" t="s">
        <v>35</v>
      </c>
      <c r="F33" s="90"/>
      <c r="G33" s="75">
        <f t="shared" si="3"/>
        <v>0</v>
      </c>
      <c r="H33" s="89"/>
      <c r="I33" s="75">
        <f t="shared" si="4"/>
        <v>0</v>
      </c>
      <c r="J33" s="49"/>
      <c r="K33" s="89"/>
      <c r="L33" s="76"/>
    </row>
    <row r="34" spans="1:12" ht="17.399999999999999" x14ac:dyDescent="0.3">
      <c r="A34" s="142"/>
      <c r="B34" s="38">
        <f t="shared" si="5"/>
        <v>15</v>
      </c>
      <c r="C34" s="87" t="s">
        <v>111</v>
      </c>
      <c r="D34" s="120"/>
      <c r="E34" s="81" t="s">
        <v>15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32"/>
      <c r="L34" s="76"/>
    </row>
    <row r="35" spans="1:12" ht="17.399999999999999" x14ac:dyDescent="0.3">
      <c r="A35" s="142"/>
      <c r="B35" s="38">
        <f t="shared" si="5"/>
        <v>16</v>
      </c>
      <c r="C35" s="93" t="s">
        <v>122</v>
      </c>
      <c r="D35" s="57"/>
      <c r="E35" s="86" t="s">
        <v>76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32"/>
      <c r="L35" s="80"/>
    </row>
    <row r="36" spans="1:12" ht="17.399999999999999" x14ac:dyDescent="0.3">
      <c r="A36" s="142"/>
      <c r="B36" s="38">
        <f t="shared" si="5"/>
        <v>17</v>
      </c>
      <c r="C36" s="93" t="s">
        <v>130</v>
      </c>
      <c r="D36" s="57"/>
      <c r="E36" s="86" t="s">
        <v>76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32"/>
      <c r="L36" s="46"/>
    </row>
    <row r="37" spans="1:12" ht="17.399999999999999" x14ac:dyDescent="0.3">
      <c r="A37" s="142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7.399999999999999" x14ac:dyDescent="0.3">
      <c r="A38" s="142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7.399999999999999" x14ac:dyDescent="0.3">
      <c r="A39" s="142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7.399999999999999" x14ac:dyDescent="0.3">
      <c r="A40" s="142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7.399999999999999" x14ac:dyDescent="0.3">
      <c r="A41" s="142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7.399999999999999" x14ac:dyDescent="0.3">
      <c r="A42" s="142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7.399999999999999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7.399999999999999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7.399999999999999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7.399999999999999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7.399999999999999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10-01</vt:lpstr>
      <vt:lpstr>01-02</vt:lpstr>
      <vt:lpstr>02-02</vt:lpstr>
      <vt:lpstr>03-02</vt:lpstr>
      <vt:lpstr>04-02</vt:lpstr>
      <vt:lpstr>05-02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2026-02-05T19:34:50Z</dcterms:modified>
</cp:coreProperties>
</file>