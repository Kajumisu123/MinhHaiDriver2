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A5FD4655-5DE0-40E8-8D28-F2A27BFD1D44}" xr6:coauthVersionLast="47" xr6:coauthVersionMax="47" xr10:uidLastSave="{00000000-0000-0000-0000-000000000000}"/>
  <bookViews>
    <workbookView xWindow="-108" yWindow="-108" windowWidth="23256" windowHeight="12456" tabRatio="579" firstSheet="1" activeTab="5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7" i="41" l="1"/>
  <c r="I47" i="41" s="1"/>
  <c r="G46" i="41"/>
  <c r="I46" i="41" s="1"/>
  <c r="G45" i="41"/>
  <c r="I45" i="41" s="1"/>
  <c r="I44" i="41"/>
  <c r="G44" i="41"/>
  <c r="G43" i="41"/>
  <c r="I43" i="41" s="1"/>
  <c r="G42" i="41"/>
  <c r="I42" i="41" s="1"/>
  <c r="G41" i="41"/>
  <c r="I41" i="41" s="1"/>
  <c r="I40" i="41"/>
  <c r="G40" i="41"/>
  <c r="G39" i="41"/>
  <c r="I39" i="41" s="1"/>
  <c r="I38" i="41"/>
  <c r="G38" i="4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I24" i="41"/>
  <c r="G24" i="4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I21" i="41"/>
  <c r="G21" i="41"/>
  <c r="B21" i="41"/>
  <c r="G20" i="41"/>
  <c r="I20" i="41" s="1"/>
  <c r="G18" i="41"/>
  <c r="I18" i="41" s="1"/>
  <c r="G17" i="41"/>
  <c r="I17" i="41" s="1"/>
  <c r="I16" i="41"/>
  <c r="G16" i="4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I10" i="41"/>
  <c r="G10" i="41"/>
  <c r="G9" i="41"/>
  <c r="I9" i="41" s="1"/>
  <c r="B9" i="41"/>
  <c r="B10" i="41" s="1"/>
  <c r="B11" i="41" s="1"/>
  <c r="B12" i="41" s="1"/>
  <c r="B13" i="41" s="1"/>
  <c r="B14" i="41" s="1"/>
  <c r="B15" i="41" s="1"/>
  <c r="B16" i="41" s="1"/>
  <c r="B17" i="41" s="1"/>
  <c r="B18" i="41" s="1"/>
  <c r="G8" i="41"/>
  <c r="I8" i="41" s="1"/>
  <c r="B8" i="41"/>
  <c r="G7" i="41"/>
  <c r="P12" i="41" l="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I42" i="40"/>
  <c r="G42" i="40"/>
  <c r="G41" i="40"/>
  <c r="I41" i="40" s="1"/>
  <c r="G40" i="40"/>
  <c r="I40" i="40" s="1"/>
  <c r="I39" i="40"/>
  <c r="G39" i="40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I44" i="39"/>
  <c r="G44" i="39"/>
  <c r="G43" i="39"/>
  <c r="I43" i="39" s="1"/>
  <c r="I42" i="39"/>
  <c r="G42" i="39"/>
  <c r="G41" i="39"/>
  <c r="I41" i="39" s="1"/>
  <c r="I40" i="39"/>
  <c r="G40" i="39"/>
  <c r="G39" i="39"/>
  <c r="I39" i="39" s="1"/>
  <c r="G38" i="39"/>
  <c r="I38" i="39" s="1"/>
  <c r="G37" i="39"/>
  <c r="I37" i="39" s="1"/>
  <c r="I36" i="39"/>
  <c r="G36" i="39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B22" i="39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1" i="39"/>
  <c r="I21" i="39" s="1"/>
  <c r="B21" i="39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I9" i="38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B22" i="38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1" i="38"/>
  <c r="I21" i="38" s="1"/>
  <c r="B21" i="38"/>
  <c r="G20" i="38"/>
  <c r="I20" i="38" s="1"/>
  <c r="G18" i="38"/>
  <c r="I18" i="38" s="1"/>
  <c r="I17" i="38"/>
  <c r="G17" i="38"/>
  <c r="G16" i="38"/>
  <c r="I16" i="38" s="1"/>
  <c r="P15" i="38"/>
  <c r="G15" i="38"/>
  <c r="I15" i="38" s="1"/>
  <c r="I14" i="38"/>
  <c r="G14" i="38"/>
  <c r="G13" i="38"/>
  <c r="I13" i="38" s="1"/>
  <c r="I12" i="38"/>
  <c r="G12" i="38"/>
  <c r="G11" i="38"/>
  <c r="I11" i="38" s="1"/>
  <c r="P10" i="38"/>
  <c r="G10" i="38"/>
  <c r="G9" i="38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<sst xmlns="http://schemas.openxmlformats.org/spreadsheetml/2006/main" count="632" uniqueCount="139">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</sst>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50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3.33203125" style="1" customWidth="1"/>
    <col min="5" max="5" width="5" style="1" customWidth="1"/>
    <col min="6" max="6" width="7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3.33203125" style="1" bestFit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37" t="s">
        <v>30</v>
      </c>
      <c r="C2" s="137"/>
      <c r="D2" s="137"/>
      <c r="E2" s="137"/>
      <c r="F2" s="137"/>
      <c r="G2" s="137"/>
      <c r="H2" s="137"/>
      <c r="I2" s="137"/>
      <c r="J2" s="137"/>
      <c r="K2" s="137"/>
    </row>
    <row r="3" spans="2:16" ht="30.6" x14ac:dyDescent="0.25">
      <c r="B3" s="138" t="s">
        <v>85</v>
      </c>
      <c r="C3" s="139"/>
      <c r="D3" s="139"/>
      <c r="E3" s="139"/>
      <c r="F3" s="139"/>
      <c r="G3" s="139"/>
      <c r="H3" s="139"/>
      <c r="I3" s="139"/>
      <c r="J3" s="139"/>
      <c r="K3" s="139"/>
    </row>
    <row r="4" spans="2:16" x14ac:dyDescent="0.25">
      <c r="J4" s="21"/>
    </row>
    <row r="6" spans="2:16" ht="21" x14ac:dyDescent="0.4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8" x14ac:dyDescent="0.3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8" x14ac:dyDescent="0.3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8" x14ac:dyDescent="0.3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8" x14ac:dyDescent="0.3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8" x14ac:dyDescent="0.3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8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8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8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8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8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8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8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8" x14ac:dyDescent="0.3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8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8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8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8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8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8" x14ac:dyDescent="0.4">
      <c r="C26" s="18" t="s">
        <v>60</v>
      </c>
      <c r="E26" s="19">
        <v>0.6</v>
      </c>
      <c r="F26" s="20" t="s">
        <v>61</v>
      </c>
      <c r="H26" s="140" t="s">
        <v>28</v>
      </c>
      <c r="I26" s="140"/>
      <c r="J26" s="5">
        <f>SUM(H7:H1001)</f>
        <v>28869000</v>
      </c>
    </row>
    <row r="27" spans="1:13" ht="22.8" x14ac:dyDescent="0.4">
      <c r="H27" s="140" t="s">
        <v>29</v>
      </c>
      <c r="I27" s="140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8" x14ac:dyDescent="0.25">
      <c r="B44" s="12" t="s">
        <v>13</v>
      </c>
    </row>
    <row r="45" spans="2:4" ht="16.8" x14ac:dyDescent="0.25">
      <c r="B45" s="13" t="s">
        <v>15</v>
      </c>
    </row>
    <row r="46" spans="2:4" ht="16.8" x14ac:dyDescent="0.25">
      <c r="B46" s="12" t="s">
        <v>16</v>
      </c>
      <c r="D46" s="28" t="s">
        <v>64</v>
      </c>
    </row>
    <row r="47" spans="2:4" ht="16.8" x14ac:dyDescent="0.25">
      <c r="B47" s="13" t="s">
        <v>45</v>
      </c>
    </row>
    <row r="48" spans="2:4" ht="16.8" x14ac:dyDescent="0.25">
      <c r="B48" s="12" t="s">
        <v>18</v>
      </c>
    </row>
    <row r="49" spans="2:2" ht="16.8" x14ac:dyDescent="0.25">
      <c r="B49" s="14" t="s">
        <v>52</v>
      </c>
    </row>
    <row r="50" spans="2:2" ht="16.8" x14ac:dyDescent="0.25">
      <c r="B50" s="15" t="s">
        <v>21</v>
      </c>
    </row>
    <row r="51" spans="2:2" ht="16.8" x14ac:dyDescent="0.25">
      <c r="B51" s="14" t="s">
        <v>31</v>
      </c>
    </row>
    <row r="52" spans="2:2" ht="16.8" x14ac:dyDescent="0.25">
      <c r="B52" s="15" t="s">
        <v>24</v>
      </c>
    </row>
    <row r="53" spans="2:2" ht="16.8" x14ac:dyDescent="0.25">
      <c r="B53" s="14" t="s">
        <v>26</v>
      </c>
    </row>
    <row r="54" spans="2:2" ht="16.8" x14ac:dyDescent="0.25">
      <c r="B54" s="15" t="s">
        <v>53</v>
      </c>
    </row>
    <row r="55" spans="2:2" ht="16.8" x14ac:dyDescent="0.25">
      <c r="B55" s="14" t="s">
        <v>35</v>
      </c>
    </row>
    <row r="56" spans="2:2" ht="16.8" x14ac:dyDescent="0.25">
      <c r="B56" s="16" t="s">
        <v>34</v>
      </c>
    </row>
    <row r="57" spans="2:2" ht="16.8" x14ac:dyDescent="0.25">
      <c r="B57" s="16" t="s">
        <v>71</v>
      </c>
    </row>
    <row r="58" spans="2:2" ht="17.399999999999999" thickBot="1" x14ac:dyDescent="0.3">
      <c r="B58" s="31" t="s">
        <v>70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L10" sqref="L10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16675000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48" t="s">
        <v>95</v>
      </c>
      <c r="O12" s="148"/>
      <c r="P12" s="147">
        <f>SUM(G7:G1006)</f>
        <v>9346000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49" t="s">
        <v>88</v>
      </c>
      <c r="O15" s="149"/>
      <c r="P15" s="67">
        <f>SUM(H7:H1006)</f>
        <v>9285000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42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42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42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2" customHeight="1" x14ac:dyDescent="0.25">
      <c r="A26" s="142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399999999999999" customHeight="1" x14ac:dyDescent="0.25">
      <c r="A27" s="142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5">
      <c r="A28" s="142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5">
      <c r="A29" s="142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5">
      <c r="A31" s="142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5">
      <c r="A32" s="142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5">
      <c r="A33" s="142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" x14ac:dyDescent="0.3">
      <c r="A34" s="142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" x14ac:dyDescent="0.3">
      <c r="A35" s="142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7.399999999999999" x14ac:dyDescent="0.3">
      <c r="A36" s="142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7.399999999999999" x14ac:dyDescent="0.3">
      <c r="A37" s="142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7.399999999999999" x14ac:dyDescent="0.3">
      <c r="A38" s="142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7.399999999999999" x14ac:dyDescent="0.3">
      <c r="A39" s="142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7.399999999999999" x14ac:dyDescent="0.3">
      <c r="A40" s="142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7.399999999999999" x14ac:dyDescent="0.3">
      <c r="A41" s="142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7.399999999999999" x14ac:dyDescent="0.3">
      <c r="A42" s="142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7.399999999999999" x14ac:dyDescent="0.3">
      <c r="A43" s="142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7.399999999999999" x14ac:dyDescent="0.3">
      <c r="A44" s="142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7.399999999999999" x14ac:dyDescent="0.3">
      <c r="A45" s="142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7.399999999999999" x14ac:dyDescent="0.3">
      <c r="A46" s="142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7.399999999999999" x14ac:dyDescent="0.3">
      <c r="A47" s="142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H22" sqref="H22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30573000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16022500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15420500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2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399999999999999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5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5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5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5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5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7.399999999999999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7.399999999999999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P37" sqref="P37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3545000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2127000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2010000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2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399999999999999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7.399999999999999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7.399999999999999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7.399999999999999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7.399999999999999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topLeftCell="A5" zoomScale="70" zoomScaleNormal="70" workbookViewId="0">
      <selection activeCell="H7" sqref="H7:H11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46" t="s">
        <v>28</v>
      </c>
      <c r="O10" s="146"/>
      <c r="P10" s="147">
        <f>SUM(F7:F1006)</f>
        <v>40751000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20907500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21280000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42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2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399999999999999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7.399999999999999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7.399999999999999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7.399999999999999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7.399999999999999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abSelected="1" zoomScale="70" zoomScaleNormal="70" workbookViewId="0">
      <selection activeCell="I12" sqref="I12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/>
      <c r="G7" s="41">
        <f>IF(F7="",0,IF(F7&gt;1800000,F7*O$19,F7*O$18))</f>
        <v>0</v>
      </c>
      <c r="H7" s="41"/>
      <c r="I7" s="41">
        <f>G7-H7</f>
        <v>0</v>
      </c>
      <c r="J7" s="128"/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/>
      <c r="G10" s="41">
        <f t="shared" si="0"/>
        <v>0</v>
      </c>
      <c r="H10" s="44"/>
      <c r="I10" s="41">
        <f t="shared" si="1"/>
        <v>0</v>
      </c>
      <c r="J10" s="128"/>
      <c r="K10" s="130"/>
      <c r="L10" s="46"/>
      <c r="N10" s="146" t="s">
        <v>28</v>
      </c>
      <c r="O10" s="146"/>
      <c r="P10" s="147">
        <f>SUM(F7:F1006)</f>
        <v>340000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204000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170000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32"/>
      <c r="L20" s="76"/>
    </row>
    <row r="21" spans="1:17" ht="16.5" customHeight="1" x14ac:dyDescent="0.25">
      <c r="A21" s="142"/>
      <c r="B21" s="38">
        <f>B20+1</f>
        <v>2</v>
      </c>
      <c r="C21" s="77" t="s">
        <v>125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128"/>
      <c r="K21" s="132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/>
      <c r="G23" s="75">
        <f t="shared" si="3"/>
        <v>0</v>
      </c>
      <c r="H23" s="75"/>
      <c r="I23" s="75">
        <f t="shared" si="4"/>
        <v>0</v>
      </c>
      <c r="J23" s="49"/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32"/>
      <c r="L25" s="76"/>
    </row>
    <row r="26" spans="1:17" ht="22.2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32"/>
      <c r="L26" s="76"/>
    </row>
    <row r="27" spans="1:17" ht="20.399999999999999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32"/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/>
      <c r="G29" s="75">
        <f t="shared" si="3"/>
        <v>0</v>
      </c>
      <c r="H29" s="118"/>
      <c r="I29" s="75">
        <f t="shared" si="4"/>
        <v>0</v>
      </c>
      <c r="J29" s="49"/>
      <c r="K29" s="132"/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/>
      <c r="G33" s="75">
        <f t="shared" si="3"/>
        <v>0</v>
      </c>
      <c r="H33" s="89"/>
      <c r="I33" s="75">
        <f t="shared" si="4"/>
        <v>0</v>
      </c>
      <c r="J33" s="49"/>
      <c r="K33" s="89"/>
      <c r="L33" s="76"/>
    </row>
    <row r="34" spans="1:12" ht="17.399999999999999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32"/>
      <c r="L34" s="76"/>
    </row>
    <row r="35" spans="1:12" ht="17.399999999999999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32"/>
      <c r="L35" s="80"/>
    </row>
    <row r="36" spans="1:12" ht="17.399999999999999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32"/>
      <c r="L36" s="46"/>
    </row>
    <row r="37" spans="1:12" ht="17.399999999999999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10-01</vt:lpstr>
      <vt:lpstr>01-02</vt:lpstr>
      <vt:lpstr>02-02</vt:lpstr>
      <vt:lpstr>03-02</vt:lpstr>
      <vt:lpstr>04-02</vt:lpstr>
      <vt:lpstr>05-02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2026-02-05T19:35:36Z</dcterms:modified>
</cp:coreProperties>
</file>