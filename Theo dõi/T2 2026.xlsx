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9D96A686-3431-437A-9B53-B9741F514FBC}" xr6:coauthVersionLast="47" xr6:coauthVersionMax="47" xr10:uidLastSave="{00000000-0000-0000-0000-000000000000}"/>
  <bookViews>
    <workbookView xWindow="-120" yWindow="-120" windowWidth="29040" windowHeight="15840" tabRatio="579" firstSheet="1" activeTab="3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39" l="1"/>
  <c r="I47" i="39" s="1"/>
  <c r="G46" i="39"/>
  <c r="I46" i="39" s="1"/>
  <c r="G45" i="39"/>
  <c r="I45" i="39" s="1"/>
  <c r="I44" i="39"/>
  <c r="G44" i="39"/>
  <c r="G43" i="39"/>
  <c r="I43" i="39" s="1"/>
  <c r="I42" i="39"/>
  <c r="G42" i="39"/>
  <c r="G41" i="39"/>
  <c r="I41" i="39" s="1"/>
  <c r="I40" i="39"/>
  <c r="G40" i="39"/>
  <c r="G39" i="39"/>
  <c r="I39" i="39" s="1"/>
  <c r="G38" i="39"/>
  <c r="I38" i="39" s="1"/>
  <c r="G37" i="39"/>
  <c r="I37" i="39" s="1"/>
  <c r="I36" i="39"/>
  <c r="G36" i="39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B22" i="39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1" i="39"/>
  <c r="I21" i="39" s="1"/>
  <c r="B21" i="39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I9" i="38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B22" i="38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1" i="38"/>
  <c r="I21" i="38" s="1"/>
  <c r="B21" i="38"/>
  <c r="G20" i="38"/>
  <c r="I20" i="38" s="1"/>
  <c r="G18" i="38"/>
  <c r="I18" i="38" s="1"/>
  <c r="I17" i="38"/>
  <c r="G17" i="38"/>
  <c r="G16" i="38"/>
  <c r="I16" i="38" s="1"/>
  <c r="P15" i="38"/>
  <c r="G15" i="38"/>
  <c r="I15" i="38" s="1"/>
  <c r="I14" i="38"/>
  <c r="G14" i="38"/>
  <c r="G13" i="38"/>
  <c r="I13" i="38" s="1"/>
  <c r="I12" i="38"/>
  <c r="G12" i="38"/>
  <c r="G11" i="38"/>
  <c r="I11" i="38" s="1"/>
  <c r="P10" i="38"/>
  <c r="G10" i="38"/>
  <c r="G9" i="38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39" l="1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<sst xmlns="http://schemas.openxmlformats.org/spreadsheetml/2006/main" count="432" uniqueCount="121">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</sst>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41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28" t="s">
        <v>30</v>
      </c>
      <c r="C2" s="128"/>
      <c r="D2" s="128"/>
      <c r="E2" s="128"/>
      <c r="F2" s="128"/>
      <c r="G2" s="128"/>
      <c r="H2" s="128"/>
      <c r="I2" s="128"/>
      <c r="J2" s="128"/>
      <c r="K2" s="128"/>
    </row>
    <row r="3" spans="2:16" ht="30.75" x14ac:dyDescent="0.25">
      <c r="B3" s="129" t="s">
        <v>85</v>
      </c>
      <c r="C3" s="130"/>
      <c r="D3" s="130"/>
      <c r="E3" s="130"/>
      <c r="F3" s="130"/>
      <c r="G3" s="130"/>
      <c r="H3" s="130"/>
      <c r="I3" s="130"/>
      <c r="J3" s="130"/>
      <c r="K3" s="130"/>
    </row>
    <row r="4" spans="2:16" x14ac:dyDescent="0.25">
      <c r="J4" s="21"/>
    </row>
    <row r="6" spans="2:16" ht="20.25" x14ac:dyDescent="0.3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5" x14ac:dyDescent="0.25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5" x14ac:dyDescent="0.25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5" x14ac:dyDescent="0.25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5" x14ac:dyDescent="0.25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5" x14ac:dyDescent="0.25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5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5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5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5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5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5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5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5" x14ac:dyDescent="0.25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5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5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5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5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5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5" x14ac:dyDescent="0.3">
      <c r="C26" s="18" t="s">
        <v>60</v>
      </c>
      <c r="E26" s="19">
        <v>0.6</v>
      </c>
      <c r="F26" s="20" t="s">
        <v>61</v>
      </c>
      <c r="H26" s="131" t="s">
        <v>28</v>
      </c>
      <c r="I26" s="131"/>
      <c r="J26" s="5">
        <f>SUM(H7:H1001)</f>
        <v>28869000</v>
      </c>
    </row>
    <row r="27" spans="1:13" ht="22.5" x14ac:dyDescent="0.3">
      <c r="H27" s="131" t="s">
        <v>29</v>
      </c>
      <c r="I27" s="131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5" x14ac:dyDescent="0.25">
      <c r="B44" s="12" t="s">
        <v>13</v>
      </c>
    </row>
    <row r="45" spans="2:4" ht="16.5" x14ac:dyDescent="0.25">
      <c r="B45" s="13" t="s">
        <v>15</v>
      </c>
    </row>
    <row r="46" spans="2:4" ht="16.5" x14ac:dyDescent="0.25">
      <c r="B46" s="12" t="s">
        <v>16</v>
      </c>
      <c r="D46" s="28" t="s">
        <v>64</v>
      </c>
    </row>
    <row r="47" spans="2:4" ht="16.5" x14ac:dyDescent="0.25">
      <c r="B47" s="13" t="s">
        <v>45</v>
      </c>
    </row>
    <row r="48" spans="2:4" ht="16.5" x14ac:dyDescent="0.25">
      <c r="B48" s="12" t="s">
        <v>18</v>
      </c>
    </row>
    <row r="49" spans="2:2" ht="16.5" x14ac:dyDescent="0.25">
      <c r="B49" s="14" t="s">
        <v>52</v>
      </c>
    </row>
    <row r="50" spans="2:2" ht="16.5" x14ac:dyDescent="0.25">
      <c r="B50" s="15" t="s">
        <v>21</v>
      </c>
    </row>
    <row r="51" spans="2:2" ht="16.5" x14ac:dyDescent="0.25">
      <c r="B51" s="14" t="s">
        <v>31</v>
      </c>
    </row>
    <row r="52" spans="2:2" ht="16.5" x14ac:dyDescent="0.25">
      <c r="B52" s="15" t="s">
        <v>24</v>
      </c>
    </row>
    <row r="53" spans="2:2" ht="16.5" x14ac:dyDescent="0.25">
      <c r="B53" s="14" t="s">
        <v>26</v>
      </c>
    </row>
    <row r="54" spans="2:2" ht="16.5" x14ac:dyDescent="0.25">
      <c r="B54" s="15" t="s">
        <v>53</v>
      </c>
    </row>
    <row r="55" spans="2:2" ht="16.5" x14ac:dyDescent="0.25">
      <c r="B55" s="14" t="s">
        <v>35</v>
      </c>
    </row>
    <row r="56" spans="2:2" ht="16.5" x14ac:dyDescent="0.25">
      <c r="B56" s="16" t="s">
        <v>34</v>
      </c>
    </row>
    <row r="57" spans="2:2" ht="16.5" x14ac:dyDescent="0.25">
      <c r="B57" s="16" t="s">
        <v>71</v>
      </c>
    </row>
    <row r="58" spans="2:2" ht="17.25" thickBot="1" x14ac:dyDescent="0.3">
      <c r="B58" s="31" t="s">
        <v>70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L10" sqref="L10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28" t="s">
        <v>30</v>
      </c>
      <c r="C3" s="128"/>
      <c r="D3" s="128"/>
      <c r="E3" s="128"/>
      <c r="F3" s="128"/>
      <c r="G3" s="128"/>
      <c r="H3" s="128"/>
      <c r="I3" s="128"/>
      <c r="J3" s="128"/>
      <c r="K3" s="128"/>
    </row>
    <row r="4" spans="1:16" ht="30.75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34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35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35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35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37" t="s">
        <v>28</v>
      </c>
      <c r="O10" s="137"/>
      <c r="P10" s="138">
        <f>SUM(F7:F1006)</f>
        <v>16675000</v>
      </c>
    </row>
    <row r="11" spans="1:16" ht="16.5" customHeight="1" x14ac:dyDescent="0.25">
      <c r="A11" s="135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37"/>
      <c r="O11" s="137"/>
      <c r="P11" s="138"/>
    </row>
    <row r="12" spans="1:16" ht="16.5" customHeight="1" x14ac:dyDescent="0.25">
      <c r="A12" s="135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39" t="s">
        <v>95</v>
      </c>
      <c r="O12" s="139"/>
      <c r="P12" s="138">
        <f>SUM(G7:G1006)</f>
        <v>9346000</v>
      </c>
    </row>
    <row r="13" spans="1:16" ht="22.5" customHeight="1" x14ac:dyDescent="0.25">
      <c r="A13" s="135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39"/>
      <c r="O13" s="139"/>
      <c r="P13" s="138"/>
    </row>
    <row r="14" spans="1:16" ht="16.5" customHeight="1" x14ac:dyDescent="0.25">
      <c r="A14" s="135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39"/>
      <c r="O14" s="139"/>
      <c r="P14" s="138"/>
    </row>
    <row r="15" spans="1:16" ht="22.5" customHeight="1" x14ac:dyDescent="0.3">
      <c r="A15" s="13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40" t="s">
        <v>88</v>
      </c>
      <c r="O15" s="140"/>
      <c r="P15" s="67">
        <f>SUM(H7:H1006)</f>
        <v>9285000</v>
      </c>
    </row>
    <row r="16" spans="1:16" ht="16.5" customHeight="1" x14ac:dyDescent="0.25">
      <c r="A16" s="135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35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3">
      <c r="A18" s="135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36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32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33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33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33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33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33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15" customHeight="1" x14ac:dyDescent="0.25">
      <c r="A26" s="133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45" customHeight="1" x14ac:dyDescent="0.25">
      <c r="A27" s="133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">
      <c r="A28" s="133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">
      <c r="A29" s="133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33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">
      <c r="A31" s="133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">
      <c r="A32" s="133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">
      <c r="A33" s="133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.75" x14ac:dyDescent="0.3">
      <c r="A34" s="133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.75" x14ac:dyDescent="0.3">
      <c r="A35" s="133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8.75" x14ac:dyDescent="0.3">
      <c r="A36" s="133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8.75" x14ac:dyDescent="0.3">
      <c r="A37" s="133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8.75" x14ac:dyDescent="0.3">
      <c r="A38" s="133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8.75" x14ac:dyDescent="0.3">
      <c r="A39" s="133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8.75" x14ac:dyDescent="0.3">
      <c r="A40" s="133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8.75" x14ac:dyDescent="0.3">
      <c r="A41" s="133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8.75" x14ac:dyDescent="0.3">
      <c r="A42" s="133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8.75" x14ac:dyDescent="0.3">
      <c r="A43" s="133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8.75" x14ac:dyDescent="0.3">
      <c r="A44" s="133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8.75" x14ac:dyDescent="0.3">
      <c r="A45" s="133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8.75" x14ac:dyDescent="0.3">
      <c r="A46" s="133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8.75" x14ac:dyDescent="0.3">
      <c r="A47" s="133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H22" sqref="H22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28" t="s">
        <v>30</v>
      </c>
      <c r="C3" s="128"/>
      <c r="D3" s="128"/>
      <c r="E3" s="128"/>
      <c r="F3" s="128"/>
      <c r="G3" s="128"/>
      <c r="H3" s="128"/>
      <c r="I3" s="128"/>
      <c r="J3" s="128"/>
      <c r="K3" s="128"/>
    </row>
    <row r="4" spans="1:16" ht="30.75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34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35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35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35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37" t="s">
        <v>28</v>
      </c>
      <c r="O10" s="137"/>
      <c r="P10" s="138">
        <f>SUM(F7:F1006)</f>
        <v>30573000</v>
      </c>
    </row>
    <row r="11" spans="1:16" ht="16.5" customHeight="1" x14ac:dyDescent="0.25">
      <c r="A11" s="135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37"/>
      <c r="O11" s="137"/>
      <c r="P11" s="138"/>
    </row>
    <row r="12" spans="1:16" ht="16.5" customHeight="1" x14ac:dyDescent="0.25">
      <c r="A12" s="135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39" t="s">
        <v>95</v>
      </c>
      <c r="O12" s="139"/>
      <c r="P12" s="138">
        <f>SUM(G7:G1006)</f>
        <v>16022500</v>
      </c>
    </row>
    <row r="13" spans="1:16" ht="22.5" customHeight="1" x14ac:dyDescent="0.25">
      <c r="A13" s="135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39"/>
      <c r="O13" s="139"/>
      <c r="P13" s="138"/>
    </row>
    <row r="14" spans="1:16" ht="16.5" customHeight="1" x14ac:dyDescent="0.25">
      <c r="A14" s="135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39"/>
      <c r="O14" s="139"/>
      <c r="P14" s="138"/>
    </row>
    <row r="15" spans="1:16" ht="22.5" customHeight="1" x14ac:dyDescent="0.3">
      <c r="A15" s="13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0" t="s">
        <v>88</v>
      </c>
      <c r="O15" s="140"/>
      <c r="P15" s="67">
        <f>SUM(H7:H1006)</f>
        <v>15420500</v>
      </c>
    </row>
    <row r="16" spans="1:16" ht="16.5" customHeight="1" x14ac:dyDescent="0.25">
      <c r="A16" s="135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35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35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36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32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33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33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33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33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33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15" customHeight="1" x14ac:dyDescent="0.25">
      <c r="A26" s="133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45" customHeight="1" x14ac:dyDescent="0.25">
      <c r="A27" s="133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">
      <c r="A28" s="133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">
      <c r="A29" s="133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33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">
      <c r="A31" s="133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">
      <c r="A32" s="133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">
      <c r="A33" s="133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.75" x14ac:dyDescent="0.3">
      <c r="A34" s="133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.75" x14ac:dyDescent="0.3">
      <c r="A35" s="133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8.75" x14ac:dyDescent="0.3">
      <c r="A36" s="133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8.75" x14ac:dyDescent="0.3">
      <c r="A37" s="133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33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33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33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33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33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33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33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33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33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33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tabSelected="1" zoomScale="70" zoomScaleNormal="70" workbookViewId="0">
      <selection activeCell="P37" sqref="P37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28" t="s">
        <v>30</v>
      </c>
      <c r="C3" s="128"/>
      <c r="D3" s="128"/>
      <c r="E3" s="128"/>
      <c r="F3" s="128"/>
      <c r="G3" s="128"/>
      <c r="H3" s="128"/>
      <c r="I3" s="128"/>
      <c r="J3" s="128"/>
      <c r="K3" s="128"/>
    </row>
    <row r="4" spans="1:16" ht="30.75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34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35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35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35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37" t="s">
        <v>28</v>
      </c>
      <c r="O10" s="137"/>
      <c r="P10" s="138">
        <f>SUM(F7:F1006)</f>
        <v>3545000</v>
      </c>
    </row>
    <row r="11" spans="1:16" ht="16.5" customHeight="1" x14ac:dyDescent="0.25">
      <c r="A11" s="135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37"/>
      <c r="O11" s="137"/>
      <c r="P11" s="138"/>
    </row>
    <row r="12" spans="1:16" ht="16.5" customHeight="1" x14ac:dyDescent="0.25">
      <c r="A12" s="135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39" t="s">
        <v>95</v>
      </c>
      <c r="O12" s="139"/>
      <c r="P12" s="138">
        <f>SUM(G7:G1006)</f>
        <v>2127000</v>
      </c>
    </row>
    <row r="13" spans="1:16" ht="22.5" customHeight="1" x14ac:dyDescent="0.25">
      <c r="A13" s="135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39"/>
      <c r="O13" s="139"/>
      <c r="P13" s="138"/>
    </row>
    <row r="14" spans="1:16" ht="16.5" customHeight="1" x14ac:dyDescent="0.25">
      <c r="A14" s="135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39"/>
      <c r="O14" s="139"/>
      <c r="P14" s="138"/>
    </row>
    <row r="15" spans="1:16" ht="22.5" customHeight="1" x14ac:dyDescent="0.3">
      <c r="A15" s="135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0" t="s">
        <v>88</v>
      </c>
      <c r="O15" s="140"/>
      <c r="P15" s="67">
        <f>SUM(H7:H1006)</f>
        <v>2010000</v>
      </c>
    </row>
    <row r="16" spans="1:16" ht="16.5" customHeight="1" x14ac:dyDescent="0.25">
      <c r="A16" s="135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35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35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36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32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33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33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33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33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33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15" customHeight="1" x14ac:dyDescent="0.25">
      <c r="A26" s="133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45" customHeight="1" x14ac:dyDescent="0.25">
      <c r="A27" s="133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33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33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33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33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33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33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8.75" x14ac:dyDescent="0.3">
      <c r="A34" s="133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8.75" x14ac:dyDescent="0.3">
      <c r="A35" s="133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8.75" x14ac:dyDescent="0.3">
      <c r="A36" s="133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8.75" x14ac:dyDescent="0.3">
      <c r="A37" s="133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33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33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33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33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33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33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33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33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33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33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10-01</vt:lpstr>
      <vt:lpstr>01-02</vt:lpstr>
      <vt:lpstr>02-02</vt:lpstr>
      <vt:lpstr>03-02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2026-02-04T15:31:33Z</dcterms:modified>
</cp:coreProperties>
</file>