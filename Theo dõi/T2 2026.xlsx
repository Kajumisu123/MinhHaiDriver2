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D05328CA-F2BC-4DAB-964E-2AA90F4D9141}" xr6:coauthVersionLast="47" xr6:coauthVersionMax="47" xr10:uidLastSave="{00000000-0000-0000-0000-000000000000}"/>
  <bookViews>
    <workbookView xWindow="-120" yWindow="-120" windowWidth="29040" windowHeight="15840" tabRatio="579" firstSheet="1" activeTab="5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41" l="1"/>
  <c r="I47" i="41" s="1"/>
  <c r="G46" i="41"/>
  <c r="I46" i="41" s="1"/>
  <c r="G45" i="41"/>
  <c r="I45" i="41" s="1"/>
  <c r="G44" i="41"/>
  <c r="I44" i="41" s="1"/>
  <c r="G43" i="41"/>
  <c r="I43" i="41" s="1"/>
  <c r="G42" i="41"/>
  <c r="I42" i="41" s="1"/>
  <c r="G41" i="41"/>
  <c r="I41" i="41" s="1"/>
  <c r="G40" i="41"/>
  <c r="I40" i="41" s="1"/>
  <c r="G39" i="41"/>
  <c r="I39" i="41" s="1"/>
  <c r="G38" i="41"/>
  <c r="I38" i="41" s="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G24" i="41"/>
  <c r="I24" i="41" s="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G21" i="41"/>
  <c r="I21" i="41" s="1"/>
  <c r="B21" i="41"/>
  <c r="G20" i="41"/>
  <c r="I20" i="41" s="1"/>
  <c r="G18" i="41"/>
  <c r="I18" i="41" s="1"/>
  <c r="G17" i="41"/>
  <c r="I17" i="41" s="1"/>
  <c r="G16" i="41"/>
  <c r="I16" i="41" s="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G10" i="41"/>
  <c r="I10" i="41" s="1"/>
  <c r="G9" i="41"/>
  <c r="I9" i="41" s="1"/>
  <c r="G8" i="41"/>
  <c r="I8" i="41" s="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G7" i="41"/>
  <c r="P12" i="41" l="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G42" i="40"/>
  <c r="I42" i="40" s="1"/>
  <c r="G41" i="40"/>
  <c r="I41" i="40" s="1"/>
  <c r="G40" i="40"/>
  <c r="I40" i="40" s="1"/>
  <c r="G39" i="40"/>
  <c r="I39" i="40" s="1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G44" i="39"/>
  <c r="I44" i="39" s="1"/>
  <c r="G43" i="39"/>
  <c r="I43" i="39" s="1"/>
  <c r="G42" i="39"/>
  <c r="I42" i="39" s="1"/>
  <c r="G41" i="39"/>
  <c r="I41" i="39" s="1"/>
  <c r="G40" i="39"/>
  <c r="I40" i="39" s="1"/>
  <c r="G39" i="39"/>
  <c r="I39" i="39" s="1"/>
  <c r="G38" i="39"/>
  <c r="I38" i="39" s="1"/>
  <c r="G37" i="39"/>
  <c r="I37" i="39" s="1"/>
  <c r="G36" i="39"/>
  <c r="I36" i="39" s="1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G21" i="39"/>
  <c r="I21" i="39" s="1"/>
  <c r="B21" i="39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G21" i="38"/>
  <c r="I21" i="38" s="1"/>
  <c r="B21" i="38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0" i="38"/>
  <c r="I20" i="38" s="1"/>
  <c r="G18" i="38"/>
  <c r="I18" i="38" s="1"/>
  <c r="G17" i="38"/>
  <c r="I17" i="38" s="1"/>
  <c r="G16" i="38"/>
  <c r="I16" i="38" s="1"/>
  <c r="P15" i="38"/>
  <c r="G15" i="38"/>
  <c r="I15" i="38" s="1"/>
  <c r="G14" i="38"/>
  <c r="I14" i="38" s="1"/>
  <c r="G13" i="38"/>
  <c r="I13" i="38" s="1"/>
  <c r="G12" i="38"/>
  <c r="I12" i="38" s="1"/>
  <c r="G11" i="38"/>
  <c r="I11" i="38" s="1"/>
  <c r="P10" i="38"/>
  <c r="G10" i="38"/>
  <c r="G9" i="38"/>
  <c r="I9" i="38" s="1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<sst xmlns="http://schemas.openxmlformats.org/spreadsheetml/2006/main" count="655" uniqueCount="144">
  <si>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</si>
  <si>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</si>
  <si>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</si>
  <si>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</si>
  <si>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</si>
  <si>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</si>
  <si>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</si>
  <si>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</si>
  <si>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</si>
  <si>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</si>
  <si>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</si>
  <si>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</si>
  <si>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</si>
  <si>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</si>
  <si>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</si>
  <si>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</si>
  <si>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</si>
  <si>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</si>
  <si>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</si>
  <si>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</si>
  <si>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</si>
  <si>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</si>
  <si>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</si>
  <si>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</si>
  <si>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</si>
  <si>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</si>
  <si>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</si>
  <si>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</si>
  <si>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</si>
  <si>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</si>
  <si>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</si>
  <si>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</si>
  <si>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</si>
  <si>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</si>
  <si>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</si>
  <si>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</si>
  <si>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</si>
  <si>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</si>
  <si>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</si>
  <si>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</si>
  <si>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</si>
  <si>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</si>
  <si>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</si>
  <si>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</si>
  <si>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</si>
  <si>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</si>
  <si>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</si>
  <si>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</si>
  <si>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</si>
  <si>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</si>
  <si>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</si>
  <si>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</si>
  <si>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</si>
  <si>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</si>
  <si>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</si>
  <si>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</si>
  <si>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</si>
  <si>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</si>
  <si>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</si>
  <si>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</si>
  <si>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</si>
  <si>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</si>
  <si>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</si>
  <si>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</si>
  <si>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</si>
  <si>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</si>
  <si>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</si>
  <si>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</si>
  <si>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</si>
  <si>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</si>
  <si>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</si>
  <si>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</si>
  <si>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</si>
  <si>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</si>
  <si>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</si>
  <si>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</si>
  <si>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</si>
  <si>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</si>
  <si>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</si>
  <si>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</si>
  <si>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</si>
  <si>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</si>
  <si>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</si>
  <si>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</si>
  <si>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</si>
  <si>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</si>
  <si>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</si>
  <si>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</si>
  <si>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</si>
  <si>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</si>
  <si>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</si>
  <si>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</si>
  <si>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</si>
  <si>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</si>
  <si>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</si>
  <si>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</si>
  <si>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</si>
  <si>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</si>
  <si>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</si>
  <si>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</si>
  <si>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</si>
  <si>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</si>
  <si>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</si>
  <si>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</si>
  <si>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</si>
  <si>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</si>
  <si>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</si>
  <si>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</si>
  <si>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</si>
  <si>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</si>
  <si>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</si>
  <si>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</si>
  <si>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</si>
  <si>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</si>
  <si>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</si>
  <si>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</si>
  <si>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</si>
  <si>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</si>
  <si>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</si>
  <si>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</si>
  <si>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</si>
  <si>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</si>
  <si>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</si>
  <si>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</si>
  <si>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</si>
  <si>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</si>
  <si>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</si>
  <si>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</si>
  <si>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</si>
  <si>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</si>
  <si>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</si>
  <si>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</si>
  <si>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</si>
  <si>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</si>
  <si>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</si>
  <si>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</si>
  <si>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</si>
  <si>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</si>
  <si>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</si>
  <si>
    <t>về quê ăn tết</t>
  </si>
  <si>
    <t>810k</t>
  </si>
  <si>
    <t>hôm qua chuyển dư 214k</t>
  </si>
  <si>
    <t>hôm qua chuyển dư 141k</t>
  </si>
  <si>
    <t>doanh thu 4/2 cộng 5/2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</si>
</sst>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1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  <xf numFmtId="0" fontId="27" fillId="17" borderId="6" xfId="0" applyFont="1" applyFill="1" applyBorder="1" applyAlignment="1">
      <alignment vertical="center"/>
    </xf>
    <xf numFmtId="49" fontId="27" fillId="17" borderId="6" xfId="0" applyNumberFormat="1" applyFont="1" applyFill="1" applyBorder="1" applyAlignment="1">
      <alignment horizontal="center" vertical="center"/>
    </xf>
    <xf numFmtId="3" fontId="27" fillId="17" borderId="6" xfId="0" applyNumberFormat="1" applyFont="1" applyFill="1" applyBorder="1" applyAlignment="1">
      <alignment horizontal="center" vertical="center"/>
    </xf>
    <xf numFmtId="49" fontId="29" fillId="17" borderId="6" xfId="0" applyNumberFormat="1" applyFont="1" applyFill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left" vertical="center"/>
    </xf>
    <xf numFmtId="49" fontId="5" fillId="18" borderId="6" xfId="0" applyNumberFormat="1" applyFont="1" applyFill="1" applyBorder="1" applyAlignment="1">
      <alignment horizontal="center" vertical="center"/>
    </xf>
    <xf numFmtId="0" fontId="31" fillId="17" borderId="6" xfId="0" applyFont="1" applyFill="1" applyBorder="1" applyAlignment="1">
      <alignment horizontal="center" vertical="center"/>
    </xf>
    <xf numFmtId="3" fontId="29" fillId="18" borderId="6" xfId="0" applyNumberFormat="1" applyFont="1" applyFill="1" applyBorder="1" applyAlignment="1">
      <alignment horizontal="center"/>
    </xf>
    <xf numFmtId="3" fontId="29" fillId="18" borderId="6" xfId="0" applyNumberFormat="1" applyFont="1" applyFill="1" applyBorder="1" applyAlignment="1">
      <alignment horizontal="center" vertical="center"/>
    </xf>
    <xf numFmtId="0" fontId="30" fillId="18" borderId="6" xfId="0" applyFont="1" applyFill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37" t="s">
        <v>30</v>
      </c>
      <c r="C2" s="137"/>
      <c r="D2" s="137"/>
      <c r="E2" s="137"/>
      <c r="F2" s="137"/>
      <c r="G2" s="137"/>
      <c r="H2" s="137"/>
      <c r="I2" s="137"/>
      <c r="J2" s="137"/>
      <c r="K2" s="137"/>
    </row>
    <row r="3" spans="2:16" ht="30.75" x14ac:dyDescent="0.25">
      <c r="B3" s="138" t="s">
        <v>85</v>
      </c>
      <c r="C3" s="139"/>
      <c r="D3" s="139"/>
      <c r="E3" s="139"/>
      <c r="F3" s="139"/>
      <c r="G3" s="139"/>
      <c r="H3" s="139"/>
      <c r="I3" s="139"/>
      <c r="J3" s="139"/>
      <c r="K3" s="139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40" t="s">
        <v>28</v>
      </c>
      <c r="I26" s="140"/>
      <c r="J26" s="5">
        <f>SUM(H7:H1001)</f>
        <v>28869000</v>
      </c>
    </row>
    <row r="27" spans="1:13" ht="22.5" x14ac:dyDescent="0.3">
      <c r="H27" s="140" t="s">
        <v>29</v>
      </c>
      <c r="I27" s="140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F7" sqref="F7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16675000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48" t="s">
        <v>95</v>
      </c>
      <c r="O12" s="148"/>
      <c r="P12" s="147">
        <f>SUM(G7:G1006)</f>
        <v>9346000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49" t="s">
        <v>88</v>
      </c>
      <c r="O15" s="149"/>
      <c r="P15" s="67">
        <f>SUM(H7:H1006)</f>
        <v>9285000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3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42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42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42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15" customHeight="1" x14ac:dyDescent="0.25">
      <c r="A26" s="142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45" customHeight="1" x14ac:dyDescent="0.25">
      <c r="A27" s="142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">
      <c r="A28" s="142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">
      <c r="A29" s="142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">
      <c r="A31" s="142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">
      <c r="A32" s="142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">
      <c r="A33" s="142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.75" x14ac:dyDescent="0.3">
      <c r="A34" s="142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.75" x14ac:dyDescent="0.3">
      <c r="A35" s="142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8.75" x14ac:dyDescent="0.3">
      <c r="A36" s="142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8.75" x14ac:dyDescent="0.3">
      <c r="A37" s="142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8.75" x14ac:dyDescent="0.3">
      <c r="A38" s="142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8.75" x14ac:dyDescent="0.3">
      <c r="A39" s="142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8.75" x14ac:dyDescent="0.3">
      <c r="A40" s="142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8.75" x14ac:dyDescent="0.3">
      <c r="A41" s="142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8.75" x14ac:dyDescent="0.3">
      <c r="A42" s="142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8.75" x14ac:dyDescent="0.3">
      <c r="A43" s="142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8.75" x14ac:dyDescent="0.3">
      <c r="A44" s="142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8.75" x14ac:dyDescent="0.3">
      <c r="A45" s="142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8.75" x14ac:dyDescent="0.3">
      <c r="A46" s="142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8.75" x14ac:dyDescent="0.3">
      <c r="A47" s="142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sheetProtection sheet="1" objects="1" scenarios="1"/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H22" sqref="H22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30573000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16022500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15420500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15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45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.75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.75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8.75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8.75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P37" sqref="P37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3545000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2127000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2010000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15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45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8.75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8.75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8.75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8.75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topLeftCell="A5" zoomScale="70" zoomScaleNormal="70" workbookViewId="0">
      <selection activeCell="H7" sqref="H7:H11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46" t="s">
        <v>28</v>
      </c>
      <c r="O10" s="146"/>
      <c r="P10" s="147">
        <f>SUM(F7:F1006)</f>
        <v>40751000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20907500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21280000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42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8.75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8.75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8.75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tabSelected="1" topLeftCell="A3" zoomScale="70" zoomScaleNormal="70" workbookViewId="0">
      <selection activeCell="K20" sqref="K20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IF(F7="",0,IF(F7&gt;1800000,F7*O$19,F7*O$18))</f>
        <v>750000</v>
      </c>
      <c r="H7" s="41">
        <v>750000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 t="shared" si="0"/>
        <v>600000</v>
      </c>
      <c r="H10" s="44">
        <v>600000</v>
      </c>
      <c r="I10" s="41">
        <f t="shared" si="1"/>
        <v>0</v>
      </c>
      <c r="J10" s="50" t="s">
        <v>25</v>
      </c>
      <c r="K10" s="130"/>
      <c r="L10" s="46"/>
      <c r="N10" s="146" t="s">
        <v>28</v>
      </c>
      <c r="O10" s="146"/>
      <c r="P10" s="147">
        <f>SUM(F7:F1006)</f>
        <v>32460000</v>
      </c>
    </row>
    <row r="11" spans="1:16" ht="16.5" customHeight="1" x14ac:dyDescent="0.25">
      <c r="A11" s="144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17157000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16778500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150" t="s">
        <v>124</v>
      </c>
      <c r="D20" s="151"/>
      <c r="E20" s="151" t="s">
        <v>13</v>
      </c>
      <c r="F20" s="152"/>
      <c r="G20" s="152">
        <f t="shared" ref="G20:G47" si="3">IF(F20="",0,IF(F20&gt;=1700000,F20*O$19,F20*O$18))</f>
        <v>0</v>
      </c>
      <c r="H20" s="152"/>
      <c r="I20" s="152">
        <f t="shared" ref="I20:I47" si="4">G20-H20</f>
        <v>0</v>
      </c>
      <c r="J20" s="154"/>
      <c r="K20" s="132" t="s">
        <v>139</v>
      </c>
      <c r="L20" s="76"/>
    </row>
    <row r="21" spans="1:17" ht="16.5" customHeight="1" x14ac:dyDescent="0.25">
      <c r="A21" s="142"/>
      <c r="B21" s="38">
        <f>B20+1</f>
        <v>2</v>
      </c>
      <c r="C21" s="77" t="s">
        <v>125</v>
      </c>
      <c r="D21" s="78"/>
      <c r="E21" s="78" t="s">
        <v>105</v>
      </c>
      <c r="F21" s="79">
        <v>2040000</v>
      </c>
      <c r="G21" s="75">
        <f t="shared" si="3"/>
        <v>1020000</v>
      </c>
      <c r="H21" s="79">
        <v>1020000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1010000</v>
      </c>
      <c r="G22" s="75">
        <f t="shared" si="3"/>
        <v>606000</v>
      </c>
      <c r="H22" s="79">
        <v>600000</v>
      </c>
      <c r="I22" s="75">
        <f t="shared" si="4"/>
        <v>6000</v>
      </c>
      <c r="J22" s="49" t="s">
        <v>63</v>
      </c>
      <c r="K22" s="132" t="s">
        <v>140</v>
      </c>
      <c r="L22" s="82"/>
    </row>
    <row r="23" spans="1:17" ht="16.5" customHeight="1" x14ac:dyDescent="0.25">
      <c r="A23" s="142"/>
      <c r="B23" s="38">
        <f t="shared" si="5"/>
        <v>4</v>
      </c>
      <c r="C23" s="150" t="s">
        <v>126</v>
      </c>
      <c r="D23" s="153"/>
      <c r="E23" s="153" t="s">
        <v>26</v>
      </c>
      <c r="F23" s="152"/>
      <c r="G23" s="152">
        <f t="shared" si="3"/>
        <v>0</v>
      </c>
      <c r="H23" s="152"/>
      <c r="I23" s="152">
        <f t="shared" si="4"/>
        <v>0</v>
      </c>
      <c r="J23" s="154"/>
      <c r="K23" s="132" t="s">
        <v>139</v>
      </c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>
        <v>1450000</v>
      </c>
      <c r="G24" s="75">
        <f t="shared" si="3"/>
        <v>870000</v>
      </c>
      <c r="H24" s="79">
        <v>870000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>
        <v>2230000</v>
      </c>
      <c r="G25" s="75">
        <f t="shared" si="3"/>
        <v>1115000</v>
      </c>
      <c r="H25" s="79">
        <v>1130000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>
        <v>3403000</v>
      </c>
      <c r="G26" s="75">
        <f t="shared" si="3"/>
        <v>1701500</v>
      </c>
      <c r="H26" s="75">
        <v>1701500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>
        <v>1872000</v>
      </c>
      <c r="G27" s="75">
        <f t="shared" si="3"/>
        <v>936000</v>
      </c>
      <c r="H27" s="75">
        <v>936000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>
        <v>1765000</v>
      </c>
      <c r="G28" s="75">
        <f t="shared" si="3"/>
        <v>882500</v>
      </c>
      <c r="H28" s="79">
        <v>882000</v>
      </c>
      <c r="I28" s="75">
        <f t="shared" si="4"/>
        <v>500</v>
      </c>
      <c r="J28" s="49" t="s">
        <v>63</v>
      </c>
      <c r="K28" s="132"/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>
        <v>2380000</v>
      </c>
      <c r="G29" s="75">
        <f t="shared" si="3"/>
        <v>1190000</v>
      </c>
      <c r="H29" s="118">
        <v>1190000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>
        <v>1470000</v>
      </c>
      <c r="G30" s="75">
        <f t="shared" si="3"/>
        <v>882000</v>
      </c>
      <c r="H30" s="119">
        <v>882000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>
        <v>2180000</v>
      </c>
      <c r="G31" s="75">
        <f t="shared" si="3"/>
        <v>1090000</v>
      </c>
      <c r="H31" s="89">
        <v>1090000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>
        <v>3550000</v>
      </c>
      <c r="G33" s="75">
        <f t="shared" si="3"/>
        <v>1775000</v>
      </c>
      <c r="H33" s="89">
        <v>1561000</v>
      </c>
      <c r="I33" s="75">
        <f t="shared" si="4"/>
        <v>214000</v>
      </c>
      <c r="J33" s="49" t="s">
        <v>63</v>
      </c>
      <c r="K33" s="89" t="s">
        <v>141</v>
      </c>
      <c r="L33" s="76"/>
    </row>
    <row r="34" spans="1:12" ht="18.75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>
        <v>940000</v>
      </c>
      <c r="G34" s="75">
        <f t="shared" si="3"/>
        <v>564000</v>
      </c>
      <c r="H34" s="79">
        <v>425000</v>
      </c>
      <c r="I34" s="75">
        <f t="shared" si="4"/>
        <v>139000</v>
      </c>
      <c r="J34" s="49" t="s">
        <v>63</v>
      </c>
      <c r="K34" s="132" t="s">
        <v>142</v>
      </c>
      <c r="L34" s="76"/>
    </row>
    <row r="35" spans="1:12" ht="18.75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42"/>
      <c r="B37" s="38">
        <f t="shared" si="5"/>
        <v>18</v>
      </c>
      <c r="C37" s="155"/>
      <c r="D37" s="156"/>
      <c r="E37" s="157" t="s">
        <v>76</v>
      </c>
      <c r="F37" s="158"/>
      <c r="G37" s="152">
        <f t="shared" si="3"/>
        <v>0</v>
      </c>
      <c r="H37" s="159"/>
      <c r="I37" s="152">
        <f t="shared" si="4"/>
        <v>0</v>
      </c>
      <c r="J37" s="160"/>
      <c r="K37" s="98"/>
      <c r="L37" s="47"/>
    </row>
    <row r="38" spans="1:12" ht="18.75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>
        <v>970000</v>
      </c>
      <c r="G38" s="75">
        <f t="shared" si="3"/>
        <v>582000</v>
      </c>
      <c r="H38" s="89">
        <v>582000</v>
      </c>
      <c r="I38" s="75">
        <f t="shared" si="4"/>
        <v>0</v>
      </c>
      <c r="J38" s="49" t="s">
        <v>63</v>
      </c>
      <c r="K38" s="98" t="s">
        <v>143</v>
      </c>
      <c r="L38" s="47"/>
    </row>
    <row r="39" spans="1:12" ht="18.75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10-01</vt:lpstr>
      <vt:lpstr>01-02</vt:lpstr>
      <vt:lpstr>02-02</vt:lpstr>
      <vt:lpstr>03-02</vt:lpstr>
      <vt:lpstr>04-02</vt:lpstr>
      <vt:lpstr>05-02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2026-02-06T06:43:20Z</dcterms:modified>
</cp:coreProperties>
</file>