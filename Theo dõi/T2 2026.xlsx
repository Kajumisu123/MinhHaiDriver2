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924336F6-BB63-4DF0-B102-2E2CBE591715}" xr6:coauthVersionLast="47" xr6:coauthVersionMax="47" xr10:uidLastSave="{00000000-0000-0000-0000-000000000000}"/>
  <bookViews>
    <workbookView xWindow="-120" yWindow="-120" windowWidth="29040" windowHeight="15840" tabRatio="579" firstSheet="1" activeTab="9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  <sheet name="05-02" sheetId="41" r:id="rId6"/>
    <sheet name="06-02" sheetId="42" r:id="rId7"/>
    <sheet name="07-02" sheetId="43" r:id="rId8"/>
    <sheet name="08-02" sheetId="44" r:id="rId9"/>
    <sheet name="09-02" sheetId="4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45" l="1"/>
  <c r="I47" i="45" s="1"/>
  <c r="G46" i="45"/>
  <c r="I46" i="45" s="1"/>
  <c r="G45" i="45"/>
  <c r="I45" i="45" s="1"/>
  <c r="G44" i="45"/>
  <c r="I44" i="45" s="1"/>
  <c r="G43" i="45"/>
  <c r="I43" i="45" s="1"/>
  <c r="G42" i="45"/>
  <c r="I42" i="45" s="1"/>
  <c r="G41" i="45"/>
  <c r="I41" i="45" s="1"/>
  <c r="G40" i="45"/>
  <c r="I40" i="45" s="1"/>
  <c r="I39" i="45"/>
  <c r="G39" i="45"/>
  <c r="G38" i="45"/>
  <c r="I38" i="45" s="1"/>
  <c r="G37" i="45"/>
  <c r="I37" i="45" s="1"/>
  <c r="G36" i="45"/>
  <c r="I36" i="45" s="1"/>
  <c r="G35" i="45"/>
  <c r="I35" i="45" s="1"/>
  <c r="G34" i="45"/>
  <c r="I34" i="45" s="1"/>
  <c r="G33" i="45"/>
  <c r="I33" i="45" s="1"/>
  <c r="G32" i="45"/>
  <c r="I32" i="45" s="1"/>
  <c r="I31" i="45"/>
  <c r="G31" i="45"/>
  <c r="G30" i="45"/>
  <c r="I30" i="45" s="1"/>
  <c r="G29" i="45"/>
  <c r="I29" i="45" s="1"/>
  <c r="G28" i="45"/>
  <c r="I28" i="45" s="1"/>
  <c r="G27" i="45"/>
  <c r="I27" i="45" s="1"/>
  <c r="G26" i="45"/>
  <c r="I26" i="45" s="1"/>
  <c r="G25" i="45"/>
  <c r="I25" i="45" s="1"/>
  <c r="G24" i="45"/>
  <c r="I24" i="45" s="1"/>
  <c r="I23" i="45"/>
  <c r="G23" i="45"/>
  <c r="G22" i="45"/>
  <c r="I22" i="45" s="1"/>
  <c r="G21" i="45"/>
  <c r="I21" i="45" s="1"/>
  <c r="B21" i="45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G20" i="45"/>
  <c r="I20" i="45" s="1"/>
  <c r="G18" i="45"/>
  <c r="I18" i="45" s="1"/>
  <c r="G17" i="45"/>
  <c r="I17" i="45" s="1"/>
  <c r="G16" i="45"/>
  <c r="I16" i="45" s="1"/>
  <c r="P15" i="45"/>
  <c r="G15" i="45"/>
  <c r="I15" i="45" s="1"/>
  <c r="I14" i="45"/>
  <c r="G14" i="45"/>
  <c r="G13" i="45"/>
  <c r="I13" i="45" s="1"/>
  <c r="G12" i="45"/>
  <c r="I12" i="45" s="1"/>
  <c r="G11" i="45"/>
  <c r="I11" i="45" s="1"/>
  <c r="P10" i="45"/>
  <c r="G10" i="45"/>
  <c r="I10" i="45" s="1"/>
  <c r="G9" i="45"/>
  <c r="I9" i="45" s="1"/>
  <c r="G8" i="45"/>
  <c r="I8" i="45" s="1"/>
  <c r="B8" i="45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G7" i="45"/>
  <c r="I7" i="45" s="1"/>
  <c r="I8" i="44"/>
  <c r="G47" i="44"/>
  <c r="I47" i="44" s="1"/>
  <c r="G46" i="44"/>
  <c r="I46" i="44" s="1"/>
  <c r="G45" i="44"/>
  <c r="I45" i="44" s="1"/>
  <c r="G44" i="44"/>
  <c r="I44" i="44" s="1"/>
  <c r="G43" i="44"/>
  <c r="I43" i="44" s="1"/>
  <c r="G42" i="44"/>
  <c r="I42" i="44" s="1"/>
  <c r="G41" i="44"/>
  <c r="I41" i="44" s="1"/>
  <c r="G40" i="44"/>
  <c r="I40" i="44" s="1"/>
  <c r="G39" i="44"/>
  <c r="I39" i="44" s="1"/>
  <c r="G38" i="44"/>
  <c r="I38" i="44" s="1"/>
  <c r="G37" i="44"/>
  <c r="I37" i="44" s="1"/>
  <c r="G36" i="44"/>
  <c r="I36" i="44" s="1"/>
  <c r="G35" i="44"/>
  <c r="I35" i="44" s="1"/>
  <c r="G34" i="44"/>
  <c r="I34" i="44" s="1"/>
  <c r="G33" i="44"/>
  <c r="I33" i="44" s="1"/>
  <c r="G32" i="44"/>
  <c r="I32" i="44" s="1"/>
  <c r="G31" i="44"/>
  <c r="I31" i="44" s="1"/>
  <c r="G30" i="44"/>
  <c r="I30" i="44" s="1"/>
  <c r="G29" i="44"/>
  <c r="I29" i="44" s="1"/>
  <c r="G28" i="44"/>
  <c r="I28" i="44" s="1"/>
  <c r="G27" i="44"/>
  <c r="I27" i="44" s="1"/>
  <c r="G26" i="44"/>
  <c r="I26" i="44" s="1"/>
  <c r="G25" i="44"/>
  <c r="I25" i="44" s="1"/>
  <c r="G24" i="44"/>
  <c r="I24" i="44" s="1"/>
  <c r="G23" i="44"/>
  <c r="I23" i="44" s="1"/>
  <c r="G22" i="44"/>
  <c r="I22" i="44" s="1"/>
  <c r="B22" i="44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G21" i="44"/>
  <c r="I21" i="44" s="1"/>
  <c r="B21" i="44"/>
  <c r="G20" i="44"/>
  <c r="I20" i="44" s="1"/>
  <c r="G18" i="44"/>
  <c r="I18" i="44" s="1"/>
  <c r="G17" i="44"/>
  <c r="I17" i="44" s="1"/>
  <c r="G16" i="44"/>
  <c r="I16" i="44" s="1"/>
  <c r="P15" i="44"/>
  <c r="G15" i="44"/>
  <c r="I15" i="44" s="1"/>
  <c r="G14" i="44"/>
  <c r="I14" i="44" s="1"/>
  <c r="G13" i="44"/>
  <c r="I13" i="44" s="1"/>
  <c r="G12" i="44"/>
  <c r="I12" i="44" s="1"/>
  <c r="G11" i="44"/>
  <c r="I11" i="44" s="1"/>
  <c r="P10" i="44"/>
  <c r="G10" i="44"/>
  <c r="I10" i="44" s="1"/>
  <c r="G9" i="44"/>
  <c r="I9" i="44" s="1"/>
  <c r="G8" i="44"/>
  <c r="B8" i="44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G7" i="44"/>
  <c r="I7" i="44" s="1"/>
  <c r="G47" i="43"/>
  <c r="I47" i="43" s="1"/>
  <c r="G46" i="43"/>
  <c r="I46" i="43" s="1"/>
  <c r="G45" i="43"/>
  <c r="I45" i="43" s="1"/>
  <c r="G44" i="43"/>
  <c r="I44" i="43" s="1"/>
  <c r="G43" i="43"/>
  <c r="I43" i="43" s="1"/>
  <c r="I42" i="43"/>
  <c r="G42" i="43"/>
  <c r="G41" i="43"/>
  <c r="I41" i="43" s="1"/>
  <c r="I40" i="43"/>
  <c r="G40" i="43"/>
  <c r="G39" i="43"/>
  <c r="I39" i="43" s="1"/>
  <c r="G38" i="43"/>
  <c r="I38" i="43" s="1"/>
  <c r="G37" i="43"/>
  <c r="I37" i="43" s="1"/>
  <c r="G36" i="43"/>
  <c r="I36" i="43" s="1"/>
  <c r="G35" i="43"/>
  <c r="I35" i="43" s="1"/>
  <c r="G34" i="43"/>
  <c r="I34" i="43" s="1"/>
  <c r="G33" i="43"/>
  <c r="I33" i="43" s="1"/>
  <c r="G32" i="43"/>
  <c r="I32" i="43" s="1"/>
  <c r="G31" i="43"/>
  <c r="I31" i="43" s="1"/>
  <c r="G30" i="43"/>
  <c r="I30" i="43" s="1"/>
  <c r="G29" i="43"/>
  <c r="I29" i="43" s="1"/>
  <c r="G28" i="43"/>
  <c r="I28" i="43" s="1"/>
  <c r="G27" i="43"/>
  <c r="I27" i="43" s="1"/>
  <c r="G26" i="43"/>
  <c r="I26" i="43" s="1"/>
  <c r="G25" i="43"/>
  <c r="I25" i="43" s="1"/>
  <c r="G24" i="43"/>
  <c r="I24" i="43" s="1"/>
  <c r="G23" i="43"/>
  <c r="I23" i="43" s="1"/>
  <c r="G22" i="43"/>
  <c r="I22" i="43" s="1"/>
  <c r="B22" i="43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G21" i="43"/>
  <c r="I21" i="43" s="1"/>
  <c r="B21" i="43"/>
  <c r="G20" i="43"/>
  <c r="I20" i="43" s="1"/>
  <c r="G18" i="43"/>
  <c r="I18" i="43" s="1"/>
  <c r="G17" i="43"/>
  <c r="I17" i="43" s="1"/>
  <c r="G16" i="43"/>
  <c r="I16" i="43" s="1"/>
  <c r="P15" i="43"/>
  <c r="G15" i="43"/>
  <c r="I15" i="43" s="1"/>
  <c r="G14" i="43"/>
  <c r="I14" i="43" s="1"/>
  <c r="G13" i="43"/>
  <c r="I13" i="43" s="1"/>
  <c r="G12" i="43"/>
  <c r="I12" i="43" s="1"/>
  <c r="G11" i="43"/>
  <c r="I11" i="43" s="1"/>
  <c r="P10" i="43"/>
  <c r="G10" i="43"/>
  <c r="I10" i="43" s="1"/>
  <c r="G9" i="43"/>
  <c r="I9" i="43" s="1"/>
  <c r="G8" i="43"/>
  <c r="I8" i="43" s="1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G7" i="43"/>
  <c r="I7" i="43" s="1"/>
  <c r="I47" i="42"/>
  <c r="G47" i="42"/>
  <c r="G46" i="42"/>
  <c r="I46" i="42" s="1"/>
  <c r="I45" i="42"/>
  <c r="G45" i="42"/>
  <c r="G44" i="42"/>
  <c r="I44" i="42" s="1"/>
  <c r="G43" i="42"/>
  <c r="I43" i="42" s="1"/>
  <c r="G42" i="42"/>
  <c r="I42" i="42" s="1"/>
  <c r="G41" i="42"/>
  <c r="I41" i="42" s="1"/>
  <c r="G40" i="42"/>
  <c r="I40" i="42" s="1"/>
  <c r="G39" i="42"/>
  <c r="I39" i="42" s="1"/>
  <c r="G38" i="42"/>
  <c r="I38" i="42" s="1"/>
  <c r="G37" i="42"/>
  <c r="I37" i="42" s="1"/>
  <c r="G36" i="42"/>
  <c r="I36" i="42" s="1"/>
  <c r="G35" i="42"/>
  <c r="I35" i="42" s="1"/>
  <c r="G34" i="42"/>
  <c r="I34" i="42" s="1"/>
  <c r="G33" i="42"/>
  <c r="I33" i="42" s="1"/>
  <c r="G32" i="42"/>
  <c r="I32" i="42" s="1"/>
  <c r="G31" i="42"/>
  <c r="I31" i="42" s="1"/>
  <c r="G30" i="42"/>
  <c r="I30" i="42" s="1"/>
  <c r="G29" i="42"/>
  <c r="I29" i="42" s="1"/>
  <c r="G28" i="42"/>
  <c r="I28" i="42" s="1"/>
  <c r="G27" i="42"/>
  <c r="I27" i="42" s="1"/>
  <c r="G26" i="42"/>
  <c r="I26" i="42" s="1"/>
  <c r="G25" i="42"/>
  <c r="I25" i="42" s="1"/>
  <c r="G24" i="42"/>
  <c r="I24" i="42" s="1"/>
  <c r="I23" i="42"/>
  <c r="G23" i="42"/>
  <c r="G22" i="42"/>
  <c r="I22" i="42" s="1"/>
  <c r="G21" i="42"/>
  <c r="I21" i="42" s="1"/>
  <c r="B21" i="42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G20" i="42"/>
  <c r="I20" i="42" s="1"/>
  <c r="G18" i="42"/>
  <c r="I18" i="42" s="1"/>
  <c r="G17" i="42"/>
  <c r="I17" i="42" s="1"/>
  <c r="G16" i="42"/>
  <c r="I16" i="42" s="1"/>
  <c r="P15" i="42"/>
  <c r="G15" i="42"/>
  <c r="I15" i="42" s="1"/>
  <c r="G14" i="42"/>
  <c r="I14" i="42" s="1"/>
  <c r="G13" i="42"/>
  <c r="I13" i="42" s="1"/>
  <c r="G12" i="42"/>
  <c r="I12" i="42" s="1"/>
  <c r="G11" i="42"/>
  <c r="I11" i="42" s="1"/>
  <c r="P10" i="42"/>
  <c r="G10" i="42"/>
  <c r="I10" i="42" s="1"/>
  <c r="G9" i="42"/>
  <c r="I9" i="42" s="1"/>
  <c r="G8" i="42"/>
  <c r="I8" i="42" s="1"/>
  <c r="B8" i="42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G7" i="42"/>
  <c r="I7" i="42" s="1"/>
  <c r="G47" i="41"/>
  <c r="I47" i="41" s="1"/>
  <c r="G46" i="41"/>
  <c r="I46" i="41" s="1"/>
  <c r="G45" i="41"/>
  <c r="I45" i="41" s="1"/>
  <c r="G44" i="41"/>
  <c r="I44" i="41" s="1"/>
  <c r="G43" i="41"/>
  <c r="I43" i="41" s="1"/>
  <c r="G42" i="41"/>
  <c r="I42" i="41" s="1"/>
  <c r="G41" i="41"/>
  <c r="I41" i="41" s="1"/>
  <c r="G40" i="41"/>
  <c r="I40" i="41" s="1"/>
  <c r="G39" i="41"/>
  <c r="I39" i="41" s="1"/>
  <c r="G38" i="41"/>
  <c r="I38" i="41" s="1"/>
  <c r="G37" i="41"/>
  <c r="I37" i="41" s="1"/>
  <c r="G36" i="41"/>
  <c r="I36" i="41" s="1"/>
  <c r="G35" i="41"/>
  <c r="I35" i="41" s="1"/>
  <c r="G34" i="41"/>
  <c r="I34" i="41" s="1"/>
  <c r="G33" i="41"/>
  <c r="I33" i="41" s="1"/>
  <c r="G32" i="41"/>
  <c r="I32" i="41" s="1"/>
  <c r="G31" i="41"/>
  <c r="I31" i="41" s="1"/>
  <c r="G30" i="41"/>
  <c r="I30" i="41" s="1"/>
  <c r="G29" i="41"/>
  <c r="I29" i="41" s="1"/>
  <c r="G28" i="41"/>
  <c r="I28" i="41" s="1"/>
  <c r="G27" i="41"/>
  <c r="I27" i="41" s="1"/>
  <c r="G26" i="41"/>
  <c r="I26" i="41" s="1"/>
  <c r="G25" i="41"/>
  <c r="I25" i="41" s="1"/>
  <c r="G24" i="41"/>
  <c r="I24" i="41" s="1"/>
  <c r="G23" i="41"/>
  <c r="I23" i="41" s="1"/>
  <c r="G22" i="41"/>
  <c r="I22" i="41" s="1"/>
  <c r="B22" i="4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G21" i="41"/>
  <c r="I21" i="41" s="1"/>
  <c r="B21" i="41"/>
  <c r="G20" i="41"/>
  <c r="I20" i="41" s="1"/>
  <c r="G18" i="41"/>
  <c r="I18" i="41" s="1"/>
  <c r="G17" i="41"/>
  <c r="I17" i="41" s="1"/>
  <c r="G16" i="41"/>
  <c r="I16" i="41" s="1"/>
  <c r="P15" i="41"/>
  <c r="I15" i="41"/>
  <c r="G15" i="41"/>
  <c r="G14" i="41"/>
  <c r="I14" i="41" s="1"/>
  <c r="G13" i="41"/>
  <c r="I13" i="41" s="1"/>
  <c r="G12" i="41"/>
  <c r="I12" i="41" s="1"/>
  <c r="G11" i="41"/>
  <c r="I11" i="41" s="1"/>
  <c r="P10" i="41"/>
  <c r="G10" i="41"/>
  <c r="I10" i="41" s="1"/>
  <c r="G9" i="41"/>
  <c r="I9" i="41" s="1"/>
  <c r="G8" i="41"/>
  <c r="I8" i="41" s="1"/>
  <c r="B8" i="4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G7" i="41"/>
  <c r="P12" i="45" l="1"/>
  <c r="P12" i="44"/>
  <c r="P12" i="43"/>
  <c r="P12" i="42"/>
  <c r="P12" i="41"/>
  <c r="I7" i="41"/>
  <c r="G8" i="40" l="1"/>
  <c r="I8" i="40" s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G42" i="40"/>
  <c r="I42" i="40" s="1"/>
  <c r="G41" i="40"/>
  <c r="I41" i="40" s="1"/>
  <c r="G40" i="40"/>
  <c r="I40" i="40" s="1"/>
  <c r="G39" i="40"/>
  <c r="I39" i="40" s="1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G44" i="39"/>
  <c r="I44" i="39" s="1"/>
  <c r="G43" i="39"/>
  <c r="I43" i="39" s="1"/>
  <c r="G42" i="39"/>
  <c r="I42" i="39" s="1"/>
  <c r="G41" i="39"/>
  <c r="I41" i="39" s="1"/>
  <c r="G40" i="39"/>
  <c r="I40" i="39" s="1"/>
  <c r="G39" i="39"/>
  <c r="I39" i="39" s="1"/>
  <c r="G38" i="39"/>
  <c r="I38" i="39" s="1"/>
  <c r="G37" i="39"/>
  <c r="I37" i="39" s="1"/>
  <c r="G36" i="39"/>
  <c r="I36" i="39" s="1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G21" i="39"/>
  <c r="I21" i="39" s="1"/>
  <c r="B21" i="39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G21" i="38"/>
  <c r="I21" i="38" s="1"/>
  <c r="B21" i="38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0" i="38"/>
  <c r="I20" i="38" s="1"/>
  <c r="G18" i="38"/>
  <c r="I18" i="38" s="1"/>
  <c r="G17" i="38"/>
  <c r="I17" i="38" s="1"/>
  <c r="G16" i="38"/>
  <c r="I16" i="38" s="1"/>
  <c r="P15" i="38"/>
  <c r="G15" i="38"/>
  <c r="I15" i="38" s="1"/>
  <c r="G14" i="38"/>
  <c r="I14" i="38" s="1"/>
  <c r="G13" i="38"/>
  <c r="I13" i="38" s="1"/>
  <c r="G12" i="38"/>
  <c r="I12" i="38" s="1"/>
  <c r="G11" i="38"/>
  <c r="I11" i="38" s="1"/>
  <c r="P10" i="38"/>
  <c r="G10" i="38"/>
  <c r="G9" i="38"/>
  <c r="I9" i="38" s="1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<sst xmlns="http://schemas.openxmlformats.org/spreadsheetml/2006/main" count="1058" uniqueCount="159">
  <si>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</si>
  <si>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</si>
  <si>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</si>
  <si>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</si>
  <si>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</si>
  <si>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</si>
  <si>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</si>
  <si>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</si>
  <si>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</si>
  <si>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</si>
  <si>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</si>
  <si>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</si>
  <si>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</si>
  <si>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</si>
  <si>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</si>
  <si>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</si>
  <si>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</si>
  <si>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</si>
  <si>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</si>
  <si>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</si>
  <si>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</si>
  <si>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</si>
  <si>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</si>
  <si>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</si>
  <si>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</si>
  <si>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</si>
  <si>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</si>
  <si>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</si>
  <si>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</si>
  <si>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</si>
  <si>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</si>
  <si>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</si>
  <si>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</si>
  <si>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</si>
  <si>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</si>
  <si>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</si>
  <si>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</si>
  <si>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</si>
  <si>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</si>
  <si>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</si>
  <si>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</si>
  <si>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</si>
  <si>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</si>
  <si>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</si>
  <si>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</si>
  <si>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</si>
  <si>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</si>
  <si>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</si>
  <si>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</si>
  <si>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</si>
  <si>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</si>
  <si>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</si>
  <si>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</si>
  <si>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</si>
  <si>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</si>
  <si>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</si>
  <si>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</si>
  <si>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</si>
  <si>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</si>
  <si>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</si>
  <si>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</si>
  <si>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</si>
  <si>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</si>
  <si>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</si>
  <si>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</si>
  <si>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</si>
  <si>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</si>
  <si>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</si>
  <si>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</si>
  <si>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</si>
  <si>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</si>
  <si>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</si>
  <si>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</si>
  <si>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</si>
  <si>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</si>
  <si>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</si>
  <si>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</si>
  <si>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</si>
  <si>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</si>
  <si>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</si>
  <si>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</si>
  <si>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</si>
  <si>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</si>
  <si>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</si>
  <si>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</si>
  <si>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</si>
  <si>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</si>
  <si>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</si>
  <si>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</si>
  <si>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</si>
  <si>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</si>
  <si>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</si>
  <si>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</si>
  <si>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</si>
  <si>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</si>
  <si>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</si>
  <si>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</si>
  <si>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</si>
  <si>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</si>
  <si>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</si>
  <si>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</si>
  <si>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</si>
  <si>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</si>
  <si>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</si>
  <si>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</si>
  <si>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</si>
  <si>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</si>
  <si>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</si>
  <si>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</si>
  <si>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</si>
  <si>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</si>
  <si>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</si>
  <si>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</si>
  <si>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</si>
  <si>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</si>
  <si>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</si>
  <si>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</si>
  <si>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</si>
  <si>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</si>
  <si>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</si>
  <si>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</si>
  <si>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</si>
  <si>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</si>
  <si>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</si>
  <si>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</si>
  <si>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</si>
  <si>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</si>
  <si>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</si>
  <si>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</si>
  <si>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</si>
  <si>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</si>
  <si>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</si>
  <si>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</si>
  <si>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</si>
  <si>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</si>
  <si>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</si>
  <si>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</si>
  <si>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</si>
  <si>
    <t>DOANH THU 05/02/2026</t>
  </si>
  <si>
    <t>về quê ăn tết</t>
  </si>
  <si>
    <t>810k</t>
  </si>
  <si>
    <t>hôm qua chuyển dư 214k</t>
  </si>
  <si>
    <t>hôm qua chuyển dư 141k</t>
  </si>
  <si>
    <t>doanh thu 4/2 cộng 5/2</t>
  </si>
  <si>
    <t>DOANH THU 06/02/2026</t>
  </si>
  <si>
    <t>nghỉ nhà có việc</t>
  </si>
  <si>
    <t>nghỉ luôn</t>
  </si>
  <si>
    <t>1150, bỏ cuốc 150 và 50 mới nhất vì đã cộng vô doanh thu hôm ngày 4</t>
  </si>
  <si>
    <t xml:space="preserve">50k đèn xi nhan </t>
  </si>
  <si>
    <t>DOANH THU 07/02/2026</t>
  </si>
  <si>
    <t>nghỉ, chạy lấy xe đi vòng vòng rồi về</t>
  </si>
  <si>
    <t>đi du lịch hòn thơm</t>
  </si>
  <si>
    <t>đi nghỉ tết</t>
  </si>
  <si>
    <t>chuyển dư 245 và làm chuôi cắm 100</t>
  </si>
  <si>
    <t>QUỐC PHONG</t>
  </si>
  <si>
    <t>DOANH THU 08/02/2026</t>
  </si>
  <si>
    <t>đi phà chưa chuyển khoản</t>
  </si>
  <si>
    <t>trừ vào tiền cọc xe</t>
  </si>
  <si>
    <t>DOANH THU 09/02/2026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</si>
</sst>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3"/>
      <color theme="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73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27" fillId="17" borderId="6" xfId="0" applyFont="1" applyFill="1" applyBorder="1" applyAlignment="1">
      <alignment vertical="center"/>
    </xf>
    <xf numFmtId="49" fontId="27" fillId="17" borderId="6" xfId="0" applyNumberFormat="1" applyFont="1" applyFill="1" applyBorder="1" applyAlignment="1">
      <alignment horizontal="center" vertical="center"/>
    </xf>
    <xf numFmtId="3" fontId="27" fillId="17" borderId="6" xfId="0" applyNumberFormat="1" applyFont="1" applyFill="1" applyBorder="1" applyAlignment="1">
      <alignment horizontal="center" vertical="center"/>
    </xf>
    <xf numFmtId="49" fontId="29" fillId="17" borderId="6" xfId="0" applyNumberFormat="1" applyFont="1" applyFill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left" vertical="center"/>
    </xf>
    <xf numFmtId="49" fontId="5" fillId="18" borderId="6" xfId="0" applyNumberFormat="1" applyFont="1" applyFill="1" applyBorder="1" applyAlignment="1">
      <alignment horizontal="center" vertical="center"/>
    </xf>
    <xf numFmtId="0" fontId="31" fillId="17" borderId="6" xfId="0" applyFont="1" applyFill="1" applyBorder="1" applyAlignment="1">
      <alignment horizontal="center" vertical="center"/>
    </xf>
    <xf numFmtId="3" fontId="29" fillId="18" borderId="6" xfId="0" applyNumberFormat="1" applyFont="1" applyFill="1" applyBorder="1" applyAlignment="1">
      <alignment horizontal="center"/>
    </xf>
    <xf numFmtId="3" fontId="29" fillId="18" borderId="6" xfId="0" applyNumberFormat="1" applyFont="1" applyFill="1" applyBorder="1" applyAlignment="1">
      <alignment horizontal="center" vertical="center"/>
    </xf>
    <xf numFmtId="0" fontId="30" fillId="18" borderId="6" xfId="0" applyFont="1" applyFill="1" applyBorder="1" applyAlignment="1">
      <alignment horizontal="center" vertical="center"/>
    </xf>
    <xf numFmtId="0" fontId="29" fillId="0" borderId="0" xfId="0" applyFont="1" applyAlignment="1">
      <alignment wrapText="1"/>
    </xf>
    <xf numFmtId="0" fontId="27" fillId="13" borderId="6" xfId="0" applyFont="1" applyFill="1" applyBorder="1" applyAlignment="1">
      <alignment horizontal="left" vertical="center"/>
    </xf>
    <xf numFmtId="49" fontId="5" fillId="13" borderId="6" xfId="0" applyNumberFormat="1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3" fontId="29" fillId="13" borderId="6" xfId="0" applyNumberFormat="1" applyFont="1" applyFill="1" applyBorder="1" applyAlignment="1">
      <alignment horizontal="center"/>
    </xf>
    <xf numFmtId="3" fontId="29" fillId="13" borderId="6" xfId="0" applyNumberFormat="1" applyFont="1" applyFill="1" applyBorder="1" applyAlignment="1">
      <alignment horizontal="center" vertical="center"/>
    </xf>
    <xf numFmtId="0" fontId="33" fillId="9" borderId="6" xfId="0" applyFont="1" applyFill="1" applyBorder="1" applyAlignment="1">
      <alignment horizontal="center" vertical="center"/>
    </xf>
    <xf numFmtId="0" fontId="34" fillId="10" borderId="6" xfId="0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vertical="center"/>
    </xf>
    <xf numFmtId="0" fontId="27" fillId="18" borderId="6" xfId="0" applyFont="1" applyFill="1" applyBorder="1"/>
    <xf numFmtId="0" fontId="29" fillId="10" borderId="0" xfId="0" applyFont="1" applyFill="1" applyAlignment="1">
      <alignment wrapText="1"/>
    </xf>
    <xf numFmtId="0" fontId="34" fillId="18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60" t="s">
        <v>30</v>
      </c>
      <c r="C2" s="160"/>
      <c r="D2" s="160"/>
      <c r="E2" s="160"/>
      <c r="F2" s="160"/>
      <c r="G2" s="160"/>
      <c r="H2" s="160"/>
      <c r="I2" s="160"/>
      <c r="J2" s="160"/>
      <c r="K2" s="160"/>
    </row>
    <row r="3" spans="2:16" ht="30.75" x14ac:dyDescent="0.25">
      <c r="B3" s="161" t="s">
        <v>85</v>
      </c>
      <c r="C3" s="162"/>
      <c r="D3" s="162"/>
      <c r="E3" s="162"/>
      <c r="F3" s="162"/>
      <c r="G3" s="162"/>
      <c r="H3" s="162"/>
      <c r="I3" s="162"/>
      <c r="J3" s="162"/>
      <c r="K3" s="162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63" t="s">
        <v>28</v>
      </c>
      <c r="I26" s="163"/>
      <c r="J26" s="5">
        <f>SUM(H7:H1001)</f>
        <v>28869000</v>
      </c>
    </row>
    <row r="27" spans="1:13" ht="22.5" x14ac:dyDescent="0.3">
      <c r="H27" s="163" t="s">
        <v>29</v>
      </c>
      <c r="I27" s="163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F7" sqref="F7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67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69" t="s">
        <v>28</v>
      </c>
      <c r="O10" s="169"/>
      <c r="P10" s="170">
        <f>SUM(F7:F1006)</f>
        <v>16675000</v>
      </c>
    </row>
    <row r="11" spans="1:16" ht="16.5" customHeight="1" x14ac:dyDescent="0.25">
      <c r="A11" s="167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71" t="s">
        <v>95</v>
      </c>
      <c r="O12" s="171"/>
      <c r="P12" s="170">
        <f>SUM(G7:G1006)</f>
        <v>9346000</v>
      </c>
    </row>
    <row r="13" spans="1:16" ht="22.5" customHeight="1" x14ac:dyDescent="0.25">
      <c r="A13" s="167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72" t="s">
        <v>88</v>
      </c>
      <c r="O15" s="172"/>
      <c r="P15" s="67">
        <f>SUM(H7:H1006)</f>
        <v>9285000</v>
      </c>
    </row>
    <row r="16" spans="1:16" ht="16.5" customHeight="1" x14ac:dyDescent="0.25">
      <c r="A16" s="167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67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67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65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65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65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65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65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65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65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65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65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65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65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65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65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65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65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65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65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65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65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65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65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65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65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65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65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65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65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sheetProtection sheet="1" objects="1" scenarios="1"/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G30" sqref="G30:G31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67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69" t="s">
        <v>28</v>
      </c>
      <c r="O10" s="169"/>
      <c r="P10" s="170">
        <f>SUM(F7:F1006)</f>
        <v>30573000</v>
      </c>
    </row>
    <row r="11" spans="1:16" ht="16.5" customHeight="1" x14ac:dyDescent="0.25">
      <c r="A11" s="167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71" t="s">
        <v>95</v>
      </c>
      <c r="O12" s="171"/>
      <c r="P12" s="170">
        <f>SUM(G7:G1006)</f>
        <v>16022500</v>
      </c>
    </row>
    <row r="13" spans="1:16" ht="22.5" customHeight="1" x14ac:dyDescent="0.25">
      <c r="A13" s="167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72" t="s">
        <v>88</v>
      </c>
      <c r="O15" s="172"/>
      <c r="P15" s="67">
        <f>SUM(H7:H1006)</f>
        <v>15420500</v>
      </c>
    </row>
    <row r="16" spans="1:16" ht="16.5" customHeight="1" x14ac:dyDescent="0.25">
      <c r="A16" s="167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67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67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65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65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65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65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65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15" customHeight="1" x14ac:dyDescent="0.25">
      <c r="A26" s="165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45" customHeight="1" x14ac:dyDescent="0.25">
      <c r="A27" s="165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">
      <c r="A28" s="165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">
      <c r="A29" s="165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65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">
      <c r="A31" s="165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">
      <c r="A32" s="165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">
      <c r="A33" s="165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.75" x14ac:dyDescent="0.3">
      <c r="A34" s="165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.75" x14ac:dyDescent="0.3">
      <c r="A35" s="165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8.75" x14ac:dyDescent="0.3">
      <c r="A36" s="165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8.75" x14ac:dyDescent="0.3">
      <c r="A37" s="165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E22" sqref="E22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67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69" t="s">
        <v>28</v>
      </c>
      <c r="O10" s="169"/>
      <c r="P10" s="170">
        <f>SUM(F7:F1006)</f>
        <v>3545000</v>
      </c>
    </row>
    <row r="11" spans="1:16" ht="16.5" customHeight="1" x14ac:dyDescent="0.25">
      <c r="A11" s="167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71" t="s">
        <v>95</v>
      </c>
      <c r="O12" s="171"/>
      <c r="P12" s="170">
        <f>SUM(G7:G1006)</f>
        <v>2127000</v>
      </c>
    </row>
    <row r="13" spans="1:16" ht="22.5" customHeight="1" x14ac:dyDescent="0.25">
      <c r="A13" s="167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72" t="s">
        <v>88</v>
      </c>
      <c r="O15" s="172"/>
      <c r="P15" s="67">
        <f>SUM(H7:H1006)</f>
        <v>2010000</v>
      </c>
    </row>
    <row r="16" spans="1:16" ht="16.5" customHeight="1" x14ac:dyDescent="0.25">
      <c r="A16" s="167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67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67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65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65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65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65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65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15" customHeight="1" x14ac:dyDescent="0.25">
      <c r="A26" s="165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45" customHeight="1" x14ac:dyDescent="0.25">
      <c r="A27" s="165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65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65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65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65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65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65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8.75" x14ac:dyDescent="0.3">
      <c r="A34" s="165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8.75" x14ac:dyDescent="0.3">
      <c r="A35" s="165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8.75" x14ac:dyDescent="0.3">
      <c r="A36" s="165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8.75" x14ac:dyDescent="0.3">
      <c r="A37" s="165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zoomScale="70" zoomScaleNormal="70" workbookViewId="0">
      <selection activeCell="C23" sqref="C23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67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69" t="s">
        <v>28</v>
      </c>
      <c r="O10" s="169"/>
      <c r="P10" s="170">
        <f>SUM(F7:F1006)</f>
        <v>40751000</v>
      </c>
    </row>
    <row r="11" spans="1:16" ht="16.5" customHeight="1" x14ac:dyDescent="0.25">
      <c r="A11" s="167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71" t="s">
        <v>95</v>
      </c>
      <c r="O12" s="171"/>
      <c r="P12" s="170">
        <f>SUM(G7:G1006)</f>
        <v>20907500</v>
      </c>
    </row>
    <row r="13" spans="1:16" ht="22.5" customHeight="1" x14ac:dyDescent="0.25">
      <c r="A13" s="167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2" t="s">
        <v>88</v>
      </c>
      <c r="O15" s="172"/>
      <c r="P15" s="67">
        <f>SUM(H7:H1006)</f>
        <v>21280000</v>
      </c>
    </row>
    <row r="16" spans="1:16" ht="16.5" customHeight="1" x14ac:dyDescent="0.25">
      <c r="A16" s="167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7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67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65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65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65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65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5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65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65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65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65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65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5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65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65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8.75" x14ac:dyDescent="0.3">
      <c r="A34" s="165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8.75" x14ac:dyDescent="0.3">
      <c r="A35" s="165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8.75" x14ac:dyDescent="0.3">
      <c r="A36" s="165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65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sheetProtection sheet="1" objects="1" scenarios="1"/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8E37-18F4-45D2-9A8A-CA2CAECC56FB}">
  <dimension ref="A3:Q47"/>
  <sheetViews>
    <sheetView topLeftCell="A3" zoomScale="70" zoomScaleNormal="70" workbookViewId="0">
      <selection activeCell="H10" activeCellId="1" sqref="H7 H10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138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IF(F7="",0,IF(F7&gt;1800000,F7*O$19,F7*O$18))</f>
        <v>750000</v>
      </c>
      <c r="H7" s="41">
        <v>750000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340000</v>
      </c>
      <c r="G8" s="41">
        <f t="shared" ref="G8:G18" si="0">IF(F8="",0,IF(F8&gt;1800000,F8*O$19,F8*O$18))</f>
        <v>204000</v>
      </c>
      <c r="H8" s="41">
        <v>170000</v>
      </c>
      <c r="I8" s="41">
        <f t="shared" ref="I8:I18" si="1">G8-H8</f>
        <v>34000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7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62"/>
      <c r="K9" s="130"/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 t="shared" si="0"/>
        <v>600000</v>
      </c>
      <c r="H10" s="44">
        <v>600000</v>
      </c>
      <c r="I10" s="41">
        <f t="shared" si="1"/>
        <v>0</v>
      </c>
      <c r="J10" s="50" t="s">
        <v>25</v>
      </c>
      <c r="K10" s="130"/>
      <c r="L10" s="46"/>
      <c r="N10" s="169" t="s">
        <v>28</v>
      </c>
      <c r="O10" s="169"/>
      <c r="P10" s="170">
        <f>SUM(F7:F1006)</f>
        <v>32460000</v>
      </c>
    </row>
    <row r="11" spans="1:16" ht="16.5" customHeight="1" x14ac:dyDescent="0.25">
      <c r="A11" s="167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71" t="s">
        <v>95</v>
      </c>
      <c r="O12" s="171"/>
      <c r="P12" s="170">
        <f>SUM(G7:G1006)</f>
        <v>17157000</v>
      </c>
    </row>
    <row r="13" spans="1:16" ht="22.5" customHeight="1" x14ac:dyDescent="0.25">
      <c r="A13" s="167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2" t="s">
        <v>88</v>
      </c>
      <c r="O15" s="172"/>
      <c r="P15" s="67">
        <f>SUM(H7:H1006)</f>
        <v>16778500</v>
      </c>
    </row>
    <row r="16" spans="1:16" ht="16.5" customHeight="1" x14ac:dyDescent="0.25">
      <c r="A16" s="167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7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67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41"/>
      <c r="K20" s="132" t="s">
        <v>139</v>
      </c>
      <c r="L20" s="76"/>
    </row>
    <row r="21" spans="1:17" ht="16.5" customHeight="1" x14ac:dyDescent="0.25">
      <c r="A21" s="165"/>
      <c r="B21" s="38">
        <f>B20+1</f>
        <v>2</v>
      </c>
      <c r="C21" s="77" t="s">
        <v>125</v>
      </c>
      <c r="D21" s="78"/>
      <c r="E21" s="78" t="s">
        <v>105</v>
      </c>
      <c r="F21" s="79">
        <v>2040000</v>
      </c>
      <c r="G21" s="75">
        <f t="shared" si="3"/>
        <v>1020000</v>
      </c>
      <c r="H21" s="79">
        <v>1020000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25">
      <c r="A22" s="165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1010000</v>
      </c>
      <c r="G22" s="75">
        <f t="shared" si="3"/>
        <v>606000</v>
      </c>
      <c r="H22" s="79">
        <v>600000</v>
      </c>
      <c r="I22" s="75">
        <f t="shared" si="4"/>
        <v>6000</v>
      </c>
      <c r="J22" s="49" t="s">
        <v>63</v>
      </c>
      <c r="K22" s="132" t="s">
        <v>140</v>
      </c>
      <c r="L22" s="82"/>
    </row>
    <row r="23" spans="1:17" ht="16.5" customHeight="1" x14ac:dyDescent="0.25">
      <c r="A23" s="165"/>
      <c r="B23" s="38">
        <f t="shared" si="5"/>
        <v>4</v>
      </c>
      <c r="C23" s="137" t="s">
        <v>126</v>
      </c>
      <c r="D23" s="140"/>
      <c r="E23" s="140" t="s">
        <v>26</v>
      </c>
      <c r="F23" s="139"/>
      <c r="G23" s="139">
        <f t="shared" si="3"/>
        <v>0</v>
      </c>
      <c r="H23" s="139"/>
      <c r="I23" s="139">
        <f t="shared" si="4"/>
        <v>0</v>
      </c>
      <c r="J23" s="141"/>
      <c r="K23" s="132" t="s">
        <v>146</v>
      </c>
      <c r="L23" s="76"/>
    </row>
    <row r="24" spans="1:17" ht="16.5" customHeight="1" x14ac:dyDescent="0.25">
      <c r="A24" s="165"/>
      <c r="B24" s="38">
        <f t="shared" si="5"/>
        <v>5</v>
      </c>
      <c r="C24" s="73" t="s">
        <v>107</v>
      </c>
      <c r="D24" s="81"/>
      <c r="E24" s="81" t="s">
        <v>53</v>
      </c>
      <c r="F24" s="75">
        <v>1450000</v>
      </c>
      <c r="G24" s="75">
        <f t="shared" si="3"/>
        <v>870000</v>
      </c>
      <c r="H24" s="79">
        <v>870000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5"/>
      <c r="B25" s="38">
        <f t="shared" si="5"/>
        <v>6</v>
      </c>
      <c r="C25" s="73" t="s">
        <v>128</v>
      </c>
      <c r="D25" s="76"/>
      <c r="E25" s="76" t="s">
        <v>104</v>
      </c>
      <c r="F25" s="75">
        <v>2230000</v>
      </c>
      <c r="G25" s="75">
        <f t="shared" si="3"/>
        <v>1115000</v>
      </c>
      <c r="H25" s="79">
        <v>1130000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65"/>
      <c r="B26" s="38">
        <f t="shared" si="5"/>
        <v>7</v>
      </c>
      <c r="C26" s="77" t="s">
        <v>75</v>
      </c>
      <c r="D26" s="80"/>
      <c r="E26" s="76" t="s">
        <v>70</v>
      </c>
      <c r="F26" s="75">
        <v>3403000</v>
      </c>
      <c r="G26" s="75">
        <f t="shared" si="3"/>
        <v>1701500</v>
      </c>
      <c r="H26" s="75">
        <v>1701500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65"/>
      <c r="B27" s="38">
        <f t="shared" si="5"/>
        <v>8</v>
      </c>
      <c r="C27" s="77" t="s">
        <v>123</v>
      </c>
      <c r="D27" s="87"/>
      <c r="E27" s="86" t="s">
        <v>76</v>
      </c>
      <c r="F27" s="79">
        <v>1872000</v>
      </c>
      <c r="G27" s="75">
        <f t="shared" si="3"/>
        <v>936000</v>
      </c>
      <c r="H27" s="75">
        <v>936000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65"/>
      <c r="B28" s="38">
        <f t="shared" si="5"/>
        <v>9</v>
      </c>
      <c r="C28" s="88" t="s">
        <v>129</v>
      </c>
      <c r="D28" s="74"/>
      <c r="E28" s="81" t="s">
        <v>24</v>
      </c>
      <c r="F28" s="79">
        <v>1765000</v>
      </c>
      <c r="G28" s="75">
        <f t="shared" si="3"/>
        <v>882500</v>
      </c>
      <c r="H28" s="79">
        <v>882000</v>
      </c>
      <c r="I28" s="75">
        <f t="shared" si="4"/>
        <v>500</v>
      </c>
      <c r="J28" s="49" t="s">
        <v>63</v>
      </c>
      <c r="K28" s="132"/>
      <c r="L28" s="76"/>
    </row>
    <row r="29" spans="1:17" ht="16.5" customHeight="1" x14ac:dyDescent="0.3">
      <c r="A29" s="165"/>
      <c r="B29" s="38">
        <f t="shared" si="5"/>
        <v>10</v>
      </c>
      <c r="C29" s="88" t="s">
        <v>97</v>
      </c>
      <c r="D29" s="81"/>
      <c r="E29" s="76" t="s">
        <v>106</v>
      </c>
      <c r="F29" s="118">
        <v>2380000</v>
      </c>
      <c r="G29" s="75">
        <f t="shared" si="3"/>
        <v>1190000</v>
      </c>
      <c r="H29" s="118">
        <v>1190000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65"/>
      <c r="B30" s="38">
        <f t="shared" si="5"/>
        <v>11</v>
      </c>
      <c r="C30" s="88" t="s">
        <v>108</v>
      </c>
      <c r="D30" s="78"/>
      <c r="E30" s="81" t="s">
        <v>52</v>
      </c>
      <c r="F30" s="89">
        <v>1470000</v>
      </c>
      <c r="G30" s="75">
        <f t="shared" si="3"/>
        <v>882000</v>
      </c>
      <c r="H30" s="119">
        <v>882000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5"/>
      <c r="B31" s="38">
        <f t="shared" si="5"/>
        <v>12</v>
      </c>
      <c r="C31" s="77" t="s">
        <v>103</v>
      </c>
      <c r="D31" s="74"/>
      <c r="E31" s="74" t="s">
        <v>16</v>
      </c>
      <c r="F31" s="89">
        <v>2180000</v>
      </c>
      <c r="G31" s="75">
        <f t="shared" si="3"/>
        <v>1090000</v>
      </c>
      <c r="H31" s="89">
        <v>1090000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65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65"/>
      <c r="B33" s="38">
        <f t="shared" si="5"/>
        <v>14</v>
      </c>
      <c r="C33" s="87" t="s">
        <v>109</v>
      </c>
      <c r="D33" s="87"/>
      <c r="E33" s="81" t="s">
        <v>35</v>
      </c>
      <c r="F33" s="90">
        <v>3550000</v>
      </c>
      <c r="G33" s="75">
        <f t="shared" si="3"/>
        <v>1775000</v>
      </c>
      <c r="H33" s="89">
        <v>1561000</v>
      </c>
      <c r="I33" s="75">
        <f t="shared" si="4"/>
        <v>214000</v>
      </c>
      <c r="J33" s="49" t="s">
        <v>63</v>
      </c>
      <c r="K33" s="89" t="s">
        <v>141</v>
      </c>
      <c r="L33" s="76"/>
    </row>
    <row r="34" spans="1:12" ht="18.75" x14ac:dyDescent="0.3">
      <c r="A34" s="165"/>
      <c r="B34" s="38">
        <f t="shared" si="5"/>
        <v>15</v>
      </c>
      <c r="C34" s="87" t="s">
        <v>111</v>
      </c>
      <c r="D34" s="120"/>
      <c r="E34" s="81" t="s">
        <v>15</v>
      </c>
      <c r="F34" s="79">
        <v>940000</v>
      </c>
      <c r="G34" s="75">
        <f t="shared" si="3"/>
        <v>564000</v>
      </c>
      <c r="H34" s="79">
        <v>425000</v>
      </c>
      <c r="I34" s="75">
        <f t="shared" si="4"/>
        <v>139000</v>
      </c>
      <c r="J34" s="49" t="s">
        <v>63</v>
      </c>
      <c r="K34" s="132" t="s">
        <v>142</v>
      </c>
      <c r="L34" s="76"/>
    </row>
    <row r="35" spans="1:12" ht="18.75" x14ac:dyDescent="0.3">
      <c r="A35" s="165"/>
      <c r="B35" s="38">
        <f t="shared" si="5"/>
        <v>16</v>
      </c>
      <c r="C35" s="93" t="s">
        <v>122</v>
      </c>
      <c r="D35" s="57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65"/>
      <c r="B36" s="38">
        <f t="shared" si="5"/>
        <v>17</v>
      </c>
      <c r="C36" s="93" t="s">
        <v>130</v>
      </c>
      <c r="D36" s="57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65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147"/>
      <c r="K37" s="98"/>
      <c r="L37" s="47"/>
    </row>
    <row r="38" spans="1:12" ht="18.75" x14ac:dyDescent="0.3">
      <c r="A38" s="165"/>
      <c r="B38" s="38">
        <f t="shared" si="5"/>
        <v>19</v>
      </c>
      <c r="C38" s="99" t="s">
        <v>134</v>
      </c>
      <c r="D38" s="43"/>
      <c r="E38" s="86" t="s">
        <v>76</v>
      </c>
      <c r="F38" s="90">
        <v>970000</v>
      </c>
      <c r="G38" s="75">
        <f t="shared" si="3"/>
        <v>582000</v>
      </c>
      <c r="H38" s="89">
        <v>582000</v>
      </c>
      <c r="I38" s="75">
        <f t="shared" si="4"/>
        <v>0</v>
      </c>
      <c r="J38" s="49" t="s">
        <v>63</v>
      </c>
      <c r="K38" s="98" t="s">
        <v>143</v>
      </c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B050C-EFA5-4BA1-89FF-2BF72F913523}">
  <dimension ref="A3:Q47"/>
  <sheetViews>
    <sheetView topLeftCell="A3" zoomScale="70" zoomScaleNormal="70" workbookViewId="0">
      <selection activeCell="H10" activeCellId="1" sqref="H7:H8 H10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144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1800000</v>
      </c>
      <c r="G7" s="41">
        <f>IF(F7="",0,IF(F7&gt;1800000,F7*O$19,F7*O$18))</f>
        <v>1080000</v>
      </c>
      <c r="H7" s="41">
        <v>900000</v>
      </c>
      <c r="I7" s="41">
        <f>G7-H7</f>
        <v>180000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770000</v>
      </c>
      <c r="G8" s="41">
        <f t="shared" ref="G8:G18" si="0">IF(F8="",0,IF(F8&gt;1800000,F8*O$19,F8*O$18))</f>
        <v>462000</v>
      </c>
      <c r="H8" s="41">
        <v>385000</v>
      </c>
      <c r="I8" s="41">
        <f t="shared" ref="I8:I18" si="1">G8-H8</f>
        <v>77000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7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54" t="s">
        <v>145</v>
      </c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1050000</v>
      </c>
      <c r="G10" s="41">
        <f t="shared" si="0"/>
        <v>630000</v>
      </c>
      <c r="H10" s="44">
        <v>630000</v>
      </c>
      <c r="I10" s="41">
        <f t="shared" si="1"/>
        <v>0</v>
      </c>
      <c r="J10" s="50" t="s">
        <v>25</v>
      </c>
      <c r="K10" s="130"/>
      <c r="L10" s="46"/>
      <c r="N10" s="169" t="s">
        <v>28</v>
      </c>
      <c r="O10" s="169"/>
      <c r="P10" s="170">
        <f>SUM(F7:F1006)</f>
        <v>35340000</v>
      </c>
    </row>
    <row r="11" spans="1:16" ht="16.5" customHeight="1" x14ac:dyDescent="0.25">
      <c r="A11" s="167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28"/>
      <c r="K11" s="130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71" t="s">
        <v>95</v>
      </c>
      <c r="O12" s="171"/>
      <c r="P12" s="170">
        <f>SUM(G7:G1006)</f>
        <v>18504400</v>
      </c>
    </row>
    <row r="13" spans="1:16" ht="22.5" customHeight="1" x14ac:dyDescent="0.25">
      <c r="A13" s="167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2" t="s">
        <v>88</v>
      </c>
      <c r="O15" s="172"/>
      <c r="P15" s="67">
        <f>SUM(H7:H1006)</f>
        <v>18210000</v>
      </c>
    </row>
    <row r="16" spans="1:16" ht="16.5" customHeight="1" x14ac:dyDescent="0.25">
      <c r="A16" s="167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7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67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28"/>
      <c r="K20" s="132" t="s">
        <v>139</v>
      </c>
      <c r="L20" s="76"/>
    </row>
    <row r="21" spans="1:17" ht="16.5" customHeight="1" x14ac:dyDescent="0.25">
      <c r="A21" s="165"/>
      <c r="B21" s="38">
        <f>B20+1</f>
        <v>2</v>
      </c>
      <c r="C21" s="77" t="s">
        <v>125</v>
      </c>
      <c r="D21" s="78"/>
      <c r="E21" s="78" t="s">
        <v>105</v>
      </c>
      <c r="F21" s="79">
        <v>2250000</v>
      </c>
      <c r="G21" s="75">
        <f t="shared" si="3"/>
        <v>1125000</v>
      </c>
      <c r="H21" s="79">
        <v>1125000</v>
      </c>
      <c r="I21" s="75">
        <f t="shared" si="4"/>
        <v>0</v>
      </c>
      <c r="J21" s="49" t="s">
        <v>63</v>
      </c>
      <c r="K21" s="132"/>
      <c r="L21" s="80"/>
    </row>
    <row r="22" spans="1:17" ht="16.5" customHeight="1" x14ac:dyDescent="0.3">
      <c r="A22" s="165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1150000</v>
      </c>
      <c r="G22" s="75">
        <f t="shared" si="3"/>
        <v>690000</v>
      </c>
      <c r="H22" s="79">
        <v>700000</v>
      </c>
      <c r="I22" s="75">
        <f t="shared" si="4"/>
        <v>-10000</v>
      </c>
      <c r="J22" s="49" t="s">
        <v>63</v>
      </c>
      <c r="K22" s="148" t="s">
        <v>147</v>
      </c>
      <c r="L22" s="82"/>
    </row>
    <row r="23" spans="1:17" ht="16.5" customHeight="1" x14ac:dyDescent="0.25">
      <c r="A23" s="165"/>
      <c r="B23" s="38">
        <f t="shared" si="5"/>
        <v>4</v>
      </c>
      <c r="C23" s="101"/>
      <c r="D23" s="102"/>
      <c r="E23" s="102" t="s">
        <v>26</v>
      </c>
      <c r="F23" s="103"/>
      <c r="G23" s="103">
        <f t="shared" si="3"/>
        <v>0</v>
      </c>
      <c r="H23" s="103"/>
      <c r="I23" s="103">
        <f t="shared" si="4"/>
        <v>0</v>
      </c>
      <c r="J23" s="128"/>
      <c r="K23" s="132"/>
      <c r="L23" s="76"/>
    </row>
    <row r="24" spans="1:17" ht="16.5" customHeight="1" x14ac:dyDescent="0.25">
      <c r="A24" s="165"/>
      <c r="B24" s="38">
        <f t="shared" si="5"/>
        <v>5</v>
      </c>
      <c r="C24" s="73" t="s">
        <v>107</v>
      </c>
      <c r="D24" s="81"/>
      <c r="E24" s="81" t="s">
        <v>53</v>
      </c>
      <c r="F24" s="75">
        <v>1716000</v>
      </c>
      <c r="G24" s="75">
        <f t="shared" si="3"/>
        <v>858000</v>
      </c>
      <c r="H24" s="79">
        <v>858000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5"/>
      <c r="B25" s="38">
        <f t="shared" si="5"/>
        <v>6</v>
      </c>
      <c r="C25" s="73" t="s">
        <v>128</v>
      </c>
      <c r="D25" s="76"/>
      <c r="E25" s="76" t="s">
        <v>104</v>
      </c>
      <c r="F25" s="75">
        <v>1760000</v>
      </c>
      <c r="G25" s="75">
        <f t="shared" si="3"/>
        <v>880000</v>
      </c>
      <c r="H25" s="79">
        <v>880000</v>
      </c>
      <c r="I25" s="75">
        <f t="shared" si="4"/>
        <v>0</v>
      </c>
      <c r="J25" s="49" t="s">
        <v>63</v>
      </c>
      <c r="K25" s="132"/>
      <c r="L25" s="76"/>
    </row>
    <row r="26" spans="1:17" ht="22.15" customHeight="1" x14ac:dyDescent="0.25">
      <c r="A26" s="165"/>
      <c r="B26" s="38">
        <f t="shared" si="5"/>
        <v>7</v>
      </c>
      <c r="C26" s="77" t="s">
        <v>75</v>
      </c>
      <c r="D26" s="80"/>
      <c r="E26" s="76" t="s">
        <v>70</v>
      </c>
      <c r="F26" s="75">
        <v>2895000</v>
      </c>
      <c r="G26" s="75">
        <f t="shared" si="3"/>
        <v>1447500</v>
      </c>
      <c r="H26" s="75">
        <v>1447500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65"/>
      <c r="B27" s="38">
        <f t="shared" si="5"/>
        <v>8</v>
      </c>
      <c r="C27" s="77" t="s">
        <v>123</v>
      </c>
      <c r="D27" s="87"/>
      <c r="E27" s="86" t="s">
        <v>76</v>
      </c>
      <c r="F27" s="79">
        <v>2768000</v>
      </c>
      <c r="G27" s="75">
        <f t="shared" si="3"/>
        <v>1384000</v>
      </c>
      <c r="H27" s="75">
        <v>1384000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65"/>
      <c r="B28" s="38">
        <f t="shared" si="5"/>
        <v>9</v>
      </c>
      <c r="C28" s="88" t="s">
        <v>129</v>
      </c>
      <c r="D28" s="74"/>
      <c r="E28" s="81" t="s">
        <v>24</v>
      </c>
      <c r="F28" s="79">
        <v>1998000</v>
      </c>
      <c r="G28" s="75">
        <f t="shared" si="3"/>
        <v>999000</v>
      </c>
      <c r="H28" s="79">
        <v>1000000</v>
      </c>
      <c r="I28" s="75">
        <f t="shared" si="4"/>
        <v>-1000</v>
      </c>
      <c r="J28" s="49" t="s">
        <v>63</v>
      </c>
      <c r="K28" s="132"/>
      <c r="L28" s="76"/>
    </row>
    <row r="29" spans="1:17" ht="16.5" customHeight="1" x14ac:dyDescent="0.3">
      <c r="A29" s="165"/>
      <c r="B29" s="38">
        <f t="shared" si="5"/>
        <v>10</v>
      </c>
      <c r="C29" s="88" t="s">
        <v>97</v>
      </c>
      <c r="D29" s="81"/>
      <c r="E29" s="76" t="s">
        <v>106</v>
      </c>
      <c r="F29" s="118">
        <v>3070000</v>
      </c>
      <c r="G29" s="75">
        <f t="shared" si="3"/>
        <v>1535000</v>
      </c>
      <c r="H29" s="118">
        <v>1535000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65"/>
      <c r="B30" s="38">
        <f t="shared" si="5"/>
        <v>11</v>
      </c>
      <c r="C30" s="88" t="s">
        <v>108</v>
      </c>
      <c r="D30" s="78"/>
      <c r="E30" s="81" t="s">
        <v>52</v>
      </c>
      <c r="F30" s="89">
        <v>1250000</v>
      </c>
      <c r="G30" s="75">
        <f t="shared" si="3"/>
        <v>750000</v>
      </c>
      <c r="H30" s="119">
        <v>750000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5"/>
      <c r="B31" s="38">
        <f t="shared" si="5"/>
        <v>12</v>
      </c>
      <c r="C31" s="77" t="s">
        <v>103</v>
      </c>
      <c r="D31" s="74"/>
      <c r="E31" s="74" t="s">
        <v>16</v>
      </c>
      <c r="F31" s="89">
        <v>2855000</v>
      </c>
      <c r="G31" s="75">
        <f t="shared" si="3"/>
        <v>1427500</v>
      </c>
      <c r="H31" s="89">
        <v>1377500</v>
      </c>
      <c r="I31" s="75">
        <f t="shared" si="4"/>
        <v>50000</v>
      </c>
      <c r="J31" s="49" t="s">
        <v>63</v>
      </c>
      <c r="K31" s="132" t="s">
        <v>148</v>
      </c>
      <c r="L31" s="93"/>
    </row>
    <row r="32" spans="1:17" ht="15" customHeight="1" x14ac:dyDescent="0.3">
      <c r="A32" s="165"/>
      <c r="B32" s="38">
        <f t="shared" si="5"/>
        <v>13</v>
      </c>
      <c r="C32" s="77" t="s">
        <v>110</v>
      </c>
      <c r="D32" s="87"/>
      <c r="E32" s="81" t="s">
        <v>98</v>
      </c>
      <c r="F32" s="75">
        <v>840000</v>
      </c>
      <c r="G32" s="75">
        <f t="shared" si="3"/>
        <v>504000</v>
      </c>
      <c r="H32" s="75">
        <v>504000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65"/>
      <c r="B33" s="38">
        <f t="shared" si="5"/>
        <v>14</v>
      </c>
      <c r="C33" s="87" t="s">
        <v>109</v>
      </c>
      <c r="D33" s="87"/>
      <c r="E33" s="81" t="s">
        <v>35</v>
      </c>
      <c r="F33" s="90">
        <v>2194000</v>
      </c>
      <c r="G33" s="75">
        <f t="shared" si="3"/>
        <v>1097000</v>
      </c>
      <c r="H33" s="89">
        <v>1097000</v>
      </c>
      <c r="I33" s="75">
        <f t="shared" si="4"/>
        <v>0</v>
      </c>
      <c r="J33" s="49" t="s">
        <v>63</v>
      </c>
      <c r="K33" s="89"/>
      <c r="L33" s="76"/>
    </row>
    <row r="34" spans="1:12" ht="18.75" x14ac:dyDescent="0.3">
      <c r="A34" s="165"/>
      <c r="B34" s="38">
        <f t="shared" si="5"/>
        <v>15</v>
      </c>
      <c r="C34" s="87" t="s">
        <v>111</v>
      </c>
      <c r="D34" s="120"/>
      <c r="E34" s="81" t="s">
        <v>15</v>
      </c>
      <c r="F34" s="79">
        <v>1720000</v>
      </c>
      <c r="G34" s="75">
        <f t="shared" si="3"/>
        <v>860000</v>
      </c>
      <c r="H34" s="79">
        <v>860000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65"/>
      <c r="B35" s="38">
        <f t="shared" si="5"/>
        <v>16</v>
      </c>
      <c r="C35" s="87" t="s">
        <v>122</v>
      </c>
      <c r="D35" s="120"/>
      <c r="E35" s="86" t="s">
        <v>76</v>
      </c>
      <c r="F35" s="118">
        <v>1870000</v>
      </c>
      <c r="G35" s="75">
        <f t="shared" si="3"/>
        <v>935000</v>
      </c>
      <c r="H35" s="118">
        <v>935000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65"/>
      <c r="B36" s="38">
        <f t="shared" si="5"/>
        <v>17</v>
      </c>
      <c r="C36" s="87" t="s">
        <v>130</v>
      </c>
      <c r="D36" s="120"/>
      <c r="E36" s="86" t="s">
        <v>76</v>
      </c>
      <c r="F36" s="118">
        <v>1900000</v>
      </c>
      <c r="G36" s="75">
        <f t="shared" si="3"/>
        <v>950000</v>
      </c>
      <c r="H36" s="118">
        <v>950000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65"/>
      <c r="B37" s="38">
        <f t="shared" si="5"/>
        <v>18</v>
      </c>
      <c r="C37" s="149"/>
      <c r="D37" s="150"/>
      <c r="E37" s="151" t="s">
        <v>76</v>
      </c>
      <c r="F37" s="152"/>
      <c r="G37" s="103">
        <f t="shared" si="3"/>
        <v>0</v>
      </c>
      <c r="H37" s="153"/>
      <c r="I37" s="103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 t="s">
        <v>134</v>
      </c>
      <c r="D38" s="43"/>
      <c r="E38" s="86" t="s">
        <v>76</v>
      </c>
      <c r="F38" s="90">
        <v>1484000</v>
      </c>
      <c r="G38" s="75">
        <f t="shared" si="3"/>
        <v>890400</v>
      </c>
      <c r="H38" s="89">
        <v>892000</v>
      </c>
      <c r="I38" s="75">
        <f t="shared" si="4"/>
        <v>-1600</v>
      </c>
      <c r="J38" s="49" t="s">
        <v>63</v>
      </c>
      <c r="K38" s="98"/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51520-0A45-4A23-A6EE-174DE0E24C5F}">
  <dimension ref="A3:Q47"/>
  <sheetViews>
    <sheetView topLeftCell="A3" zoomScale="70" zoomScaleNormal="70" workbookViewId="0">
      <selection activeCell="K22" sqref="K22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149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1700000</v>
      </c>
      <c r="G7" s="41">
        <f>IF(F7="",0,IF(F7&gt;1800000,F7*O$19,F7*O$18))</f>
        <v>1020000</v>
      </c>
      <c r="H7" s="41">
        <v>850000</v>
      </c>
      <c r="I7" s="41">
        <f>G7-H7</f>
        <v>170000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2000000</v>
      </c>
      <c r="G8" s="41">
        <f t="shared" ref="G8:G18" si="0">IF(F8="",0,IF(F8&gt;1800000,F8*O$19,F8*O$18))</f>
        <v>1000000</v>
      </c>
      <c r="H8" s="41">
        <v>1000000</v>
      </c>
      <c r="I8" s="41">
        <f t="shared" ref="I8:I18" si="1">G8-H8</f>
        <v>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7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55"/>
      <c r="K9" s="154" t="s">
        <v>150</v>
      </c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850000</v>
      </c>
      <c r="G10" s="41">
        <f t="shared" si="0"/>
        <v>510000</v>
      </c>
      <c r="H10" s="44">
        <v>510000</v>
      </c>
      <c r="I10" s="41">
        <f t="shared" si="1"/>
        <v>0</v>
      </c>
      <c r="J10" s="50" t="s">
        <v>25</v>
      </c>
      <c r="K10" s="130"/>
      <c r="L10" s="46"/>
      <c r="N10" s="169" t="s">
        <v>28</v>
      </c>
      <c r="O10" s="169"/>
      <c r="P10" s="170">
        <f>SUM(F7:F1006)</f>
        <v>35368000</v>
      </c>
    </row>
    <row r="11" spans="1:16" ht="16.5" customHeight="1" x14ac:dyDescent="0.25">
      <c r="A11" s="167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55"/>
      <c r="K11" s="130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155"/>
      <c r="K12" s="130"/>
      <c r="L12" s="46"/>
      <c r="N12" s="171" t="s">
        <v>95</v>
      </c>
      <c r="O12" s="171"/>
      <c r="P12" s="170">
        <f>SUM(G7:G1006)</f>
        <v>18197000</v>
      </c>
    </row>
    <row r="13" spans="1:16" ht="22.5" customHeight="1" x14ac:dyDescent="0.25">
      <c r="A13" s="167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155"/>
      <c r="K13" s="130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2" t="s">
        <v>88</v>
      </c>
      <c r="O15" s="172"/>
      <c r="P15" s="67">
        <f>SUM(H7:H1006)</f>
        <v>17549000</v>
      </c>
    </row>
    <row r="16" spans="1:16" ht="16.5" customHeight="1" x14ac:dyDescent="0.25">
      <c r="A16" s="167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7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67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139">
        <f t="shared" ref="I20:I47" si="4">G20-H20</f>
        <v>0</v>
      </c>
      <c r="J20" s="128"/>
      <c r="K20" s="132" t="s">
        <v>152</v>
      </c>
      <c r="L20" s="76"/>
    </row>
    <row r="21" spans="1:17" ht="16.5" customHeight="1" x14ac:dyDescent="0.25">
      <c r="A21" s="165"/>
      <c r="B21" s="38">
        <f>B20+1</f>
        <v>2</v>
      </c>
      <c r="C21" s="77" t="s">
        <v>125</v>
      </c>
      <c r="D21" s="78"/>
      <c r="E21" s="78" t="s">
        <v>105</v>
      </c>
      <c r="F21" s="79">
        <v>1320000</v>
      </c>
      <c r="G21" s="75">
        <f t="shared" si="3"/>
        <v>792000</v>
      </c>
      <c r="H21" s="79">
        <v>660000</v>
      </c>
      <c r="I21" s="75">
        <f t="shared" si="4"/>
        <v>132000</v>
      </c>
      <c r="J21" s="49" t="s">
        <v>63</v>
      </c>
      <c r="K21" s="132">
        <v>1320</v>
      </c>
      <c r="L21" s="80"/>
    </row>
    <row r="22" spans="1:17" ht="16.5" customHeight="1" x14ac:dyDescent="0.3">
      <c r="A22" s="165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8" t="s">
        <v>64</v>
      </c>
      <c r="K22" s="148">
        <v>400</v>
      </c>
      <c r="L22" s="82"/>
    </row>
    <row r="23" spans="1:17" ht="16.5" customHeight="1" x14ac:dyDescent="0.25">
      <c r="A23" s="165"/>
      <c r="B23" s="38">
        <f t="shared" si="5"/>
        <v>4</v>
      </c>
      <c r="C23" s="101"/>
      <c r="D23" s="102"/>
      <c r="E23" s="102" t="s">
        <v>26</v>
      </c>
      <c r="F23" s="103"/>
      <c r="G23" s="103">
        <f t="shared" si="3"/>
        <v>0</v>
      </c>
      <c r="H23" s="103"/>
      <c r="I23" s="103">
        <f t="shared" si="4"/>
        <v>0</v>
      </c>
      <c r="J23" s="128"/>
      <c r="K23" s="132"/>
      <c r="L23" s="76"/>
    </row>
    <row r="24" spans="1:17" ht="16.5" customHeight="1" x14ac:dyDescent="0.25">
      <c r="A24" s="165"/>
      <c r="B24" s="38">
        <f t="shared" si="5"/>
        <v>5</v>
      </c>
      <c r="C24" s="73" t="s">
        <v>107</v>
      </c>
      <c r="D24" s="81"/>
      <c r="E24" s="81" t="s">
        <v>53</v>
      </c>
      <c r="F24" s="75">
        <v>2730000</v>
      </c>
      <c r="G24" s="75">
        <f t="shared" si="3"/>
        <v>1365000</v>
      </c>
      <c r="H24" s="79">
        <v>1365000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65"/>
      <c r="B25" s="38">
        <f t="shared" si="5"/>
        <v>6</v>
      </c>
      <c r="C25" s="73" t="s">
        <v>128</v>
      </c>
      <c r="D25" s="76"/>
      <c r="E25" s="76" t="s">
        <v>104</v>
      </c>
      <c r="F25" s="75">
        <v>1860000</v>
      </c>
      <c r="G25" s="75">
        <f t="shared" si="3"/>
        <v>930000</v>
      </c>
      <c r="H25" s="79">
        <v>930000</v>
      </c>
      <c r="I25" s="75">
        <f t="shared" si="4"/>
        <v>0</v>
      </c>
      <c r="J25" s="49" t="s">
        <v>63</v>
      </c>
      <c r="K25" s="132"/>
      <c r="L25" s="76"/>
    </row>
    <row r="26" spans="1:17" ht="22.15" customHeight="1" x14ac:dyDescent="0.25">
      <c r="A26" s="165"/>
      <c r="B26" s="38">
        <f t="shared" si="5"/>
        <v>7</v>
      </c>
      <c r="C26" s="77" t="s">
        <v>75</v>
      </c>
      <c r="D26" s="80"/>
      <c r="E26" s="76" t="s">
        <v>70</v>
      </c>
      <c r="F26" s="75">
        <v>3325000</v>
      </c>
      <c r="G26" s="75">
        <f t="shared" si="3"/>
        <v>1662500</v>
      </c>
      <c r="H26" s="75">
        <v>1662000</v>
      </c>
      <c r="I26" s="75">
        <f t="shared" si="4"/>
        <v>500</v>
      </c>
      <c r="J26" s="49" t="s">
        <v>63</v>
      </c>
      <c r="K26" s="132"/>
      <c r="L26" s="76"/>
    </row>
    <row r="27" spans="1:17" ht="20.45" customHeight="1" x14ac:dyDescent="0.3">
      <c r="A27" s="165"/>
      <c r="B27" s="38">
        <f t="shared" si="5"/>
        <v>8</v>
      </c>
      <c r="C27" s="77" t="s">
        <v>123</v>
      </c>
      <c r="D27" s="87"/>
      <c r="E27" s="86" t="s">
        <v>76</v>
      </c>
      <c r="F27" s="79">
        <v>2213000</v>
      </c>
      <c r="G27" s="75">
        <f t="shared" si="3"/>
        <v>1106500</v>
      </c>
      <c r="H27" s="75">
        <v>1106000</v>
      </c>
      <c r="I27" s="75">
        <f t="shared" si="4"/>
        <v>500</v>
      </c>
      <c r="J27" s="49" t="s">
        <v>63</v>
      </c>
      <c r="K27" s="132"/>
      <c r="L27" s="76"/>
    </row>
    <row r="28" spans="1:17" ht="16.5" customHeight="1" x14ac:dyDescent="0.25">
      <c r="A28" s="165"/>
      <c r="B28" s="38">
        <f t="shared" si="5"/>
        <v>9</v>
      </c>
      <c r="C28" s="88" t="s">
        <v>129</v>
      </c>
      <c r="D28" s="74"/>
      <c r="E28" s="81" t="s">
        <v>24</v>
      </c>
      <c r="F28" s="79">
        <v>1870000</v>
      </c>
      <c r="G28" s="75">
        <f t="shared" si="3"/>
        <v>935000</v>
      </c>
      <c r="H28" s="79">
        <v>935000</v>
      </c>
      <c r="I28" s="75">
        <f t="shared" si="4"/>
        <v>0</v>
      </c>
      <c r="J28" s="49" t="s">
        <v>63</v>
      </c>
      <c r="K28" s="132"/>
      <c r="L28" s="76"/>
    </row>
    <row r="29" spans="1:17" ht="16.5" customHeight="1" x14ac:dyDescent="0.3">
      <c r="A29" s="165"/>
      <c r="B29" s="38">
        <f t="shared" si="5"/>
        <v>10</v>
      </c>
      <c r="C29" s="88" t="s">
        <v>97</v>
      </c>
      <c r="D29" s="81"/>
      <c r="E29" s="76" t="s">
        <v>106</v>
      </c>
      <c r="F29" s="118">
        <v>2700000</v>
      </c>
      <c r="G29" s="75">
        <f t="shared" si="3"/>
        <v>1350000</v>
      </c>
      <c r="H29" s="118">
        <v>1350000</v>
      </c>
      <c r="I29" s="75">
        <f t="shared" si="4"/>
        <v>0</v>
      </c>
      <c r="J29" s="49" t="s">
        <v>63</v>
      </c>
      <c r="K29" s="132"/>
      <c r="L29" s="93"/>
    </row>
    <row r="30" spans="1:17" ht="16.5" customHeight="1" x14ac:dyDescent="0.25">
      <c r="A30" s="165"/>
      <c r="B30" s="38">
        <f t="shared" si="5"/>
        <v>11</v>
      </c>
      <c r="C30" s="88" t="s">
        <v>108</v>
      </c>
      <c r="D30" s="78"/>
      <c r="E30" s="81" t="s">
        <v>52</v>
      </c>
      <c r="F30" s="89">
        <v>1260000</v>
      </c>
      <c r="G30" s="75">
        <f t="shared" si="3"/>
        <v>756000</v>
      </c>
      <c r="H30" s="119">
        <v>756000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65"/>
      <c r="B31" s="38">
        <f t="shared" si="5"/>
        <v>12</v>
      </c>
      <c r="C31" s="77" t="s">
        <v>103</v>
      </c>
      <c r="D31" s="74"/>
      <c r="E31" s="74" t="s">
        <v>16</v>
      </c>
      <c r="F31" s="89">
        <v>1720000</v>
      </c>
      <c r="G31" s="75">
        <f t="shared" si="3"/>
        <v>860000</v>
      </c>
      <c r="H31" s="89">
        <v>860000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65"/>
      <c r="B32" s="38">
        <f t="shared" si="5"/>
        <v>13</v>
      </c>
      <c r="C32" s="156" t="s">
        <v>110</v>
      </c>
      <c r="D32" s="157"/>
      <c r="E32" s="140" t="s">
        <v>98</v>
      </c>
      <c r="F32" s="139"/>
      <c r="G32" s="139">
        <f t="shared" si="3"/>
        <v>0</v>
      </c>
      <c r="H32" s="139"/>
      <c r="I32" s="139">
        <f t="shared" si="4"/>
        <v>0</v>
      </c>
      <c r="J32" s="49"/>
      <c r="K32" s="132" t="s">
        <v>151</v>
      </c>
      <c r="L32" s="93"/>
    </row>
    <row r="33" spans="1:12" ht="18.75" customHeight="1" x14ac:dyDescent="0.3">
      <c r="A33" s="165"/>
      <c r="B33" s="38">
        <f t="shared" si="5"/>
        <v>14</v>
      </c>
      <c r="C33" s="87" t="s">
        <v>109</v>
      </c>
      <c r="D33" s="87"/>
      <c r="E33" s="81" t="s">
        <v>35</v>
      </c>
      <c r="F33" s="90">
        <v>2180000</v>
      </c>
      <c r="G33" s="75">
        <f t="shared" si="3"/>
        <v>1090000</v>
      </c>
      <c r="H33" s="89">
        <v>1090000</v>
      </c>
      <c r="I33" s="75">
        <f t="shared" si="4"/>
        <v>0</v>
      </c>
      <c r="J33" s="49" t="s">
        <v>63</v>
      </c>
      <c r="K33" s="89"/>
      <c r="L33" s="76"/>
    </row>
    <row r="34" spans="1:12" ht="18.75" x14ac:dyDescent="0.3">
      <c r="A34" s="165"/>
      <c r="B34" s="38">
        <f t="shared" si="5"/>
        <v>15</v>
      </c>
      <c r="C34" s="87" t="s">
        <v>111</v>
      </c>
      <c r="D34" s="120"/>
      <c r="E34" s="81" t="s">
        <v>15</v>
      </c>
      <c r="F34" s="79">
        <v>2180000</v>
      </c>
      <c r="G34" s="75">
        <f t="shared" si="3"/>
        <v>1090000</v>
      </c>
      <c r="H34" s="79">
        <v>1090000</v>
      </c>
      <c r="I34" s="75">
        <f t="shared" si="4"/>
        <v>0</v>
      </c>
      <c r="J34" s="49" t="s">
        <v>63</v>
      </c>
      <c r="K34" s="132"/>
      <c r="L34" s="76"/>
    </row>
    <row r="35" spans="1:12" ht="18.75" x14ac:dyDescent="0.3">
      <c r="A35" s="165"/>
      <c r="B35" s="38">
        <f t="shared" si="5"/>
        <v>16</v>
      </c>
      <c r="C35" s="87" t="s">
        <v>122</v>
      </c>
      <c r="D35" s="120"/>
      <c r="E35" s="86" t="s">
        <v>76</v>
      </c>
      <c r="F35" s="118">
        <v>1820000</v>
      </c>
      <c r="G35" s="75">
        <f t="shared" si="3"/>
        <v>910000</v>
      </c>
      <c r="H35" s="118">
        <v>910000</v>
      </c>
      <c r="I35" s="75">
        <f t="shared" si="4"/>
        <v>0</v>
      </c>
      <c r="J35" s="49" t="s">
        <v>63</v>
      </c>
      <c r="K35" s="132"/>
      <c r="L35" s="80"/>
    </row>
    <row r="36" spans="1:12" ht="18.75" x14ac:dyDescent="0.3">
      <c r="A36" s="165"/>
      <c r="B36" s="38">
        <f t="shared" si="5"/>
        <v>17</v>
      </c>
      <c r="C36" s="87" t="s">
        <v>130</v>
      </c>
      <c r="D36" s="120"/>
      <c r="E36" s="86" t="s">
        <v>76</v>
      </c>
      <c r="F36" s="118">
        <v>2750000</v>
      </c>
      <c r="G36" s="75">
        <f t="shared" si="3"/>
        <v>1375000</v>
      </c>
      <c r="H36" s="118">
        <v>1375000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65"/>
      <c r="B37" s="38">
        <f t="shared" si="5"/>
        <v>18</v>
      </c>
      <c r="C37" s="149"/>
      <c r="D37" s="150"/>
      <c r="E37" s="151" t="s">
        <v>76</v>
      </c>
      <c r="F37" s="152"/>
      <c r="G37" s="103">
        <f t="shared" si="3"/>
        <v>0</v>
      </c>
      <c r="H37" s="153"/>
      <c r="I37" s="103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 t="s">
        <v>134</v>
      </c>
      <c r="D38" s="43"/>
      <c r="E38" s="86" t="s">
        <v>76</v>
      </c>
      <c r="F38" s="90">
        <v>2890000</v>
      </c>
      <c r="G38" s="75">
        <f t="shared" si="3"/>
        <v>1445000</v>
      </c>
      <c r="H38" s="89">
        <v>1100000</v>
      </c>
      <c r="I38" s="75">
        <f t="shared" si="4"/>
        <v>345000</v>
      </c>
      <c r="J38" s="49" t="s">
        <v>63</v>
      </c>
      <c r="K38" s="98" t="s">
        <v>153</v>
      </c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EF3A-8A6D-4162-8923-BC641C12C621}">
  <dimension ref="A3:Q47"/>
  <sheetViews>
    <sheetView topLeftCell="A3" zoomScale="70" zoomScaleNormal="70" workbookViewId="0">
      <selection activeCell="I33" sqref="I33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155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1000000</v>
      </c>
      <c r="G7" s="41">
        <f>IF(F7="",0,IF(F7&gt;1800000,F7*O$19,F7*O$18))</f>
        <v>600000</v>
      </c>
      <c r="H7" s="41">
        <v>600000</v>
      </c>
      <c r="I7" s="41">
        <f>G7-H7</f>
        <v>0</v>
      </c>
      <c r="J7" s="50" t="s">
        <v>25</v>
      </c>
      <c r="K7" s="129" t="s">
        <v>157</v>
      </c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1220000</v>
      </c>
      <c r="G8" s="41">
        <f t="shared" ref="G8:G18" si="0">IF(F8="",0,IF(F8&gt;1800000,F8*O$19,F8*O$18))</f>
        <v>732000</v>
      </c>
      <c r="H8" s="41">
        <v>610000</v>
      </c>
      <c r="I8" s="41">
        <f t="shared" ref="I8:I18" si="1">G8-H8</f>
        <v>122000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7"/>
      <c r="B9" s="38">
        <f t="shared" ref="B9:B18" si="2">B8+1</f>
        <v>3</v>
      </c>
      <c r="C9" s="122"/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59"/>
      <c r="K9" s="154"/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1400000</v>
      </c>
      <c r="G10" s="41">
        <f t="shared" si="0"/>
        <v>840000</v>
      </c>
      <c r="H10" s="44">
        <v>840000</v>
      </c>
      <c r="I10" s="41">
        <f t="shared" si="1"/>
        <v>0</v>
      </c>
      <c r="J10" s="50" t="s">
        <v>25</v>
      </c>
      <c r="K10" s="130"/>
      <c r="L10" s="46"/>
      <c r="N10" s="169" t="s">
        <v>28</v>
      </c>
      <c r="O10" s="169"/>
      <c r="P10" s="170">
        <f>SUM(F7:F1006)</f>
        <v>33741000</v>
      </c>
    </row>
    <row r="11" spans="1:16" ht="16.5" customHeight="1" x14ac:dyDescent="0.25">
      <c r="A11" s="167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55"/>
      <c r="K11" s="130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155"/>
      <c r="K12" s="130"/>
      <c r="L12" s="46"/>
      <c r="N12" s="171" t="s">
        <v>95</v>
      </c>
      <c r="O12" s="171"/>
      <c r="P12" s="170">
        <f>SUM(G7:G1006)</f>
        <v>17932800</v>
      </c>
    </row>
    <row r="13" spans="1:16" ht="22.5" customHeight="1" x14ac:dyDescent="0.25">
      <c r="A13" s="167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155"/>
      <c r="K13" s="130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2" t="s">
        <v>88</v>
      </c>
      <c r="O15" s="172"/>
      <c r="P15" s="67">
        <f>SUM(H7:H1006)</f>
        <v>16981000</v>
      </c>
    </row>
    <row r="16" spans="1:16" ht="16.5" customHeight="1" x14ac:dyDescent="0.25">
      <c r="A16" s="167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7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67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75">
        <f t="shared" ref="I20:I47" si="4">G20-H20</f>
        <v>0</v>
      </c>
      <c r="J20" s="128"/>
      <c r="K20" s="132"/>
      <c r="L20" s="76"/>
    </row>
    <row r="21" spans="1:17" ht="16.5" customHeight="1" x14ac:dyDescent="0.25">
      <c r="A21" s="165"/>
      <c r="B21" s="38">
        <f>B20+1</f>
        <v>2</v>
      </c>
      <c r="C21" s="77" t="s">
        <v>125</v>
      </c>
      <c r="D21" s="78"/>
      <c r="E21" s="78" t="s">
        <v>105</v>
      </c>
      <c r="F21" s="79">
        <v>1320000</v>
      </c>
      <c r="G21" s="75">
        <f t="shared" si="3"/>
        <v>792000</v>
      </c>
      <c r="H21" s="79">
        <v>660000</v>
      </c>
      <c r="I21" s="75">
        <f t="shared" si="4"/>
        <v>132000</v>
      </c>
      <c r="J21" s="62"/>
      <c r="K21" s="132"/>
      <c r="L21" s="80"/>
    </row>
    <row r="22" spans="1:17" ht="16.5" customHeight="1" x14ac:dyDescent="0.3">
      <c r="A22" s="165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1500000</v>
      </c>
      <c r="G22" s="75">
        <f t="shared" si="3"/>
        <v>900000</v>
      </c>
      <c r="H22" s="79">
        <v>900000</v>
      </c>
      <c r="I22" s="75">
        <f t="shared" si="4"/>
        <v>0</v>
      </c>
      <c r="J22" s="49" t="s">
        <v>63</v>
      </c>
      <c r="K22" s="158">
        <v>1500</v>
      </c>
      <c r="L22" s="82"/>
    </row>
    <row r="23" spans="1:17" ht="16.5" customHeight="1" x14ac:dyDescent="0.25">
      <c r="A23" s="165"/>
      <c r="B23" s="38">
        <f t="shared" si="5"/>
        <v>4</v>
      </c>
      <c r="C23" s="73" t="s">
        <v>154</v>
      </c>
      <c r="D23" s="81"/>
      <c r="E23" s="81" t="s">
        <v>26</v>
      </c>
      <c r="F23" s="75">
        <v>920000</v>
      </c>
      <c r="G23" s="75">
        <f t="shared" si="3"/>
        <v>552000</v>
      </c>
      <c r="H23" s="75">
        <v>552000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65"/>
      <c r="B24" s="38">
        <f t="shared" si="5"/>
        <v>5</v>
      </c>
      <c r="C24" s="73" t="s">
        <v>107</v>
      </c>
      <c r="D24" s="81"/>
      <c r="E24" s="81" t="s">
        <v>53</v>
      </c>
      <c r="F24" s="75">
        <v>2900000</v>
      </c>
      <c r="G24" s="75">
        <f t="shared" si="3"/>
        <v>1450000</v>
      </c>
      <c r="H24" s="79">
        <v>1450000</v>
      </c>
      <c r="I24" s="75">
        <f t="shared" si="4"/>
        <v>0</v>
      </c>
      <c r="J24" s="128"/>
      <c r="K24" s="132"/>
      <c r="L24" s="82"/>
    </row>
    <row r="25" spans="1:17" ht="16.5" customHeight="1" x14ac:dyDescent="0.25">
      <c r="A25" s="165"/>
      <c r="B25" s="38">
        <f t="shared" si="5"/>
        <v>6</v>
      </c>
      <c r="C25" s="73" t="s">
        <v>128</v>
      </c>
      <c r="D25" s="76"/>
      <c r="E25" s="76" t="s">
        <v>104</v>
      </c>
      <c r="F25" s="75">
        <v>1770000</v>
      </c>
      <c r="G25" s="75">
        <f t="shared" si="3"/>
        <v>885000</v>
      </c>
      <c r="H25" s="79">
        <v>885000</v>
      </c>
      <c r="I25" s="75">
        <f t="shared" si="4"/>
        <v>0</v>
      </c>
      <c r="J25" s="128"/>
      <c r="K25" s="132"/>
      <c r="L25" s="76"/>
    </row>
    <row r="26" spans="1:17" ht="22.15" customHeight="1" x14ac:dyDescent="0.25">
      <c r="A26" s="165"/>
      <c r="B26" s="38">
        <f t="shared" si="5"/>
        <v>7</v>
      </c>
      <c r="C26" s="77" t="s">
        <v>75</v>
      </c>
      <c r="D26" s="80"/>
      <c r="E26" s="76" t="s">
        <v>70</v>
      </c>
      <c r="F26" s="75">
        <v>2730000</v>
      </c>
      <c r="G26" s="75">
        <f t="shared" si="3"/>
        <v>1365000</v>
      </c>
      <c r="H26" s="75">
        <v>1365000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65"/>
      <c r="B27" s="38">
        <f t="shared" si="5"/>
        <v>8</v>
      </c>
      <c r="C27" s="77" t="s">
        <v>123</v>
      </c>
      <c r="D27" s="87"/>
      <c r="E27" s="86" t="s">
        <v>76</v>
      </c>
      <c r="F27" s="79">
        <v>1363000</v>
      </c>
      <c r="G27" s="75">
        <f t="shared" si="3"/>
        <v>817800</v>
      </c>
      <c r="H27" s="75">
        <v>816000</v>
      </c>
      <c r="I27" s="75">
        <f t="shared" si="4"/>
        <v>1800</v>
      </c>
      <c r="J27" s="128"/>
      <c r="K27" s="132"/>
      <c r="L27" s="76"/>
    </row>
    <row r="28" spans="1:17" ht="16.5" customHeight="1" x14ac:dyDescent="0.25">
      <c r="A28" s="165"/>
      <c r="B28" s="38">
        <f t="shared" si="5"/>
        <v>9</v>
      </c>
      <c r="C28" s="88" t="s">
        <v>129</v>
      </c>
      <c r="D28" s="74"/>
      <c r="E28" s="81" t="s">
        <v>24</v>
      </c>
      <c r="F28" s="79">
        <v>740000</v>
      </c>
      <c r="G28" s="75">
        <f t="shared" si="3"/>
        <v>444000</v>
      </c>
      <c r="H28" s="79">
        <v>444000</v>
      </c>
      <c r="I28" s="75">
        <f t="shared" si="4"/>
        <v>0</v>
      </c>
      <c r="J28" s="128"/>
      <c r="K28" s="132"/>
      <c r="L28" s="76"/>
    </row>
    <row r="29" spans="1:17" ht="16.5" customHeight="1" x14ac:dyDescent="0.3">
      <c r="A29" s="165"/>
      <c r="B29" s="38">
        <f t="shared" si="5"/>
        <v>10</v>
      </c>
      <c r="C29" s="88" t="s">
        <v>97</v>
      </c>
      <c r="D29" s="81"/>
      <c r="E29" s="76" t="s">
        <v>106</v>
      </c>
      <c r="F29" s="118">
        <v>3360000</v>
      </c>
      <c r="G29" s="75">
        <f t="shared" si="3"/>
        <v>1680000</v>
      </c>
      <c r="H29" s="118">
        <v>1680000</v>
      </c>
      <c r="I29" s="75">
        <f t="shared" si="4"/>
        <v>0</v>
      </c>
      <c r="J29" s="128"/>
      <c r="K29" s="132"/>
      <c r="L29" s="93"/>
    </row>
    <row r="30" spans="1:17" ht="16.5" customHeight="1" x14ac:dyDescent="0.25">
      <c r="A30" s="165"/>
      <c r="B30" s="38">
        <f t="shared" si="5"/>
        <v>11</v>
      </c>
      <c r="C30" s="88" t="s">
        <v>108</v>
      </c>
      <c r="D30" s="78"/>
      <c r="E30" s="81" t="s">
        <v>52</v>
      </c>
      <c r="F30" s="89">
        <v>1160000</v>
      </c>
      <c r="G30" s="75">
        <f t="shared" si="3"/>
        <v>696000</v>
      </c>
      <c r="H30" s="119"/>
      <c r="I30" s="75">
        <f t="shared" si="4"/>
        <v>696000</v>
      </c>
      <c r="J30" s="48" t="s">
        <v>64</v>
      </c>
      <c r="K30" s="132" t="s">
        <v>156</v>
      </c>
      <c r="L30" s="80"/>
    </row>
    <row r="31" spans="1:17" ht="15" customHeight="1" x14ac:dyDescent="0.3">
      <c r="A31" s="165"/>
      <c r="B31" s="38">
        <f t="shared" si="5"/>
        <v>12</v>
      </c>
      <c r="C31" s="77" t="s">
        <v>103</v>
      </c>
      <c r="D31" s="74"/>
      <c r="E31" s="74" t="s">
        <v>16</v>
      </c>
      <c r="F31" s="89">
        <v>2060000</v>
      </c>
      <c r="G31" s="75">
        <f t="shared" si="3"/>
        <v>1030000</v>
      </c>
      <c r="H31" s="89">
        <v>1030000</v>
      </c>
      <c r="I31" s="75">
        <f t="shared" si="4"/>
        <v>0</v>
      </c>
      <c r="J31" s="128"/>
      <c r="K31" s="132"/>
      <c r="L31" s="93"/>
    </row>
    <row r="32" spans="1:17" ht="15" customHeight="1" x14ac:dyDescent="0.3">
      <c r="A32" s="165"/>
      <c r="B32" s="38">
        <f t="shared" si="5"/>
        <v>13</v>
      </c>
      <c r="C32" s="156" t="s">
        <v>110</v>
      </c>
      <c r="D32" s="157"/>
      <c r="E32" s="140" t="s">
        <v>98</v>
      </c>
      <c r="F32" s="139"/>
      <c r="G32" s="139">
        <f t="shared" si="3"/>
        <v>0</v>
      </c>
      <c r="H32" s="139"/>
      <c r="I32" s="75">
        <f t="shared" si="4"/>
        <v>0</v>
      </c>
      <c r="J32" s="128"/>
      <c r="K32" s="132"/>
      <c r="L32" s="93"/>
    </row>
    <row r="33" spans="1:12" ht="18.75" customHeight="1" x14ac:dyDescent="0.3">
      <c r="A33" s="165"/>
      <c r="B33" s="38">
        <f t="shared" si="5"/>
        <v>14</v>
      </c>
      <c r="C33" s="87" t="s">
        <v>109</v>
      </c>
      <c r="D33" s="87"/>
      <c r="E33" s="81" t="s">
        <v>35</v>
      </c>
      <c r="F33" s="90">
        <v>1768000</v>
      </c>
      <c r="G33" s="75">
        <f t="shared" si="3"/>
        <v>884000</v>
      </c>
      <c r="H33" s="89">
        <v>884000</v>
      </c>
      <c r="I33" s="75">
        <f t="shared" si="4"/>
        <v>0</v>
      </c>
      <c r="J33" s="128"/>
      <c r="K33" s="89"/>
      <c r="L33" s="76"/>
    </row>
    <row r="34" spans="1:12" ht="18.75" x14ac:dyDescent="0.3">
      <c r="A34" s="165"/>
      <c r="B34" s="38">
        <f t="shared" si="5"/>
        <v>15</v>
      </c>
      <c r="C34" s="87" t="s">
        <v>111</v>
      </c>
      <c r="D34" s="120"/>
      <c r="E34" s="81" t="s">
        <v>15</v>
      </c>
      <c r="F34" s="79">
        <v>2030000</v>
      </c>
      <c r="G34" s="75">
        <f t="shared" si="3"/>
        <v>1015000</v>
      </c>
      <c r="H34" s="79">
        <v>1015000</v>
      </c>
      <c r="I34" s="75">
        <f t="shared" si="4"/>
        <v>0</v>
      </c>
      <c r="J34" s="128"/>
      <c r="K34" s="132"/>
      <c r="L34" s="76"/>
    </row>
    <row r="35" spans="1:12" ht="18.75" x14ac:dyDescent="0.3">
      <c r="A35" s="165"/>
      <c r="B35" s="38">
        <f t="shared" si="5"/>
        <v>16</v>
      </c>
      <c r="C35" s="87" t="s">
        <v>122</v>
      </c>
      <c r="D35" s="120"/>
      <c r="E35" s="86" t="s">
        <v>76</v>
      </c>
      <c r="F35" s="118">
        <v>2100000</v>
      </c>
      <c r="G35" s="75">
        <f t="shared" si="3"/>
        <v>1050000</v>
      </c>
      <c r="H35" s="118">
        <v>1050000</v>
      </c>
      <c r="I35" s="75">
        <f t="shared" si="4"/>
        <v>0</v>
      </c>
      <c r="J35" s="128"/>
      <c r="K35" s="132"/>
      <c r="L35" s="80"/>
    </row>
    <row r="36" spans="1:12" ht="18.75" x14ac:dyDescent="0.3">
      <c r="A36" s="165"/>
      <c r="B36" s="38">
        <f t="shared" si="5"/>
        <v>17</v>
      </c>
      <c r="C36" s="87" t="s">
        <v>130</v>
      </c>
      <c r="D36" s="120"/>
      <c r="E36" s="86" t="s">
        <v>76</v>
      </c>
      <c r="F36" s="118">
        <v>2000000</v>
      </c>
      <c r="G36" s="75">
        <f t="shared" si="3"/>
        <v>1000000</v>
      </c>
      <c r="H36" s="118">
        <v>1000000</v>
      </c>
      <c r="I36" s="75">
        <f t="shared" si="4"/>
        <v>0</v>
      </c>
      <c r="J36" s="128"/>
      <c r="K36" s="132"/>
      <c r="L36" s="46"/>
    </row>
    <row r="37" spans="1:12" ht="18.75" x14ac:dyDescent="0.3">
      <c r="A37" s="165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 t="s">
        <v>134</v>
      </c>
      <c r="D38" s="43"/>
      <c r="E38" s="86" t="s">
        <v>76</v>
      </c>
      <c r="F38" s="90">
        <v>2400000</v>
      </c>
      <c r="G38" s="75">
        <f t="shared" si="3"/>
        <v>1200000</v>
      </c>
      <c r="H38" s="89">
        <v>1200000</v>
      </c>
      <c r="I38" s="75">
        <f t="shared" si="4"/>
        <v>0</v>
      </c>
      <c r="J38" s="128"/>
      <c r="K38" s="98"/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F2736-7444-48AB-AC37-B03361E9F460}">
  <dimension ref="A3:Q47"/>
  <sheetViews>
    <sheetView tabSelected="1" topLeftCell="A3" zoomScale="70" zoomScaleNormal="70" workbookViewId="0">
      <selection activeCell="J18" sqref="J18"/>
    </sheetView>
  </sheetViews>
  <sheetFormatPr defaultColWidth="9.140625"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60" t="s">
        <v>30</v>
      </c>
      <c r="C3" s="160"/>
      <c r="D3" s="160"/>
      <c r="E3" s="160"/>
      <c r="F3" s="160"/>
      <c r="G3" s="160"/>
      <c r="H3" s="160"/>
      <c r="I3" s="160"/>
      <c r="J3" s="160"/>
      <c r="K3" s="160"/>
    </row>
    <row r="4" spans="1:16" ht="30.75" x14ac:dyDescent="0.25">
      <c r="C4" s="59"/>
      <c r="D4" s="59"/>
      <c r="E4" s="59"/>
      <c r="G4" s="58" t="s">
        <v>158</v>
      </c>
      <c r="I4" s="59"/>
      <c r="J4" s="59"/>
      <c r="K4" s="59"/>
    </row>
    <row r="5" spans="1:16" ht="18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66" t="s">
        <v>90</v>
      </c>
      <c r="B7" s="38">
        <v>1</v>
      </c>
      <c r="C7" s="39" t="s">
        <v>91</v>
      </c>
      <c r="D7" s="40"/>
      <c r="E7" s="60" t="s">
        <v>76</v>
      </c>
      <c r="F7" s="41">
        <v>1000000</v>
      </c>
      <c r="G7" s="41">
        <f>IF(F7="",0,IF(F7&gt;1800000,F7*O$19,F7*O$18))</f>
        <v>600000</v>
      </c>
      <c r="H7" s="41">
        <v>600000</v>
      </c>
      <c r="I7" s="41">
        <f>G7-H7</f>
        <v>0</v>
      </c>
      <c r="J7" s="50" t="s">
        <v>25</v>
      </c>
      <c r="K7" s="129" t="s">
        <v>157</v>
      </c>
      <c r="L7" s="46"/>
      <c r="N7" s="50" t="s">
        <v>25</v>
      </c>
    </row>
    <row r="8" spans="1:16" ht="16.5" customHeight="1" x14ac:dyDescent="0.25">
      <c r="A8" s="167"/>
      <c r="B8" s="38">
        <f>B7+1</f>
        <v>2</v>
      </c>
      <c r="C8" s="39" t="s">
        <v>101</v>
      </c>
      <c r="D8" s="45"/>
      <c r="E8" s="72" t="s">
        <v>65</v>
      </c>
      <c r="F8" s="41">
        <v>1220000</v>
      </c>
      <c r="G8" s="41">
        <f t="shared" ref="G8:G18" si="0">IF(F8="",0,IF(F8&gt;1800000,F8*O$19,F8*O$18))</f>
        <v>732000</v>
      </c>
      <c r="H8" s="41">
        <v>610000</v>
      </c>
      <c r="I8" s="41">
        <f t="shared" ref="I8:I18" si="1">G8-H8</f>
        <v>122000</v>
      </c>
      <c r="J8" s="50" t="s">
        <v>25</v>
      </c>
      <c r="K8" s="130"/>
      <c r="L8" s="46"/>
      <c r="N8" s="48" t="s">
        <v>64</v>
      </c>
    </row>
    <row r="9" spans="1:16" ht="16.5" customHeight="1" x14ac:dyDescent="0.25">
      <c r="A9" s="167"/>
      <c r="B9" s="38">
        <f t="shared" ref="B9:B18" si="2">B8+1</f>
        <v>3</v>
      </c>
      <c r="C9" s="122"/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59"/>
      <c r="K9" s="154"/>
      <c r="L9" s="47"/>
    </row>
    <row r="10" spans="1:16" ht="16.5" customHeight="1" x14ac:dyDescent="0.25">
      <c r="A10" s="167"/>
      <c r="B10" s="38">
        <f>B9+1</f>
        <v>4</v>
      </c>
      <c r="C10" s="42" t="s">
        <v>92</v>
      </c>
      <c r="D10" s="43"/>
      <c r="E10" s="60" t="s">
        <v>76</v>
      </c>
      <c r="F10" s="44">
        <v>1400000</v>
      </c>
      <c r="G10" s="41">
        <f t="shared" si="0"/>
        <v>840000</v>
      </c>
      <c r="H10" s="44">
        <v>840000</v>
      </c>
      <c r="I10" s="41">
        <f t="shared" si="1"/>
        <v>0</v>
      </c>
      <c r="J10" s="50" t="s">
        <v>25</v>
      </c>
      <c r="K10" s="130"/>
      <c r="L10" s="46"/>
      <c r="N10" s="169" t="s">
        <v>28</v>
      </c>
      <c r="O10" s="169"/>
      <c r="P10" s="170">
        <f>SUM(F7:F1006)</f>
        <v>33741000</v>
      </c>
    </row>
    <row r="11" spans="1:16" ht="16.5" customHeight="1" x14ac:dyDescent="0.25">
      <c r="A11" s="167"/>
      <c r="B11" s="38">
        <f t="shared" si="2"/>
        <v>5</v>
      </c>
      <c r="C11" s="42"/>
      <c r="D11" s="43"/>
      <c r="E11" s="60" t="s">
        <v>76</v>
      </c>
      <c r="F11" s="44"/>
      <c r="G11" s="41">
        <f t="shared" si="0"/>
        <v>0</v>
      </c>
      <c r="H11" s="44"/>
      <c r="I11" s="41">
        <f t="shared" si="1"/>
        <v>0</v>
      </c>
      <c r="J11" s="155"/>
      <c r="K11" s="130"/>
      <c r="L11" s="46"/>
      <c r="N11" s="169"/>
      <c r="O11" s="169"/>
      <c r="P11" s="170"/>
    </row>
    <row r="12" spans="1:16" ht="16.5" customHeight="1" x14ac:dyDescent="0.25">
      <c r="A12" s="167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155"/>
      <c r="K12" s="130"/>
      <c r="L12" s="46"/>
      <c r="N12" s="171" t="s">
        <v>95</v>
      </c>
      <c r="O12" s="171"/>
      <c r="P12" s="170">
        <f>SUM(G7:G1006)</f>
        <v>17932800</v>
      </c>
    </row>
    <row r="13" spans="1:16" ht="22.5" customHeight="1" x14ac:dyDescent="0.25">
      <c r="A13" s="167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155"/>
      <c r="K13" s="130"/>
      <c r="L13" s="46"/>
      <c r="N13" s="171"/>
      <c r="O13" s="171"/>
      <c r="P13" s="170"/>
    </row>
    <row r="14" spans="1:16" ht="16.5" customHeight="1" x14ac:dyDescent="0.25">
      <c r="A14" s="167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71"/>
      <c r="O14" s="171"/>
      <c r="P14" s="170"/>
    </row>
    <row r="15" spans="1:16" ht="22.5" customHeight="1" x14ac:dyDescent="0.3">
      <c r="A15" s="167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72" t="s">
        <v>88</v>
      </c>
      <c r="O15" s="172"/>
      <c r="P15" s="67">
        <f>SUM(H7:H1006)</f>
        <v>16981000</v>
      </c>
    </row>
    <row r="16" spans="1:16" ht="16.5" customHeight="1" x14ac:dyDescent="0.25">
      <c r="A16" s="167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67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67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68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64" t="s">
        <v>89</v>
      </c>
      <c r="B20" s="38">
        <v>1</v>
      </c>
      <c r="C20" s="137" t="s">
        <v>124</v>
      </c>
      <c r="D20" s="138"/>
      <c r="E20" s="138" t="s">
        <v>13</v>
      </c>
      <c r="F20" s="139"/>
      <c r="G20" s="139">
        <f t="shared" ref="G20:G47" si="3">IF(F20="",0,IF(F20&gt;=1700000,F20*O$19,F20*O$18))</f>
        <v>0</v>
      </c>
      <c r="H20" s="139"/>
      <c r="I20" s="75">
        <f t="shared" ref="I20:I47" si="4">G20-H20</f>
        <v>0</v>
      </c>
      <c r="J20" s="128"/>
      <c r="K20" s="132"/>
      <c r="L20" s="76"/>
    </row>
    <row r="21" spans="1:17" ht="16.5" customHeight="1" x14ac:dyDescent="0.25">
      <c r="A21" s="165"/>
      <c r="B21" s="38">
        <f>B20+1</f>
        <v>2</v>
      </c>
      <c r="C21" s="77" t="s">
        <v>125</v>
      </c>
      <c r="D21" s="78"/>
      <c r="E21" s="78" t="s">
        <v>105</v>
      </c>
      <c r="F21" s="79">
        <v>1320000</v>
      </c>
      <c r="G21" s="75">
        <f t="shared" si="3"/>
        <v>792000</v>
      </c>
      <c r="H21" s="79">
        <v>660000</v>
      </c>
      <c r="I21" s="75">
        <f t="shared" si="4"/>
        <v>132000</v>
      </c>
      <c r="J21" s="62"/>
      <c r="K21" s="132"/>
      <c r="L21" s="80"/>
    </row>
    <row r="22" spans="1:17" ht="16.5" customHeight="1" x14ac:dyDescent="0.3">
      <c r="A22" s="165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1500000</v>
      </c>
      <c r="G22" s="75">
        <f t="shared" si="3"/>
        <v>900000</v>
      </c>
      <c r="H22" s="79">
        <v>900000</v>
      </c>
      <c r="I22" s="75">
        <f t="shared" si="4"/>
        <v>0</v>
      </c>
      <c r="J22" s="49" t="s">
        <v>63</v>
      </c>
      <c r="K22" s="158">
        <v>1500</v>
      </c>
      <c r="L22" s="82"/>
    </row>
    <row r="23" spans="1:17" ht="16.5" customHeight="1" x14ac:dyDescent="0.25">
      <c r="A23" s="165"/>
      <c r="B23" s="38">
        <f t="shared" si="5"/>
        <v>4</v>
      </c>
      <c r="C23" s="73" t="s">
        <v>154</v>
      </c>
      <c r="D23" s="81"/>
      <c r="E23" s="81" t="s">
        <v>26</v>
      </c>
      <c r="F23" s="75">
        <v>920000</v>
      </c>
      <c r="G23" s="75">
        <f t="shared" si="3"/>
        <v>552000</v>
      </c>
      <c r="H23" s="75">
        <v>552000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65"/>
      <c r="B24" s="38">
        <f t="shared" si="5"/>
        <v>5</v>
      </c>
      <c r="C24" s="73" t="s">
        <v>107</v>
      </c>
      <c r="D24" s="81"/>
      <c r="E24" s="81" t="s">
        <v>53</v>
      </c>
      <c r="F24" s="75">
        <v>2900000</v>
      </c>
      <c r="G24" s="75">
        <f t="shared" si="3"/>
        <v>1450000</v>
      </c>
      <c r="H24" s="79">
        <v>1450000</v>
      </c>
      <c r="I24" s="75">
        <f t="shared" si="4"/>
        <v>0</v>
      </c>
      <c r="J24" s="128"/>
      <c r="K24" s="132"/>
      <c r="L24" s="82"/>
    </row>
    <row r="25" spans="1:17" ht="16.5" customHeight="1" x14ac:dyDescent="0.25">
      <c r="A25" s="165"/>
      <c r="B25" s="38">
        <f t="shared" si="5"/>
        <v>6</v>
      </c>
      <c r="C25" s="73" t="s">
        <v>128</v>
      </c>
      <c r="D25" s="76"/>
      <c r="E25" s="76" t="s">
        <v>104</v>
      </c>
      <c r="F25" s="75">
        <v>1770000</v>
      </c>
      <c r="G25" s="75">
        <f t="shared" si="3"/>
        <v>885000</v>
      </c>
      <c r="H25" s="79">
        <v>885000</v>
      </c>
      <c r="I25" s="75">
        <f t="shared" si="4"/>
        <v>0</v>
      </c>
      <c r="J25" s="128"/>
      <c r="K25" s="132"/>
      <c r="L25" s="76"/>
    </row>
    <row r="26" spans="1:17" ht="22.15" customHeight="1" x14ac:dyDescent="0.25">
      <c r="A26" s="165"/>
      <c r="B26" s="38">
        <f t="shared" si="5"/>
        <v>7</v>
      </c>
      <c r="C26" s="77" t="s">
        <v>75</v>
      </c>
      <c r="D26" s="80"/>
      <c r="E26" s="76" t="s">
        <v>70</v>
      </c>
      <c r="F26" s="75">
        <v>2730000</v>
      </c>
      <c r="G26" s="75">
        <f t="shared" si="3"/>
        <v>1365000</v>
      </c>
      <c r="H26" s="75">
        <v>1365000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65"/>
      <c r="B27" s="38">
        <f t="shared" si="5"/>
        <v>8</v>
      </c>
      <c r="C27" s="77" t="s">
        <v>123</v>
      </c>
      <c r="D27" s="87"/>
      <c r="E27" s="86" t="s">
        <v>76</v>
      </c>
      <c r="F27" s="79">
        <v>1363000</v>
      </c>
      <c r="G27" s="75">
        <f t="shared" si="3"/>
        <v>817800</v>
      </c>
      <c r="H27" s="75">
        <v>816000</v>
      </c>
      <c r="I27" s="75">
        <f t="shared" si="4"/>
        <v>1800</v>
      </c>
      <c r="J27" s="128"/>
      <c r="K27" s="132"/>
      <c r="L27" s="76"/>
    </row>
    <row r="28" spans="1:17" ht="16.5" customHeight="1" x14ac:dyDescent="0.25">
      <c r="A28" s="165"/>
      <c r="B28" s="38">
        <f t="shared" si="5"/>
        <v>9</v>
      </c>
      <c r="C28" s="88" t="s">
        <v>129</v>
      </c>
      <c r="D28" s="74"/>
      <c r="E28" s="81" t="s">
        <v>24</v>
      </c>
      <c r="F28" s="79">
        <v>740000</v>
      </c>
      <c r="G28" s="75">
        <f t="shared" si="3"/>
        <v>444000</v>
      </c>
      <c r="H28" s="79">
        <v>444000</v>
      </c>
      <c r="I28" s="75">
        <f t="shared" si="4"/>
        <v>0</v>
      </c>
      <c r="J28" s="128"/>
      <c r="K28" s="132"/>
      <c r="L28" s="76"/>
    </row>
    <row r="29" spans="1:17" ht="16.5" customHeight="1" x14ac:dyDescent="0.3">
      <c r="A29" s="165"/>
      <c r="B29" s="38">
        <f t="shared" si="5"/>
        <v>10</v>
      </c>
      <c r="C29" s="88" t="s">
        <v>97</v>
      </c>
      <c r="D29" s="81"/>
      <c r="E29" s="76" t="s">
        <v>106</v>
      </c>
      <c r="F29" s="118">
        <v>3360000</v>
      </c>
      <c r="G29" s="75">
        <f t="shared" si="3"/>
        <v>1680000</v>
      </c>
      <c r="H29" s="118">
        <v>1680000</v>
      </c>
      <c r="I29" s="75">
        <f t="shared" si="4"/>
        <v>0</v>
      </c>
      <c r="J29" s="128"/>
      <c r="K29" s="132"/>
      <c r="L29" s="93"/>
    </row>
    <row r="30" spans="1:17" ht="16.5" customHeight="1" x14ac:dyDescent="0.25">
      <c r="A30" s="165"/>
      <c r="B30" s="38">
        <f t="shared" si="5"/>
        <v>11</v>
      </c>
      <c r="C30" s="88" t="s">
        <v>108</v>
      </c>
      <c r="D30" s="78"/>
      <c r="E30" s="81" t="s">
        <v>52</v>
      </c>
      <c r="F30" s="89">
        <v>1160000</v>
      </c>
      <c r="G30" s="75">
        <f t="shared" si="3"/>
        <v>696000</v>
      </c>
      <c r="H30" s="119"/>
      <c r="I30" s="75">
        <f t="shared" si="4"/>
        <v>696000</v>
      </c>
      <c r="J30" s="48" t="s">
        <v>64</v>
      </c>
      <c r="K30" s="132" t="s">
        <v>156</v>
      </c>
      <c r="L30" s="80"/>
    </row>
    <row r="31" spans="1:17" ht="15" customHeight="1" x14ac:dyDescent="0.3">
      <c r="A31" s="165"/>
      <c r="B31" s="38">
        <f t="shared" si="5"/>
        <v>12</v>
      </c>
      <c r="C31" s="77" t="s">
        <v>103</v>
      </c>
      <c r="D31" s="74"/>
      <c r="E31" s="74" t="s">
        <v>16</v>
      </c>
      <c r="F31" s="89">
        <v>2060000</v>
      </c>
      <c r="G31" s="75">
        <f t="shared" si="3"/>
        <v>1030000</v>
      </c>
      <c r="H31" s="89">
        <v>1030000</v>
      </c>
      <c r="I31" s="75">
        <f t="shared" si="4"/>
        <v>0</v>
      </c>
      <c r="J31" s="128"/>
      <c r="K31" s="132"/>
      <c r="L31" s="93"/>
    </row>
    <row r="32" spans="1:17" ht="15" customHeight="1" x14ac:dyDescent="0.3">
      <c r="A32" s="165"/>
      <c r="B32" s="38">
        <f t="shared" si="5"/>
        <v>13</v>
      </c>
      <c r="C32" s="156" t="s">
        <v>110</v>
      </c>
      <c r="D32" s="157"/>
      <c r="E32" s="140" t="s">
        <v>98</v>
      </c>
      <c r="F32" s="139"/>
      <c r="G32" s="139">
        <f t="shared" si="3"/>
        <v>0</v>
      </c>
      <c r="H32" s="139"/>
      <c r="I32" s="75">
        <f t="shared" si="4"/>
        <v>0</v>
      </c>
      <c r="J32" s="128"/>
      <c r="K32" s="132"/>
      <c r="L32" s="93"/>
    </row>
    <row r="33" spans="1:12" ht="18.75" customHeight="1" x14ac:dyDescent="0.3">
      <c r="A33" s="165"/>
      <c r="B33" s="38">
        <f t="shared" si="5"/>
        <v>14</v>
      </c>
      <c r="C33" s="87" t="s">
        <v>109</v>
      </c>
      <c r="D33" s="87"/>
      <c r="E33" s="81" t="s">
        <v>35</v>
      </c>
      <c r="F33" s="90">
        <v>1768000</v>
      </c>
      <c r="G33" s="75">
        <f t="shared" si="3"/>
        <v>884000</v>
      </c>
      <c r="H33" s="89">
        <v>884000</v>
      </c>
      <c r="I33" s="75">
        <f t="shared" si="4"/>
        <v>0</v>
      </c>
      <c r="J33" s="128"/>
      <c r="K33" s="89"/>
      <c r="L33" s="76"/>
    </row>
    <row r="34" spans="1:12" ht="18.75" x14ac:dyDescent="0.3">
      <c r="A34" s="165"/>
      <c r="B34" s="38">
        <f t="shared" si="5"/>
        <v>15</v>
      </c>
      <c r="C34" s="87" t="s">
        <v>111</v>
      </c>
      <c r="D34" s="120"/>
      <c r="E34" s="81" t="s">
        <v>15</v>
      </c>
      <c r="F34" s="79">
        <v>2030000</v>
      </c>
      <c r="G34" s="75">
        <f t="shared" si="3"/>
        <v>1015000</v>
      </c>
      <c r="H34" s="79">
        <v>1015000</v>
      </c>
      <c r="I34" s="75">
        <f t="shared" si="4"/>
        <v>0</v>
      </c>
      <c r="J34" s="128"/>
      <c r="K34" s="132"/>
      <c r="L34" s="76"/>
    </row>
    <row r="35" spans="1:12" ht="18.75" x14ac:dyDescent="0.3">
      <c r="A35" s="165"/>
      <c r="B35" s="38">
        <f t="shared" si="5"/>
        <v>16</v>
      </c>
      <c r="C35" s="87" t="s">
        <v>122</v>
      </c>
      <c r="D35" s="120"/>
      <c r="E35" s="86" t="s">
        <v>76</v>
      </c>
      <c r="F35" s="118">
        <v>2100000</v>
      </c>
      <c r="G35" s="75">
        <f t="shared" si="3"/>
        <v>1050000</v>
      </c>
      <c r="H35" s="118">
        <v>1050000</v>
      </c>
      <c r="I35" s="75">
        <f t="shared" si="4"/>
        <v>0</v>
      </c>
      <c r="J35" s="128"/>
      <c r="K35" s="132"/>
      <c r="L35" s="80"/>
    </row>
    <row r="36" spans="1:12" ht="18.75" x14ac:dyDescent="0.3">
      <c r="A36" s="165"/>
      <c r="B36" s="38">
        <f t="shared" si="5"/>
        <v>17</v>
      </c>
      <c r="C36" s="87" t="s">
        <v>130</v>
      </c>
      <c r="D36" s="120"/>
      <c r="E36" s="86" t="s">
        <v>76</v>
      </c>
      <c r="F36" s="118">
        <v>2000000</v>
      </c>
      <c r="G36" s="75">
        <f t="shared" si="3"/>
        <v>1000000</v>
      </c>
      <c r="H36" s="118">
        <v>1000000</v>
      </c>
      <c r="I36" s="75">
        <f t="shared" si="4"/>
        <v>0</v>
      </c>
      <c r="J36" s="128"/>
      <c r="K36" s="132"/>
      <c r="L36" s="46"/>
    </row>
    <row r="37" spans="1:12" ht="18.75" x14ac:dyDescent="0.3">
      <c r="A37" s="165"/>
      <c r="B37" s="38">
        <f t="shared" si="5"/>
        <v>18</v>
      </c>
      <c r="C37" s="142"/>
      <c r="D37" s="143"/>
      <c r="E37" s="144" t="s">
        <v>76</v>
      </c>
      <c r="F37" s="145"/>
      <c r="G37" s="139">
        <f t="shared" si="3"/>
        <v>0</v>
      </c>
      <c r="H37" s="146"/>
      <c r="I37" s="139">
        <f t="shared" si="4"/>
        <v>0</v>
      </c>
      <c r="J37" s="83"/>
      <c r="K37" s="98"/>
      <c r="L37" s="47"/>
    </row>
    <row r="38" spans="1:12" ht="18.75" x14ac:dyDescent="0.3">
      <c r="A38" s="165"/>
      <c r="B38" s="38">
        <f t="shared" si="5"/>
        <v>19</v>
      </c>
      <c r="C38" s="99" t="s">
        <v>134</v>
      </c>
      <c r="D38" s="43"/>
      <c r="E38" s="86" t="s">
        <v>76</v>
      </c>
      <c r="F38" s="90">
        <v>2400000</v>
      </c>
      <c r="G38" s="75">
        <f t="shared" si="3"/>
        <v>1200000</v>
      </c>
      <c r="H38" s="89">
        <v>1200000</v>
      </c>
      <c r="I38" s="75">
        <f t="shared" si="4"/>
        <v>0</v>
      </c>
      <c r="J38" s="128"/>
      <c r="K38" s="98"/>
      <c r="L38" s="47"/>
    </row>
    <row r="39" spans="1:12" ht="18.75" x14ac:dyDescent="0.3">
      <c r="A39" s="165"/>
      <c r="B39" s="38">
        <f t="shared" si="5"/>
        <v>20</v>
      </c>
      <c r="C39" s="99"/>
      <c r="D39" s="43"/>
      <c r="E39" s="86" t="s">
        <v>76</v>
      </c>
      <c r="F39" s="9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65"/>
      <c r="B40" s="38">
        <f t="shared" si="5"/>
        <v>21</v>
      </c>
      <c r="C40" s="99"/>
      <c r="D40" s="43"/>
      <c r="E40" s="60" t="s">
        <v>76</v>
      </c>
      <c r="F40" s="9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65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65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65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65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65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65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65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10-01</vt:lpstr>
      <vt:lpstr>01-02</vt:lpstr>
      <vt:lpstr>02-02</vt:lpstr>
      <vt:lpstr>03-02</vt:lpstr>
      <vt:lpstr>04-02</vt:lpstr>
      <vt:lpstr>05-02</vt:lpstr>
      <vt:lpstr>06-02</vt:lpstr>
      <vt:lpstr>07-02</vt:lpstr>
      <vt:lpstr>08-02</vt:lpstr>
      <vt:lpstr>09-02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2026-02-09T16:49:33Z</dcterms:modified>
</cp:coreProperties>
</file>