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384963EE-C5D9-4ED6-9C93-10A7451DFD02}" xr6:coauthVersionLast="47" xr6:coauthVersionMax="47" xr10:uidLastSave="{00000000-0000-0000-0000-000000000000}"/>
  <bookViews>
    <workbookView xWindow="-120" yWindow="-120" windowWidth="29040" windowHeight="15840" tabRatio="579" firstSheet="18" activeTab="32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  <sheet name="26-01" sheetId="32" r:id="rId28"/>
    <sheet name="27-01" sheetId="33" r:id="rId29"/>
    <sheet name="28-01" sheetId="34" r:id="rId30"/>
    <sheet name="29-01" sheetId="35" r:id="rId31"/>
    <sheet name="30-01" sheetId="36" r:id="rId32"/>
    <sheet name="31-01" sheetId="37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37" l="1"/>
  <c r="I13" i="37"/>
  <c r="I14" i="37"/>
  <c r="I15" i="37"/>
  <c r="I16" i="37"/>
  <c r="I17" i="37"/>
  <c r="I18" i="37"/>
  <c r="G12" i="37"/>
  <c r="G13" i="37"/>
  <c r="G14" i="37"/>
  <c r="G15" i="37"/>
  <c r="G16" i="37"/>
  <c r="G17" i="37"/>
  <c r="G18" i="37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36"/>
  <c r="P15" i="36"/>
  <c r="P10" i="36"/>
  <c r="G27" i="36"/>
  <c r="I27" i="36" s="1"/>
  <c r="G26" i="36"/>
  <c r="I26" i="36" s="1"/>
  <c r="G25" i="36"/>
  <c r="I25" i="36" s="1"/>
  <c r="G24" i="36"/>
  <c r="I24" i="36" s="1"/>
  <c r="G23" i="36"/>
  <c r="G22" i="36"/>
  <c r="I22" i="36" s="1"/>
  <c r="G21" i="36"/>
  <c r="I21" i="36" s="1"/>
  <c r="G20" i="36"/>
  <c r="I20" i="36" s="1"/>
  <c r="G19" i="36"/>
  <c r="I19" i="36" s="1"/>
  <c r="G18" i="36"/>
  <c r="I18" i="36" s="1"/>
  <c r="G17" i="36"/>
  <c r="I17" i="36" s="1"/>
  <c r="G16" i="36"/>
  <c r="I16" i="36" s="1"/>
  <c r="G15" i="36"/>
  <c r="I15" i="36" s="1"/>
  <c r="B15" i="36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G14" i="36"/>
  <c r="I14" i="36" s="1"/>
  <c r="B14" i="36"/>
  <c r="G13" i="36"/>
  <c r="I13" i="36" s="1"/>
  <c r="G10" i="36"/>
  <c r="I10" i="36" s="1"/>
  <c r="G9" i="36"/>
  <c r="G8" i="36"/>
  <c r="I8" i="36" s="1"/>
  <c r="B8" i="36"/>
  <c r="B9" i="36" s="1"/>
  <c r="B10" i="36" s="1"/>
  <c r="G7" i="36"/>
  <c r="I7" i="36" s="1"/>
  <c r="I27" i="35"/>
  <c r="G8" i="35"/>
  <c r="G9" i="35"/>
  <c r="G10" i="35"/>
  <c r="I10" i="35" s="1"/>
  <c r="G7" i="35"/>
  <c r="I7" i="35" s="1"/>
  <c r="G27" i="35"/>
  <c r="G26" i="35"/>
  <c r="I26" i="35" s="1"/>
  <c r="G25" i="35"/>
  <c r="I25" i="35" s="1"/>
  <c r="G24" i="35"/>
  <c r="I24" i="35" s="1"/>
  <c r="G23" i="35"/>
  <c r="G22" i="35"/>
  <c r="I22" i="35" s="1"/>
  <c r="G21" i="35"/>
  <c r="I21" i="35" s="1"/>
  <c r="G20" i="35"/>
  <c r="I20" i="35" s="1"/>
  <c r="G19" i="35"/>
  <c r="I19" i="35" s="1"/>
  <c r="G18" i="35"/>
  <c r="I18" i="35" s="1"/>
  <c r="G17" i="35"/>
  <c r="I17" i="35" s="1"/>
  <c r="G16" i="35"/>
  <c r="I16" i="35" s="1"/>
  <c r="P15" i="35"/>
  <c r="G15" i="35"/>
  <c r="I15" i="35" s="1"/>
  <c r="B15" i="35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G14" i="35"/>
  <c r="I14" i="35" s="1"/>
  <c r="B14" i="35"/>
  <c r="G13" i="35"/>
  <c r="I13" i="35" s="1"/>
  <c r="P10" i="35"/>
  <c r="B8" i="35"/>
  <c r="B9" i="35" s="1"/>
  <c r="B10" i="35" s="1"/>
  <c r="I27" i="34"/>
  <c r="I26" i="34"/>
  <c r="K26" i="34" s="1"/>
  <c r="I25" i="34"/>
  <c r="K25" i="34" s="1"/>
  <c r="I24" i="34"/>
  <c r="K24" i="34" s="1"/>
  <c r="I23" i="34"/>
  <c r="I22" i="34"/>
  <c r="K22" i="34" s="1"/>
  <c r="I21" i="34"/>
  <c r="K21" i="34" s="1"/>
  <c r="I20" i="34"/>
  <c r="K20" i="34" s="1"/>
  <c r="I19" i="34"/>
  <c r="K19" i="34" s="1"/>
  <c r="I18" i="34"/>
  <c r="K18" i="34" s="1"/>
  <c r="I17" i="34"/>
  <c r="K17" i="34" s="1"/>
  <c r="I16" i="34"/>
  <c r="K16" i="34" s="1"/>
  <c r="R15" i="34"/>
  <c r="I15" i="34"/>
  <c r="K15" i="34" s="1"/>
  <c r="B15" i="34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I14" i="34"/>
  <c r="K14" i="34" s="1"/>
  <c r="B14" i="34"/>
  <c r="I13" i="34"/>
  <c r="K13" i="34" s="1"/>
  <c r="R10" i="34"/>
  <c r="I10" i="34"/>
  <c r="K10" i="34" s="1"/>
  <c r="I9" i="34"/>
  <c r="I8" i="34"/>
  <c r="K8" i="34" s="1"/>
  <c r="B8" i="34"/>
  <c r="B9" i="34" s="1"/>
  <c r="B10" i="34" s="1"/>
  <c r="I7" i="34"/>
  <c r="K7" i="34" s="1"/>
  <c r="I22" i="33"/>
  <c r="I23" i="33"/>
  <c r="I24" i="33"/>
  <c r="I25" i="33"/>
  <c r="I26" i="33"/>
  <c r="I27" i="33"/>
  <c r="I18" i="33"/>
  <c r="I19" i="33"/>
  <c r="I20" i="33"/>
  <c r="I21" i="33"/>
  <c r="I16" i="33"/>
  <c r="I17" i="33"/>
  <c r="I14" i="33"/>
  <c r="I15" i="33"/>
  <c r="I13" i="33"/>
  <c r="I8" i="33"/>
  <c r="I9" i="33"/>
  <c r="I10" i="33"/>
  <c r="I7" i="33"/>
  <c r="P12" i="37" l="1"/>
  <c r="I8" i="35"/>
  <c r="P12" i="35" s="1"/>
  <c r="R12" i="34"/>
  <c r="K26" i="33"/>
  <c r="K25" i="33"/>
  <c r="K24" i="33"/>
  <c r="K23" i="33"/>
  <c r="K22" i="33"/>
  <c r="K21" i="33"/>
  <c r="K20" i="33"/>
  <c r="K19" i="33"/>
  <c r="K18" i="33"/>
  <c r="K17" i="33"/>
  <c r="K16" i="33"/>
  <c r="R15" i="33"/>
  <c r="K15" i="33"/>
  <c r="B15" i="33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K14" i="33"/>
  <c r="B14" i="33"/>
  <c r="K13" i="33"/>
  <c r="R10" i="33"/>
  <c r="K10" i="33"/>
  <c r="B8" i="33"/>
  <c r="B9" i="33" s="1"/>
  <c r="B10" i="33" s="1"/>
  <c r="K7" i="33"/>
  <c r="I27" i="32"/>
  <c r="I26" i="32"/>
  <c r="K26" i="32" s="1"/>
  <c r="I25" i="32"/>
  <c r="K25" i="32" s="1"/>
  <c r="I24" i="32"/>
  <c r="K24" i="32" s="1"/>
  <c r="I23" i="32"/>
  <c r="K23" i="32" s="1"/>
  <c r="K22" i="32"/>
  <c r="I22" i="32"/>
  <c r="I21" i="32"/>
  <c r="K21" i="32" s="1"/>
  <c r="I20" i="32"/>
  <c r="K20" i="32" s="1"/>
  <c r="I19" i="32"/>
  <c r="K19" i="32" s="1"/>
  <c r="I18" i="32"/>
  <c r="K18" i="32" s="1"/>
  <c r="I17" i="32"/>
  <c r="K17" i="32" s="1"/>
  <c r="I16" i="32"/>
  <c r="K16" i="32" s="1"/>
  <c r="R15" i="32"/>
  <c r="I15" i="32"/>
  <c r="K15" i="32" s="1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I14" i="32"/>
  <c r="K14" i="32" s="1"/>
  <c r="B14" i="32"/>
  <c r="I13" i="32"/>
  <c r="K13" i="32" s="1"/>
  <c r="R10" i="32"/>
  <c r="I10" i="32"/>
  <c r="K10" i="32" s="1"/>
  <c r="I9" i="32"/>
  <c r="K9" i="32" s="1"/>
  <c r="I8" i="32"/>
  <c r="K8" i="32" s="1"/>
  <c r="B8" i="32"/>
  <c r="B9" i="32" s="1"/>
  <c r="B10" i="32" s="1"/>
  <c r="I7" i="32"/>
  <c r="K7" i="32" s="1"/>
  <c r="I27" i="3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I7" i="31"/>
  <c r="K7" i="31" s="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3" l="1"/>
  <c r="K8" i="33"/>
  <c r="R12" i="32"/>
  <c r="R12" i="3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<sst xmlns="http://schemas.openxmlformats.org/spreadsheetml/2006/main" count="3597" uniqueCount="222">
  <si>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</si>
  <si>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</si>
  <si>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</si>
  <si>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</si>
  <si>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</si>
  <si>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</si>
  <si>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</si>
  <si>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</si>
  <si>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</si>
  <si>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</si>
  <si>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</si>
  <si>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</si>
  <si>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</si>
  <si>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</si>
  <si>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</si>
  <si>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</si>
  <si>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</si>
  <si>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</si>
  <si>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</si>
  <si>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</si>
  <si>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</si>
  <si>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</si>
  <si>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</si>
  <si>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</si>
  <si>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</si>
  <si>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</si>
  <si>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</si>
  <si>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</si>
  <si>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</si>
  <si>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</si>
  <si>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</si>
  <si>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</si>
  <si>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</si>
  <si>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</si>
  <si>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</si>
  <si>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</si>
  <si>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</si>
  <si>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</si>
  <si>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</si>
  <si>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</si>
  <si>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</si>
  <si>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</si>
  <si>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</si>
  <si>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</si>
  <si>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</si>
  <si>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</si>
  <si>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</si>
  <si>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</si>
  <si>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</si>
  <si>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</si>
  <si>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</si>
  <si>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</si>
  <si>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</si>
  <si>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</si>
  <si>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</si>
  <si>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</si>
  <si>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</si>
  <si>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</si>
  <si>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</si>
  <si>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</si>
  <si>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</si>
  <si>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</si>
  <si>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</si>
  <si>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</si>
  <si>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</si>
  <si>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</si>
  <si>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</si>
  <si>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</si>
  <si>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</si>
  <si>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</si>
  <si>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</si>
  <si>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</si>
  <si>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</si>
  <si>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</si>
  <si>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</si>
  <si>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</si>
  <si>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</si>
  <si>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</si>
  <si>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</si>
  <si>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</si>
  <si>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</si>
  <si>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</si>
  <si>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</si>
  <si>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</si>
  <si>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</si>
  <si>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</si>
  <si>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</si>
  <si>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</si>
  <si>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</si>
  <si>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</si>
  <si>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</si>
  <si>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</si>
  <si>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</si>
  <si>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</si>
  <si>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</si>
  <si>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</si>
  <si>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</si>
  <si>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</si>
  <si>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</si>
  <si>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</si>
  <si>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</si>
  <si>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</si>
  <si>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</si>
  <si>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</si>
  <si>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</si>
  <si>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</si>
  <si>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</si>
  <si>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</si>
  <si>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</si>
  <si>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</si>
  <si>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</si>
  <si>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</si>
  <si>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</si>
  <si>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</si>
  <si>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</si>
  <si>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</si>
  <si>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</si>
  <si>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</si>
  <si>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</si>
  <si>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</si>
  <si>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</si>
  <si>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</si>
  <si>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</si>
  <si>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</si>
  <si>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</si>
  <si>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</si>
  <si>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</si>
  <si>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</si>
  <si>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</si>
  <si>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</si>
  <si>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</si>
  <si>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</si>
  <si>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</si>
  <si>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</si>
  <si>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</si>
  <si>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</si>
  <si>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</si>
  <si>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</si>
  <si>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</si>
  <si>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</si>
  <si>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</si>
  <si>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</si>
  <si>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</si>
  <si>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</si>
  <si>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</si>
  <si>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</si>
  <si>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</si>
  <si>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</si>
  <si>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</si>
  <si>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</si>
  <si>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</si>
  <si>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</si>
  <si>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</si>
  <si>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</si>
  <si>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</si>
  <si>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</si>
  <si>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</si>
  <si>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</si>
  <si>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</si>
  <si>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</si>
  <si>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</si>
  <si>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</si>
  <si>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</si>
  <si>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</si>
  <si>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</si>
  <si>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</si>
  <si>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</si>
  <si>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</si>
  <si>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</si>
  <si>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</si>
  <si>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</si>
  <si>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</si>
  <si>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</si>
  <si>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</si>
  <si>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</si>
  <si>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</si>
  <si>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</si>
  <si>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</si>
  <si>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</si>
  <si>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</si>
  <si>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</si>
  <si>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</si>
  <si>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</si>
  <si>
    <t>DOANH THU 25/01/2026</t>
  </si>
  <si>
    <t>Đã nghỉ và trả xe</t>
  </si>
  <si>
    <t>chia 5 5 thọt 120</t>
  </si>
  <si>
    <t>Sau hôm nay nghỉ</t>
  </si>
  <si>
    <t>DOANH THU 26/01/2026</t>
  </si>
  <si>
    <t>Đức Anh</t>
  </si>
  <si>
    <t>chia 5 5 thọt 70</t>
  </si>
  <si>
    <t>DOANH THU 27/01/2026</t>
  </si>
  <si>
    <t>Nạp tiền trễ</t>
  </si>
  <si>
    <t>nợ bác thạo 160</t>
  </si>
  <si>
    <t>thọt 4k</t>
  </si>
  <si>
    <t>Xin bác Kim nghỉ 1 hôm</t>
  </si>
  <si>
    <t>Trọng Tính</t>
  </si>
  <si>
    <t xml:space="preserve">5 5 </t>
  </si>
  <si>
    <t>DOANH THU 28/01/2026</t>
  </si>
  <si>
    <t>cần bù thêm 50k</t>
  </si>
  <si>
    <t>DOANH THU 29/01/2026</t>
  </si>
  <si>
    <t>Chú thành</t>
  </si>
  <si>
    <t>5 5 thọt 100</t>
  </si>
  <si>
    <t>thọt 5k</t>
  </si>
  <si>
    <t>HUỲNH VIỆT CHƯƠNG</t>
  </si>
  <si>
    <t>TRƯƠNG THANH TÚ</t>
  </si>
  <si>
    <t>68HC 001.70</t>
  </si>
  <si>
    <t>68HC 001.93</t>
  </si>
  <si>
    <t>68HC 001.89</t>
  </si>
  <si>
    <t>LƯ HỚN VINH</t>
  </si>
  <si>
    <t>DOANH THU 30/01/2026</t>
  </si>
  <si>
    <t>nghỉ do con ốm</t>
  </si>
  <si>
    <t>nghỉ do bệnh</t>
  </si>
  <si>
    <t>thiếu 15</t>
  </si>
  <si>
    <t xml:space="preserve">thiếu 7k </t>
  </si>
  <si>
    <t>VÕ ĐẸP</t>
  </si>
  <si>
    <t>DOANH THU 31/01/2026</t>
  </si>
  <si>
    <t>ĐỖ VIẾT BÌNH</t>
  </si>
  <si>
    <t>NGỌC TỈNH</t>
  </si>
  <si>
    <t>qua tháng nghỉ</t>
  </si>
  <si>
    <t>NGUYỄN TẤN THÀNH</t>
  </si>
  <si>
    <t>NGUYỄN THANH LIÊM</t>
  </si>
  <si>
    <t>ngày mai mới làm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</si>
</sst>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41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4"/>
      <color rgb="FFFFFF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rgb="FFFFCCCC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267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  <xf numFmtId="49" fontId="26" fillId="19" borderId="8" xfId="0" applyNumberFormat="1" applyFont="1" applyFill="1" applyBorder="1" applyAlignment="1">
      <alignment horizontal="center" vertical="center"/>
    </xf>
    <xf numFmtId="0" fontId="16" fillId="19" borderId="8" xfId="0" applyFont="1" applyFill="1" applyBorder="1" applyAlignment="1">
      <alignment horizontal="center" vertical="center"/>
    </xf>
    <xf numFmtId="0" fontId="25" fillId="18" borderId="8" xfId="0" applyFont="1" applyFill="1" applyBorder="1" applyAlignment="1">
      <alignment horizontal="center" vertical="center"/>
    </xf>
    <xf numFmtId="49" fontId="16" fillId="12" borderId="8" xfId="0" applyNumberFormat="1" applyFont="1" applyFill="1" applyBorder="1" applyAlignment="1">
      <alignment horizontal="center"/>
    </xf>
    <xf numFmtId="0" fontId="16" fillId="21" borderId="8" xfId="0" applyFont="1" applyFill="1" applyBorder="1" applyAlignment="1">
      <alignment horizontal="center" vertical="center"/>
    </xf>
    <xf numFmtId="0" fontId="4" fillId="12" borderId="0" xfId="0" applyFont="1" applyFill="1"/>
    <xf numFmtId="3" fontId="4" fillId="12" borderId="0" xfId="0" applyNumberFormat="1" applyFont="1" applyFill="1"/>
    <xf numFmtId="0" fontId="4" fillId="12" borderId="8" xfId="0" applyFont="1" applyFill="1" applyBorder="1"/>
    <xf numFmtId="49" fontId="10" fillId="12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/>
    </xf>
    <xf numFmtId="0" fontId="14" fillId="18" borderId="8" xfId="0" applyFont="1" applyFill="1" applyBorder="1" applyAlignment="1">
      <alignment vertical="center"/>
    </xf>
    <xf numFmtId="0" fontId="20" fillId="19" borderId="8" xfId="0" applyFont="1" applyFill="1" applyBorder="1" applyAlignment="1">
      <alignment horizontal="center" vertical="center"/>
    </xf>
    <xf numFmtId="49" fontId="16" fillId="18" borderId="8" xfId="0" applyNumberFormat="1" applyFont="1" applyFill="1" applyBorder="1" applyAlignment="1">
      <alignment horizontal="center"/>
    </xf>
    <xf numFmtId="0" fontId="14" fillId="14" borderId="8" xfId="0" applyFont="1" applyFill="1" applyBorder="1" applyAlignment="1">
      <alignment vertical="center"/>
    </xf>
    <xf numFmtId="49" fontId="10" fillId="14" borderId="8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vertical="center"/>
    </xf>
    <xf numFmtId="0" fontId="4" fillId="8" borderId="8" xfId="0" applyFont="1" applyFill="1" applyBorder="1"/>
    <xf numFmtId="0" fontId="20" fillId="14" borderId="8" xfId="0" applyFont="1" applyFill="1" applyBorder="1" applyAlignment="1">
      <alignment horizontal="center" vertical="center"/>
    </xf>
    <xf numFmtId="0" fontId="16" fillId="14" borderId="8" xfId="0" applyFont="1" applyFill="1" applyBorder="1" applyAlignment="1">
      <alignment horizontal="center" vertical="center"/>
    </xf>
    <xf numFmtId="49" fontId="16" fillId="8" borderId="8" xfId="0" applyNumberFormat="1" applyFont="1" applyFill="1" applyBorder="1" applyAlignment="1">
      <alignment horizontal="center"/>
    </xf>
    <xf numFmtId="0" fontId="14" fillId="8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49" fontId="14" fillId="11" borderId="8" xfId="0" applyNumberFormat="1" applyFont="1" applyFill="1" applyBorder="1" applyAlignment="1">
      <alignment horizontal="center" vertical="center"/>
    </xf>
    <xf numFmtId="49" fontId="23" fillId="11" borderId="8" xfId="0" applyNumberFormat="1" applyFont="1" applyFill="1" applyBorder="1" applyAlignment="1">
      <alignment horizontal="center" vertical="center"/>
    </xf>
    <xf numFmtId="49" fontId="14" fillId="12" borderId="8" xfId="0" applyNumberFormat="1" applyFont="1" applyFill="1" applyBorder="1" applyAlignment="1">
      <alignment horizontal="center" vertical="center"/>
    </xf>
    <xf numFmtId="0" fontId="16" fillId="12" borderId="0" xfId="0" applyFont="1" applyFill="1"/>
    <xf numFmtId="49" fontId="23" fillId="14" borderId="8" xfId="0" applyNumberFormat="1" applyFont="1" applyFill="1" applyBorder="1" applyAlignment="1">
      <alignment horizontal="center" vertical="center"/>
    </xf>
    <xf numFmtId="0" fontId="16" fillId="12" borderId="8" xfId="0" applyFont="1" applyFill="1" applyBorder="1"/>
    <xf numFmtId="0" fontId="35" fillId="11" borderId="8" xfId="0" applyFont="1" applyFill="1" applyBorder="1" applyAlignment="1">
      <alignment vertical="center"/>
    </xf>
    <xf numFmtId="49" fontId="35" fillId="11" borderId="8" xfId="0" applyNumberFormat="1" applyFont="1" applyFill="1" applyBorder="1" applyAlignment="1">
      <alignment horizontal="center" vertical="center"/>
    </xf>
    <xf numFmtId="3" fontId="35" fillId="11" borderId="8" xfId="0" applyNumberFormat="1" applyFont="1" applyFill="1" applyBorder="1" applyAlignment="1">
      <alignment horizontal="center" vertical="center"/>
    </xf>
    <xf numFmtId="0" fontId="35" fillId="0" borderId="8" xfId="0" applyFont="1" applyBorder="1" applyAlignment="1">
      <alignment horizontal="center" vertical="center"/>
    </xf>
    <xf numFmtId="0" fontId="35" fillId="11" borderId="8" xfId="0" applyFont="1" applyFill="1" applyBorder="1" applyAlignment="1">
      <alignment horizontal="center" vertical="center"/>
    </xf>
    <xf numFmtId="0" fontId="35" fillId="12" borderId="8" xfId="0" applyFont="1" applyFill="1" applyBorder="1" applyAlignment="1">
      <alignment vertical="center"/>
    </xf>
    <xf numFmtId="49" fontId="35" fillId="12" borderId="8" xfId="0" applyNumberFormat="1" applyFont="1" applyFill="1" applyBorder="1" applyAlignment="1">
      <alignment horizontal="center" vertical="center"/>
    </xf>
    <xf numFmtId="3" fontId="35" fillId="12" borderId="8" xfId="0" applyNumberFormat="1" applyFont="1" applyFill="1" applyBorder="1" applyAlignment="1">
      <alignment horizontal="center" vertical="center"/>
    </xf>
    <xf numFmtId="0" fontId="35" fillId="12" borderId="8" xfId="0" applyFont="1" applyFill="1" applyBorder="1" applyAlignment="1">
      <alignment horizontal="center" vertical="center"/>
    </xf>
    <xf numFmtId="49" fontId="37" fillId="11" borderId="8" xfId="0" applyNumberFormat="1" applyFont="1" applyFill="1" applyBorder="1" applyAlignment="1">
      <alignment horizontal="center" vertical="center"/>
    </xf>
    <xf numFmtId="20" fontId="35" fillId="11" borderId="8" xfId="0" applyNumberFormat="1" applyFont="1" applyFill="1" applyBorder="1" applyAlignment="1">
      <alignment horizontal="center" vertical="center"/>
    </xf>
    <xf numFmtId="0" fontId="38" fillId="12" borderId="8" xfId="0" applyFont="1" applyFill="1" applyBorder="1" applyAlignment="1">
      <alignment horizontal="center" vertical="center"/>
    </xf>
    <xf numFmtId="0" fontId="36" fillId="11" borderId="8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9" fillId="11" borderId="8" xfId="0" applyFont="1" applyFill="1" applyBorder="1" applyAlignment="1">
      <alignment horizontal="center" vertical="center"/>
    </xf>
    <xf numFmtId="0" fontId="35" fillId="12" borderId="8" xfId="0" applyFont="1" applyFill="1" applyBorder="1"/>
    <xf numFmtId="0" fontId="36" fillId="0" borderId="8" xfId="0" applyFont="1" applyBorder="1" applyAlignment="1">
      <alignment horizontal="center"/>
    </xf>
    <xf numFmtId="0" fontId="35" fillId="11" borderId="8" xfId="0" applyFont="1" applyFill="1" applyBorder="1" applyAlignment="1">
      <alignment horizontal="left" vertical="center"/>
    </xf>
    <xf numFmtId="3" fontId="37" fillId="12" borderId="8" xfId="0" applyNumberFormat="1" applyFont="1" applyFill="1" applyBorder="1" applyAlignment="1">
      <alignment horizontal="center" vertical="center"/>
    </xf>
    <xf numFmtId="3" fontId="37" fillId="11" borderId="8" xfId="0" applyNumberFormat="1" applyFont="1" applyFill="1" applyBorder="1" applyAlignment="1">
      <alignment horizontal="center" vertical="center"/>
    </xf>
    <xf numFmtId="3" fontId="37" fillId="12" borderId="8" xfId="0" applyNumberFormat="1" applyFont="1" applyFill="1" applyBorder="1" applyAlignment="1">
      <alignment horizontal="center"/>
    </xf>
    <xf numFmtId="49" fontId="36" fillId="12" borderId="8" xfId="0" applyNumberFormat="1" applyFont="1" applyFill="1" applyBorder="1" applyAlignment="1">
      <alignment horizontal="center"/>
    </xf>
    <xf numFmtId="0" fontId="36" fillId="11" borderId="8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0" fontId="35" fillId="0" borderId="8" xfId="0" applyFont="1" applyBorder="1"/>
    <xf numFmtId="3" fontId="35" fillId="0" borderId="8" xfId="0" applyNumberFormat="1" applyFont="1" applyBorder="1" applyAlignment="1">
      <alignment horizontal="center"/>
    </xf>
    <xf numFmtId="0" fontId="4" fillId="11" borderId="8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0" fontId="4" fillId="12" borderId="8" xfId="0" applyFont="1" applyFill="1" applyBorder="1" applyAlignment="1">
      <alignment horizontal="center" vertical="center"/>
    </xf>
    <xf numFmtId="0" fontId="36" fillId="9" borderId="8" xfId="0" applyFont="1" applyFill="1" applyBorder="1" applyAlignment="1">
      <alignment horizontal="center" vertical="center"/>
    </xf>
    <xf numFmtId="0" fontId="36" fillId="22" borderId="8" xfId="0" applyFont="1" applyFill="1" applyBorder="1" applyAlignment="1">
      <alignment horizontal="center" vertical="center"/>
    </xf>
    <xf numFmtId="0" fontId="36" fillId="9" borderId="8" xfId="0" applyFont="1" applyFill="1" applyBorder="1" applyAlignment="1">
      <alignment horizontal="center"/>
    </xf>
    <xf numFmtId="0" fontId="35" fillId="12" borderId="8" xfId="0" applyFont="1" applyFill="1" applyBorder="1" applyAlignment="1">
      <alignment horizontal="left" vertical="center"/>
    </xf>
    <xf numFmtId="3" fontId="37" fillId="0" borderId="8" xfId="0" applyNumberFormat="1" applyFont="1" applyBorder="1" applyAlignment="1">
      <alignment horizontal="center"/>
    </xf>
    <xf numFmtId="0" fontId="35" fillId="23" borderId="8" xfId="0" applyFont="1" applyFill="1" applyBorder="1" applyAlignment="1">
      <alignment vertical="center"/>
    </xf>
    <xf numFmtId="49" fontId="37" fillId="23" borderId="8" xfId="0" applyNumberFormat="1" applyFont="1" applyFill="1" applyBorder="1" applyAlignment="1">
      <alignment horizontal="center" vertical="center"/>
    </xf>
    <xf numFmtId="3" fontId="35" fillId="23" borderId="8" xfId="0" applyNumberFormat="1" applyFont="1" applyFill="1" applyBorder="1" applyAlignment="1">
      <alignment horizontal="center" vertical="center"/>
    </xf>
    <xf numFmtId="0" fontId="35" fillId="17" borderId="8" xfId="0" applyFont="1" applyFill="1" applyBorder="1" applyAlignment="1">
      <alignment horizontal="center" vertical="center"/>
    </xf>
    <xf numFmtId="0" fontId="36" fillId="23" borderId="8" xfId="0" applyFont="1" applyFill="1" applyBorder="1" applyAlignment="1">
      <alignment horizontal="center" vertical="center"/>
    </xf>
    <xf numFmtId="0" fontId="35" fillId="17" borderId="8" xfId="0" applyFont="1" applyFill="1" applyBorder="1"/>
    <xf numFmtId="3" fontId="35" fillId="17" borderId="8" xfId="0" applyNumberFormat="1" applyFont="1" applyFill="1" applyBorder="1" applyAlignment="1">
      <alignment horizontal="center"/>
    </xf>
    <xf numFmtId="0" fontId="4" fillId="23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  <xf numFmtId="0" fontId="29" fillId="6" borderId="13" xfId="0" applyFont="1" applyFill="1" applyBorder="1" applyAlignment="1">
      <alignment horizontal="center" vertical="center" wrapText="1"/>
    </xf>
    <xf numFmtId="0" fontId="29" fillId="6" borderId="14" xfId="0" applyFont="1" applyFill="1" applyBorder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55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244" t="s">
        <v>29</v>
      </c>
      <c r="I25" s="244"/>
      <c r="J25" s="9">
        <f>SUM(H7:H1000)</f>
        <v>24820000</v>
      </c>
    </row>
    <row r="26" spans="2:13" ht="22.5" x14ac:dyDescent="0.3">
      <c r="H26" s="244" t="s">
        <v>30</v>
      </c>
      <c r="I26" s="244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77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29135000</v>
      </c>
    </row>
    <row r="27" spans="1:13" ht="22.5" x14ac:dyDescent="0.3">
      <c r="H27" s="244" t="s">
        <v>30</v>
      </c>
      <c r="I27" s="24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85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32170000</v>
      </c>
    </row>
    <row r="27" spans="1:13" ht="22.5" x14ac:dyDescent="0.3">
      <c r="H27" s="244" t="s">
        <v>30</v>
      </c>
      <c r="I27" s="24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21" activeCellId="1" sqref="H21 I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87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30806000</v>
      </c>
    </row>
    <row r="27" spans="1:13" ht="22.5" x14ac:dyDescent="0.3">
      <c r="H27" s="244" t="s">
        <v>30</v>
      </c>
      <c r="I27" s="24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95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30762000</v>
      </c>
    </row>
    <row r="27" spans="1:13" ht="22.5" x14ac:dyDescent="0.3">
      <c r="H27" s="244" t="s">
        <v>30</v>
      </c>
      <c r="I27" s="24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97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31566000</v>
      </c>
    </row>
    <row r="27" spans="1:13" ht="22.5" x14ac:dyDescent="0.3">
      <c r="H27" s="244" t="s">
        <v>30</v>
      </c>
      <c r="I27" s="24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99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31500000</v>
      </c>
    </row>
    <row r="27" spans="1:13" ht="22.5" x14ac:dyDescent="0.3">
      <c r="H27" s="244" t="s">
        <v>30</v>
      </c>
      <c r="I27" s="244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6" ht="30.75" x14ac:dyDescent="0.25">
      <c r="B3" s="242" t="s">
        <v>100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32130000</v>
      </c>
    </row>
    <row r="27" spans="1:13" ht="22.5" x14ac:dyDescent="0.3">
      <c r="H27" s="244" t="s">
        <v>30</v>
      </c>
      <c r="I27" s="24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6" ht="30.75" x14ac:dyDescent="0.25">
      <c r="B3" s="242" t="s">
        <v>107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28500000</v>
      </c>
    </row>
    <row r="27" spans="1:13" ht="22.5" x14ac:dyDescent="0.3">
      <c r="H27" s="244" t="s">
        <v>30</v>
      </c>
      <c r="I27" s="244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6" ht="30.75" x14ac:dyDescent="0.25">
      <c r="B3" s="242" t="s">
        <v>109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28869000</v>
      </c>
    </row>
    <row r="27" spans="1:13" ht="22.5" x14ac:dyDescent="0.3">
      <c r="H27" s="244" t="s">
        <v>30</v>
      </c>
      <c r="I27" s="244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  <c r="L2" s="1"/>
      <c r="M2" s="1"/>
      <c r="N2" s="1"/>
      <c r="O2" s="1"/>
      <c r="P2" s="1"/>
    </row>
    <row r="3" spans="1:16" ht="30.75" x14ac:dyDescent="0.25">
      <c r="A3" s="1"/>
      <c r="B3" s="242" t="s">
        <v>109</v>
      </c>
      <c r="C3" s="243"/>
      <c r="D3" s="243"/>
      <c r="E3" s="243"/>
      <c r="F3" s="243"/>
      <c r="G3" s="243"/>
      <c r="H3" s="243"/>
      <c r="I3" s="243"/>
      <c r="J3" s="243"/>
      <c r="K3" s="243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248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248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248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248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248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249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249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249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249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249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249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249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249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29569000</v>
      </c>
    </row>
    <row r="29" spans="1:16" ht="22.5" x14ac:dyDescent="0.3">
      <c r="H29" s="245" t="s">
        <v>30</v>
      </c>
      <c r="I29" s="246"/>
      <c r="J29" s="9">
        <f>SUM(I7:I1001)</f>
        <v>17731000</v>
      </c>
    </row>
    <row r="30" spans="1:16" ht="22.5" x14ac:dyDescent="0.3">
      <c r="H30" s="245" t="s">
        <v>117</v>
      </c>
      <c r="I30" s="246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4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4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4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4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24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24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24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24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24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24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24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24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249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29980000</v>
      </c>
    </row>
    <row r="29" spans="1:16" ht="22.5" x14ac:dyDescent="0.3">
      <c r="H29" s="245" t="s">
        <v>30</v>
      </c>
      <c r="I29" s="246"/>
      <c r="J29" s="9">
        <f>SUM(I7:I1001)</f>
        <v>17988000</v>
      </c>
    </row>
    <row r="30" spans="1:16" ht="22.5" x14ac:dyDescent="0.3">
      <c r="H30" s="245" t="s">
        <v>117</v>
      </c>
      <c r="I30" s="246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4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4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4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4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24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24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24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24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24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24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24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24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249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31650000</v>
      </c>
    </row>
    <row r="29" spans="1:16" ht="22.5" x14ac:dyDescent="0.3">
      <c r="H29" s="245" t="s">
        <v>30</v>
      </c>
      <c r="I29" s="246"/>
      <c r="J29" s="9">
        <f>SUM(I7:I1001)</f>
        <v>18990000</v>
      </c>
    </row>
    <row r="30" spans="1:16" ht="22.5" x14ac:dyDescent="0.3">
      <c r="H30" s="245" t="s">
        <v>117</v>
      </c>
      <c r="I30" s="246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4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4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4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4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24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24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24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24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24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24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24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24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249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29362000</v>
      </c>
    </row>
    <row r="29" spans="1:16" ht="22.5" x14ac:dyDescent="0.3">
      <c r="H29" s="245" t="s">
        <v>30</v>
      </c>
      <c r="I29" s="246"/>
      <c r="J29" s="9">
        <f>SUM(I7:I1001)</f>
        <v>17617200</v>
      </c>
    </row>
    <row r="30" spans="1:16" ht="22.5" x14ac:dyDescent="0.3">
      <c r="H30" s="245" t="s">
        <v>117</v>
      </c>
      <c r="I30" s="246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256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256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28468000</v>
      </c>
    </row>
    <row r="11" spans="1:18" ht="16.5" customHeight="1" x14ac:dyDescent="0.25">
      <c r="A11" s="257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17080800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16486200</v>
      </c>
    </row>
    <row r="16" spans="1:18" ht="16.5" x14ac:dyDescent="0.25">
      <c r="A16" s="249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251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20755000</v>
      </c>
    </row>
    <row r="11" spans="1:18" ht="16.5" customHeight="1" x14ac:dyDescent="0.25">
      <c r="A11" s="257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12453000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12451000</v>
      </c>
    </row>
    <row r="16" spans="1:18" ht="16.5" x14ac:dyDescent="0.25">
      <c r="A16" s="249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29815000</v>
      </c>
    </row>
    <row r="11" spans="1:18" ht="16.5" customHeight="1" x14ac:dyDescent="0.25">
      <c r="A11" s="257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17889000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17728000</v>
      </c>
    </row>
    <row r="16" spans="1:18" ht="16.5" x14ac:dyDescent="0.25">
      <c r="A16" s="249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29241000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17544600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17384600</v>
      </c>
    </row>
    <row r="16" spans="1:18" ht="16.5" x14ac:dyDescent="0.25">
      <c r="A16" s="249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39465000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23679000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23501000</v>
      </c>
    </row>
    <row r="16" spans="1:18" ht="16.5" x14ac:dyDescent="0.25">
      <c r="A16" s="249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28993000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17395800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17285000</v>
      </c>
    </row>
    <row r="16" spans="1:18" ht="16.5" x14ac:dyDescent="0.25">
      <c r="A16" s="249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23968000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14380800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252"/>
      <c r="Q13" s="252"/>
      <c r="R13" s="253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252"/>
      <c r="Q14" s="252"/>
      <c r="R14" s="253"/>
    </row>
    <row r="15" spans="1:18" ht="22.5" customHeight="1" x14ac:dyDescent="0.3">
      <c r="A15" s="260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254" t="s">
        <v>117</v>
      </c>
      <c r="Q15" s="254"/>
      <c r="R15" s="130">
        <f>SUM(J7:J98)</f>
        <v>14555400</v>
      </c>
    </row>
    <row r="16" spans="1:18" ht="16.5" customHeight="1" x14ac:dyDescent="0.25">
      <c r="A16" s="260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260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60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60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260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260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260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2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2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2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P15:Q15"/>
    <mergeCell ref="A13:A3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B2" zoomScale="85" zoomScaleNormal="85" workbookViewId="0">
      <selection activeCell="J25" activeCellId="1" sqref="H25 J25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25750000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15450000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252"/>
      <c r="Q14" s="252"/>
      <c r="R14" s="253"/>
    </row>
    <row r="15" spans="1:18" ht="22.5" customHeight="1" x14ac:dyDescent="0.3">
      <c r="A15" s="260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254" t="s">
        <v>117</v>
      </c>
      <c r="Q15" s="254"/>
      <c r="R15" s="130">
        <f>SUM(J7:J98)</f>
        <v>15330000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60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60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260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60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60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60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60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H26" sqref="H2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24922000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14953200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252"/>
      <c r="Q14" s="252"/>
      <c r="R14" s="253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254" t="s">
        <v>117</v>
      </c>
      <c r="Q15" s="254"/>
      <c r="R15" s="130">
        <f>SUM(J7:J98)</f>
        <v>14843000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60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60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260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60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60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60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zoomScale="85" zoomScaleNormal="85" workbookViewId="0">
      <selection activeCell="J26" activeCellId="1" sqref="H26 J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256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256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21305000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12783000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12675000</v>
      </c>
    </row>
    <row r="16" spans="1:18" ht="16.5" customHeight="1" x14ac:dyDescent="0.25">
      <c r="A16" s="260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260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260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260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260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260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260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260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260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260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260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260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260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260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260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25660000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13375000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13500000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60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60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260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60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260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183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1540000</v>
      </c>
      <c r="I7" s="68">
        <f>IF(H7="",0,IF(H7&gt;1700000,H7*Q$19,H7*Q$18))</f>
        <v>924000</v>
      </c>
      <c r="J7" s="68">
        <v>930000</v>
      </c>
      <c r="K7" s="68">
        <f>I7-J7</f>
        <v>-6000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1050000</v>
      </c>
      <c r="I9" s="68">
        <f t="shared" si="0"/>
        <v>630000</v>
      </c>
      <c r="J9" s="74">
        <v>630000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25245000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13121500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2440000</v>
      </c>
      <c r="I13" s="68">
        <f t="shared" si="0"/>
        <v>1220000</v>
      </c>
      <c r="J13" s="68">
        <v>1220000</v>
      </c>
      <c r="K13" s="68">
        <f t="shared" ref="K13:K26" si="3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1860000</v>
      </c>
      <c r="I14" s="68">
        <f t="shared" si="0"/>
        <v>930000</v>
      </c>
      <c r="J14" s="74">
        <v>930000</v>
      </c>
      <c r="K14" s="68">
        <f t="shared" si="3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1850000</v>
      </c>
      <c r="I15" s="68">
        <f t="shared" si="0"/>
        <v>925000</v>
      </c>
      <c r="J15" s="74">
        <v>925000</v>
      </c>
      <c r="K15" s="68">
        <f t="shared" si="3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13128000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1850000</v>
      </c>
      <c r="I17" s="68">
        <f t="shared" si="0"/>
        <v>925000</v>
      </c>
      <c r="J17" s="74">
        <v>925000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60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900000</v>
      </c>
      <c r="I19" s="68">
        <f t="shared" si="0"/>
        <v>540000</v>
      </c>
      <c r="J19" s="68">
        <v>540000</v>
      </c>
      <c r="K19" s="68">
        <f t="shared" si="3"/>
        <v>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4400000</v>
      </c>
      <c r="I20" s="68">
        <f t="shared" si="0"/>
        <v>2200000</v>
      </c>
      <c r="J20" s="68">
        <v>2200000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1710000</v>
      </c>
      <c r="I21" s="68">
        <f t="shared" si="0"/>
        <v>855000</v>
      </c>
      <c r="J21" s="74">
        <v>855000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60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60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60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2370000</v>
      </c>
      <c r="I25" s="68">
        <f t="shared" si="0"/>
        <v>1185000</v>
      </c>
      <c r="J25" s="68">
        <v>1185000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1975000</v>
      </c>
      <c r="I26" s="68">
        <f t="shared" si="0"/>
        <v>987500</v>
      </c>
      <c r="J26" s="133">
        <v>988000</v>
      </c>
      <c r="K26" s="68">
        <f t="shared" si="3"/>
        <v>-500</v>
      </c>
      <c r="L26" s="87" t="s">
        <v>69</v>
      </c>
      <c r="M26" s="136"/>
      <c r="N26" s="76"/>
    </row>
    <row r="27" spans="1:19" ht="20.45" customHeight="1" x14ac:dyDescent="0.25">
      <c r="A27" s="260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60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824A-5CD7-422B-BA7A-5CBF215537AD}">
  <dimension ref="A3:S39"/>
  <sheetViews>
    <sheetView zoomScale="85" zoomScaleNormal="85" workbookViewId="0">
      <selection activeCell="J26" activeCellId="1" sqref="H26 J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187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IF(H7="",0,IF(H7&gt;1700000,H7*Q$19,H7*Q$18))</f>
        <v>900000</v>
      </c>
      <c r="J7" s="68">
        <v>900000</v>
      </c>
      <c r="K7" s="68">
        <f>I7-J7</f>
        <v>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27" si="0">IF(H8="",0,IF(H8&gt;1700000,H8*Q$19,H8*Q$18))</f>
        <v>720000</v>
      </c>
      <c r="J8" s="68">
        <v>600000</v>
      </c>
      <c r="K8" s="68">
        <f t="shared" ref="K8:K10" si="1">I8-J8</f>
        <v>120000</v>
      </c>
      <c r="L8" s="88" t="s">
        <v>26</v>
      </c>
      <c r="M8" s="76" t="s">
        <v>185</v>
      </c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153" t="s">
        <v>134</v>
      </c>
      <c r="D9" s="152" t="s">
        <v>101</v>
      </c>
      <c r="E9" s="152">
        <v>70081001153</v>
      </c>
      <c r="F9" s="152" t="s">
        <v>102</v>
      </c>
      <c r="G9" s="152" t="s">
        <v>83</v>
      </c>
      <c r="H9" s="143">
        <v>430000</v>
      </c>
      <c r="I9" s="143">
        <f t="shared" si="0"/>
        <v>258000</v>
      </c>
      <c r="J9" s="144">
        <v>260000</v>
      </c>
      <c r="K9" s="143">
        <f t="shared" si="1"/>
        <v>-2000</v>
      </c>
      <c r="L9" s="150" t="s">
        <v>26</v>
      </c>
      <c r="M9" s="172" t="s">
        <v>186</v>
      </c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22790000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12103000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2050000</v>
      </c>
      <c r="I13" s="68">
        <f t="shared" si="0"/>
        <v>1025000</v>
      </c>
      <c r="J13" s="68">
        <v>1025000</v>
      </c>
      <c r="K13" s="68">
        <f t="shared" ref="K13:K26" si="3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1270000</v>
      </c>
      <c r="I14" s="68">
        <f t="shared" si="0"/>
        <v>762000</v>
      </c>
      <c r="J14" s="74">
        <v>762000</v>
      </c>
      <c r="K14" s="68">
        <f t="shared" si="3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1180000</v>
      </c>
      <c r="I15" s="68">
        <f t="shared" si="0"/>
        <v>708000</v>
      </c>
      <c r="J15" s="74">
        <v>708000</v>
      </c>
      <c r="K15" s="68">
        <f t="shared" si="3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12000000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2100000</v>
      </c>
      <c r="I17" s="68">
        <f t="shared" si="0"/>
        <v>1050000</v>
      </c>
      <c r="J17" s="74">
        <v>1050000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60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2570000</v>
      </c>
      <c r="I19" s="68">
        <f t="shared" si="0"/>
        <v>1285000</v>
      </c>
      <c r="J19" s="68">
        <v>1300000</v>
      </c>
      <c r="K19" s="68">
        <f t="shared" si="3"/>
        <v>-15000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2650000</v>
      </c>
      <c r="I20" s="68">
        <f t="shared" si="0"/>
        <v>1325000</v>
      </c>
      <c r="J20" s="68">
        <v>1325000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2060000</v>
      </c>
      <c r="I21" s="68">
        <f t="shared" si="0"/>
        <v>1030000</v>
      </c>
      <c r="J21" s="74">
        <v>1030000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60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60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60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2000000</v>
      </c>
      <c r="I25" s="68">
        <f t="shared" si="0"/>
        <v>1000000</v>
      </c>
      <c r="J25" s="68">
        <v>1000000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2280000</v>
      </c>
      <c r="I26" s="68">
        <f t="shared" si="0"/>
        <v>1140000</v>
      </c>
      <c r="J26" s="133">
        <v>1140000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60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60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04A6-898E-4DE4-9643-262E8A2E287A}">
  <dimension ref="A3:S39"/>
  <sheetViews>
    <sheetView zoomScale="85" zoomScaleNormal="85" workbookViewId="0">
      <selection activeCell="C26" activeCellId="6" sqref="C13:C15 C17 C19 C21 C20 C25 C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190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IF(H7="",0,IF(H7&gt;=1700000,H7*Q$19,H7*Q$18))</f>
        <v>870000</v>
      </c>
      <c r="J7" s="68">
        <v>870000</v>
      </c>
      <c r="K7" s="68">
        <f>I7-J7</f>
        <v>0</v>
      </c>
      <c r="L7" s="69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188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 t="shared" si="0"/>
        <v>420000</v>
      </c>
      <c r="J9" s="74">
        <v>350000</v>
      </c>
      <c r="K9" s="68">
        <v>0</v>
      </c>
      <c r="L9" s="69" t="s">
        <v>26</v>
      </c>
      <c r="M9" s="76" t="s">
        <v>189</v>
      </c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69" t="s">
        <v>26</v>
      </c>
      <c r="M10" s="76" t="s">
        <v>192</v>
      </c>
      <c r="N10" s="76"/>
      <c r="P10" s="261" t="s">
        <v>29</v>
      </c>
      <c r="Q10" s="261"/>
      <c r="R10" s="262">
        <f>SUM(H7:H999)</f>
        <v>18585000</v>
      </c>
    </row>
    <row r="11" spans="1:18" ht="16.5" customHeight="1" x14ac:dyDescent="0.25">
      <c r="A11" s="257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10091000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2530000</v>
      </c>
      <c r="I13" s="68">
        <f>IF(H13="",0,IF(H13&gt;=1700000,H13*Q$19,H13*Q$18))</f>
        <v>1265000</v>
      </c>
      <c r="J13" s="68">
        <v>1265000</v>
      </c>
      <c r="K13" s="68">
        <f t="shared" ref="K13:K26" si="3">I13-J13</f>
        <v>0</v>
      </c>
      <c r="L13" s="69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1410000</v>
      </c>
      <c r="I14" s="68">
        <f t="shared" ref="I14:I20" si="4">IF(H14="",0,IF(H14&gt;=1700000,H14*Q$19,H14*Q$18))</f>
        <v>846000</v>
      </c>
      <c r="J14" s="74">
        <v>846000</v>
      </c>
      <c r="K14" s="68">
        <f t="shared" si="3"/>
        <v>0</v>
      </c>
      <c r="L14" s="69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1280000</v>
      </c>
      <c r="I15" s="68">
        <f t="shared" si="4"/>
        <v>768000</v>
      </c>
      <c r="J15" s="74">
        <v>768000</v>
      </c>
      <c r="K15" s="68">
        <f t="shared" si="3"/>
        <v>0</v>
      </c>
      <c r="L15" s="69" t="s">
        <v>69</v>
      </c>
      <c r="M15" s="174" t="s">
        <v>191</v>
      </c>
      <c r="N15" s="85"/>
      <c r="P15" s="264" t="s">
        <v>117</v>
      </c>
      <c r="Q15" s="264"/>
      <c r="R15" s="160">
        <f>SUM(J7:J98)</f>
        <v>10021000</v>
      </c>
    </row>
    <row r="16" spans="1:18" ht="16.5" customHeight="1" x14ac:dyDescent="0.25">
      <c r="A16" s="260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60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1155000</v>
      </c>
      <c r="I17" s="68">
        <f t="shared" si="4"/>
        <v>693000</v>
      </c>
      <c r="J17" s="74">
        <v>693000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60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1700000</v>
      </c>
      <c r="I19" s="68">
        <f t="shared" si="4"/>
        <v>850000</v>
      </c>
      <c r="J19" s="68">
        <v>850000</v>
      </c>
      <c r="K19" s="68">
        <f t="shared" si="3"/>
        <v>0</v>
      </c>
      <c r="L19" s="69" t="s">
        <v>69</v>
      </c>
      <c r="M19" s="174" t="s">
        <v>191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590000</v>
      </c>
      <c r="I20" s="68">
        <f t="shared" si="4"/>
        <v>354000</v>
      </c>
      <c r="J20" s="68">
        <v>354000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60"/>
      <c r="B21" s="64">
        <f t="shared" si="5"/>
        <v>9</v>
      </c>
      <c r="C21" s="78" t="s">
        <v>131</v>
      </c>
      <c r="D21" s="177"/>
      <c r="E21" s="177"/>
      <c r="F21" s="177"/>
      <c r="G21" s="122" t="s">
        <v>93</v>
      </c>
      <c r="H21" s="74">
        <v>2080000</v>
      </c>
      <c r="I21" s="68">
        <f>IF(H21="",0,IF(H21&gt;=1700000,H21*Q$19,H21*Q$18))</f>
        <v>1040000</v>
      </c>
      <c r="J21" s="74">
        <v>1040000</v>
      </c>
      <c r="K21" s="68">
        <f t="shared" si="3"/>
        <v>0</v>
      </c>
      <c r="L21" s="69" t="s">
        <v>69</v>
      </c>
      <c r="M21" s="173"/>
      <c r="N21" s="76"/>
    </row>
    <row r="22" spans="1:19" ht="16.5" customHeight="1" x14ac:dyDescent="0.25">
      <c r="A22" s="260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60"/>
      <c r="B23" s="64">
        <f t="shared" si="5"/>
        <v>11</v>
      </c>
      <c r="C23" s="65"/>
      <c r="D23" s="66"/>
      <c r="E23" s="66"/>
      <c r="F23" s="66"/>
      <c r="G23" s="75" t="s">
        <v>25</v>
      </c>
      <c r="H23" s="133"/>
      <c r="I23" s="68">
        <f t="shared" ref="I23:I26" si="6">IF(H23="",0,IF(H23&gt;=1700000,H23*Q$19,H23*Q$18))</f>
        <v>0</v>
      </c>
      <c r="J23" s="132"/>
      <c r="K23" s="68">
        <f t="shared" si="3"/>
        <v>0</v>
      </c>
      <c r="L23" s="69"/>
      <c r="M23" s="105"/>
      <c r="N23" s="79"/>
    </row>
    <row r="24" spans="1:19" ht="16.5" customHeight="1" x14ac:dyDescent="0.25">
      <c r="A24" s="260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60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2100000</v>
      </c>
      <c r="I25" s="68">
        <f>IF(H25="",0,IF(H25&gt;=1700000,H25*Q$19,H25*Q$18))</f>
        <v>1050000</v>
      </c>
      <c r="J25" s="68">
        <v>1050000</v>
      </c>
      <c r="K25" s="68">
        <f t="shared" si="3"/>
        <v>0</v>
      </c>
      <c r="L25" s="69" t="s">
        <v>69</v>
      </c>
      <c r="M25" s="105"/>
      <c r="N25" s="105"/>
    </row>
    <row r="26" spans="1:19" ht="22.15" customHeight="1" x14ac:dyDescent="0.25">
      <c r="A26" s="260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2190000</v>
      </c>
      <c r="I26" s="68">
        <f t="shared" si="6"/>
        <v>1095000</v>
      </c>
      <c r="J26" s="133">
        <v>1095000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60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FEDE5-2874-4668-9159-27236F693D65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197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IF(H7="",0,IF(H7&gt;=1700000,H7*Q$19,H7*Q$18))</f>
        <v>840000</v>
      </c>
      <c r="J7" s="68">
        <v>840000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195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1080000</v>
      </c>
      <c r="I9" s="68">
        <f t="shared" si="0"/>
        <v>648000</v>
      </c>
      <c r="J9" s="74">
        <v>650000</v>
      </c>
      <c r="K9" s="68">
        <v>0</v>
      </c>
      <c r="L9" s="88" t="s">
        <v>26</v>
      </c>
      <c r="M9" s="76" t="s">
        <v>198</v>
      </c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1150000</v>
      </c>
      <c r="I10" s="68">
        <f t="shared" si="0"/>
        <v>690000</v>
      </c>
      <c r="J10" s="74">
        <v>690000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18425000</v>
      </c>
    </row>
    <row r="11" spans="1:18" ht="16.5" customHeight="1" x14ac:dyDescent="0.25">
      <c r="A11" s="257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10290500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1300000</v>
      </c>
      <c r="I13" s="68">
        <f>IF(H13="",0,IF(H13&gt;=1700000,H13*Q$19,H13*Q$18))</f>
        <v>780000</v>
      </c>
      <c r="J13" s="68">
        <v>780000</v>
      </c>
      <c r="K13" s="68">
        <f t="shared" ref="K13:K26" si="3">I13-J13</f>
        <v>0</v>
      </c>
      <c r="L13" s="69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1050000</v>
      </c>
      <c r="I14" s="68">
        <f t="shared" ref="I14:I20" si="4">IF(H14="",0,IF(H14&gt;=1700000,H14*Q$19,H14*Q$18))</f>
        <v>630000</v>
      </c>
      <c r="J14" s="74">
        <v>630000</v>
      </c>
      <c r="K14" s="68">
        <f t="shared" si="3"/>
        <v>0</v>
      </c>
      <c r="L14" s="69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1410000</v>
      </c>
      <c r="I15" s="68">
        <f t="shared" si="4"/>
        <v>846000</v>
      </c>
      <c r="J15" s="74">
        <v>846000</v>
      </c>
      <c r="K15" s="68">
        <f t="shared" si="3"/>
        <v>0</v>
      </c>
      <c r="L15" s="69" t="s">
        <v>69</v>
      </c>
      <c r="M15" s="76"/>
      <c r="N15" s="85"/>
      <c r="P15" s="264" t="s">
        <v>117</v>
      </c>
      <c r="Q15" s="264"/>
      <c r="R15" s="160">
        <f>SUM(J7:J98)</f>
        <v>10183000</v>
      </c>
    </row>
    <row r="16" spans="1:18" ht="16.5" customHeight="1" x14ac:dyDescent="0.25">
      <c r="A16" s="260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60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850000</v>
      </c>
      <c r="I17" s="68">
        <f t="shared" si="4"/>
        <v>510000</v>
      </c>
      <c r="J17" s="74">
        <v>510000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60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1490000</v>
      </c>
      <c r="I19" s="68">
        <f t="shared" si="4"/>
        <v>894000</v>
      </c>
      <c r="J19" s="68">
        <v>890000</v>
      </c>
      <c r="K19" s="68">
        <f t="shared" si="3"/>
        <v>4000</v>
      </c>
      <c r="L19" s="69" t="s">
        <v>69</v>
      </c>
      <c r="M19" s="76" t="s">
        <v>193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2500000</v>
      </c>
      <c r="I20" s="68">
        <f t="shared" si="4"/>
        <v>1250000</v>
      </c>
      <c r="J20" s="68">
        <v>1250000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60"/>
      <c r="B21" s="64">
        <f t="shared" si="5"/>
        <v>9</v>
      </c>
      <c r="C21" s="180" t="s">
        <v>131</v>
      </c>
      <c r="D21" s="169"/>
      <c r="E21" s="169"/>
      <c r="F21" s="169"/>
      <c r="G21" s="181" t="s">
        <v>93</v>
      </c>
      <c r="H21" s="144"/>
      <c r="I21" s="143">
        <f>IF(H21="",0,IF(H21&gt;=1700000,H21*Q$19,H21*Q$18))</f>
        <v>0</v>
      </c>
      <c r="J21" s="144"/>
      <c r="K21" s="143">
        <f t="shared" si="3"/>
        <v>0</v>
      </c>
      <c r="L21" s="150"/>
      <c r="M21" s="182" t="s">
        <v>194</v>
      </c>
      <c r="N21" s="76"/>
    </row>
    <row r="22" spans="1:19" ht="16.5" customHeight="1" x14ac:dyDescent="0.25">
      <c r="A22" s="260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60"/>
      <c r="B23" s="64">
        <f t="shared" si="5"/>
        <v>11</v>
      </c>
      <c r="C23" s="65" t="s">
        <v>139</v>
      </c>
      <c r="D23" s="66"/>
      <c r="E23" s="66"/>
      <c r="F23" s="66"/>
      <c r="G23" s="75" t="s">
        <v>25</v>
      </c>
      <c r="H23" s="133">
        <v>1050000</v>
      </c>
      <c r="I23" s="68">
        <f t="shared" ref="I23:I26" si="6">IF(H23="",0,IF(H23&gt;=1700000,H23*Q$19,H23*Q$18))</f>
        <v>630000</v>
      </c>
      <c r="J23" s="132">
        <v>525000</v>
      </c>
      <c r="K23" s="68">
        <v>0</v>
      </c>
      <c r="L23" s="69" t="s">
        <v>69</v>
      </c>
      <c r="M23" s="105" t="s">
        <v>196</v>
      </c>
      <c r="N23" s="79"/>
    </row>
    <row r="24" spans="1:19" ht="16.5" customHeight="1" x14ac:dyDescent="0.25">
      <c r="A24" s="260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60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3435000</v>
      </c>
      <c r="I25" s="68">
        <f>IF(H25="",0,IF(H25&gt;=1700000,H25*Q$19,H25*Q$18))</f>
        <v>1717500</v>
      </c>
      <c r="J25" s="68">
        <v>1717000</v>
      </c>
      <c r="K25" s="68">
        <f t="shared" si="3"/>
        <v>500</v>
      </c>
      <c r="L25" s="69" t="s">
        <v>69</v>
      </c>
      <c r="M25" s="105"/>
      <c r="N25" s="105"/>
    </row>
    <row r="26" spans="1:19" ht="22.15" customHeight="1" x14ac:dyDescent="0.25">
      <c r="A26" s="260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1710000</v>
      </c>
      <c r="I26" s="68">
        <f t="shared" si="6"/>
        <v>855000</v>
      </c>
      <c r="J26" s="133">
        <v>855000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60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632F-92FC-4DC6-B93E-FE9F60EBD745}">
  <dimension ref="A3:Q39"/>
  <sheetViews>
    <sheetView zoomScale="85" zoomScaleNormal="85" workbookViewId="0">
      <selection activeCell="H10" activeCellId="2" sqref="H7 H9 H1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6" ht="30.75" x14ac:dyDescent="0.25">
      <c r="C4" s="117"/>
      <c r="D4" s="117"/>
      <c r="E4" s="117"/>
      <c r="F4" s="116" t="s">
        <v>199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255" t="s">
        <v>119</v>
      </c>
      <c r="B7" s="64">
        <v>1</v>
      </c>
      <c r="C7" s="65" t="s">
        <v>132</v>
      </c>
      <c r="D7" s="66"/>
      <c r="E7" s="66" t="s">
        <v>16</v>
      </c>
      <c r="F7" s="68">
        <v>1700000</v>
      </c>
      <c r="G7" s="68">
        <f>IF(F7="",0,IF(F7&gt;1700000,F7*O$19,F7*O$18))</f>
        <v>1020000</v>
      </c>
      <c r="H7" s="68">
        <v>1020000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256"/>
      <c r="B8" s="64">
        <f>B7+1</f>
        <v>2</v>
      </c>
      <c r="C8" s="65" t="s">
        <v>200</v>
      </c>
      <c r="D8" s="75"/>
      <c r="E8" s="75" t="s">
        <v>36</v>
      </c>
      <c r="F8" s="68">
        <v>1000000</v>
      </c>
      <c r="G8" s="68">
        <f t="shared" ref="G8:G10" si="0">IF(F8="",0,IF(F8&gt;1700000,F8*O$19,F8*O$18))</f>
        <v>600000</v>
      </c>
      <c r="H8" s="68">
        <v>500000</v>
      </c>
      <c r="I8" s="68">
        <f t="shared" ref="I8:I10" si="1">G8-H8</f>
        <v>100000</v>
      </c>
      <c r="J8" s="88" t="s">
        <v>26</v>
      </c>
      <c r="K8" s="76" t="s">
        <v>201</v>
      </c>
      <c r="L8" s="76"/>
      <c r="N8" s="82" t="s">
        <v>72</v>
      </c>
    </row>
    <row r="9" spans="1:16" ht="16.5" customHeight="1" x14ac:dyDescent="0.25">
      <c r="A9" s="256"/>
      <c r="B9" s="64">
        <f t="shared" ref="B9:B10" si="2">B8+1</f>
        <v>3</v>
      </c>
      <c r="C9" s="65" t="s">
        <v>195</v>
      </c>
      <c r="D9" s="66"/>
      <c r="E9" s="66" t="s">
        <v>83</v>
      </c>
      <c r="F9" s="68">
        <v>1540000</v>
      </c>
      <c r="G9" s="68">
        <f t="shared" si="0"/>
        <v>924000</v>
      </c>
      <c r="H9" s="74">
        <v>920000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256"/>
      <c r="B10" s="64">
        <f t="shared" si="2"/>
        <v>4</v>
      </c>
      <c r="C10" s="71" t="s">
        <v>135</v>
      </c>
      <c r="D10" s="73"/>
      <c r="E10" s="73" t="s">
        <v>73</v>
      </c>
      <c r="F10" s="74">
        <v>1600000</v>
      </c>
      <c r="G10" s="68">
        <f t="shared" si="0"/>
        <v>960000</v>
      </c>
      <c r="H10" s="74">
        <v>960000</v>
      </c>
      <c r="I10" s="68">
        <f t="shared" si="1"/>
        <v>0</v>
      </c>
      <c r="J10" s="88" t="s">
        <v>26</v>
      </c>
      <c r="K10" s="76"/>
      <c r="L10" s="76"/>
      <c r="N10" s="261" t="s">
        <v>29</v>
      </c>
      <c r="O10" s="261"/>
      <c r="P10" s="262">
        <f>SUM(H7:H999)</f>
        <v>12810000</v>
      </c>
    </row>
    <row r="11" spans="1:16" ht="16.5" customHeight="1" x14ac:dyDescent="0.25">
      <c r="A11" s="257"/>
      <c r="C11" s="175"/>
      <c r="D11" s="175"/>
      <c r="E11" s="175"/>
      <c r="F11" s="176"/>
      <c r="G11" s="176"/>
      <c r="H11" s="176"/>
      <c r="I11" s="176"/>
      <c r="J11" s="175"/>
      <c r="K11" s="79"/>
      <c r="L11" s="79"/>
      <c r="N11" s="261"/>
      <c r="O11" s="261"/>
      <c r="P11" s="262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63" t="s">
        <v>143</v>
      </c>
      <c r="O12" s="263"/>
      <c r="P12" s="262">
        <f>SUM(I7:I999)</f>
        <v>100000</v>
      </c>
    </row>
    <row r="13" spans="1:16" ht="22.5" customHeight="1" x14ac:dyDescent="0.25">
      <c r="A13" s="259" t="s">
        <v>118</v>
      </c>
      <c r="B13" s="64">
        <v>1</v>
      </c>
      <c r="C13" s="77" t="s">
        <v>40</v>
      </c>
      <c r="D13" s="66"/>
      <c r="E13" s="66" t="s">
        <v>14</v>
      </c>
      <c r="F13" s="68">
        <v>2230000</v>
      </c>
      <c r="G13" s="68">
        <f>IF(F13="",0,IF(F13&gt;=1700000,F13*O$19,F13*O$18))</f>
        <v>1115000</v>
      </c>
      <c r="H13" s="68">
        <v>1110000</v>
      </c>
      <c r="I13" s="68">
        <f t="shared" ref="I13:I27" si="3">G13-H13</f>
        <v>5000</v>
      </c>
      <c r="J13" s="87" t="s">
        <v>69</v>
      </c>
      <c r="K13" s="76" t="s">
        <v>202</v>
      </c>
      <c r="L13" s="76"/>
      <c r="N13" s="263"/>
      <c r="O13" s="263"/>
      <c r="P13" s="262"/>
    </row>
    <row r="14" spans="1:16" ht="16.5" customHeight="1" x14ac:dyDescent="0.25">
      <c r="A14" s="260"/>
      <c r="B14" s="64">
        <f>B13+1</f>
        <v>2</v>
      </c>
      <c r="C14" s="78" t="s">
        <v>67</v>
      </c>
      <c r="D14" s="73"/>
      <c r="E14" s="73" t="s">
        <v>48</v>
      </c>
      <c r="F14" s="74">
        <v>1967000</v>
      </c>
      <c r="G14" s="68">
        <f t="shared" ref="G14:G20" si="4">IF(F14="",0,IF(F14&gt;=1700000,F14*O$19,F14*O$18))</f>
        <v>983500</v>
      </c>
      <c r="H14" s="74">
        <v>984000</v>
      </c>
      <c r="I14" s="68">
        <f t="shared" si="3"/>
        <v>-500</v>
      </c>
      <c r="J14" s="87" t="s">
        <v>69</v>
      </c>
      <c r="K14" s="79"/>
      <c r="L14" s="79"/>
      <c r="N14" s="263"/>
      <c r="O14" s="263"/>
      <c r="P14" s="262"/>
    </row>
    <row r="15" spans="1:16" ht="22.5" customHeight="1" x14ac:dyDescent="0.3">
      <c r="A15" s="260"/>
      <c r="B15" s="64">
        <f t="shared" ref="B15:B30" si="5">B14+1</f>
        <v>3</v>
      </c>
      <c r="C15" s="77" t="s">
        <v>43</v>
      </c>
      <c r="D15" s="75"/>
      <c r="E15" s="75" t="s">
        <v>22</v>
      </c>
      <c r="F15" s="68">
        <v>1980000</v>
      </c>
      <c r="G15" s="68">
        <f t="shared" si="4"/>
        <v>990000</v>
      </c>
      <c r="H15" s="74">
        <v>990000</v>
      </c>
      <c r="I15" s="68">
        <f t="shared" si="3"/>
        <v>0</v>
      </c>
      <c r="J15" s="87" t="s">
        <v>69</v>
      </c>
      <c r="K15" s="76"/>
      <c r="L15" s="85"/>
      <c r="N15" s="264" t="s">
        <v>117</v>
      </c>
      <c r="O15" s="264"/>
      <c r="P15" s="160">
        <f>SUM(J7:J98)</f>
        <v>0</v>
      </c>
    </row>
    <row r="16" spans="1:16" ht="16.5" customHeight="1" x14ac:dyDescent="0.25">
      <c r="A16" s="260"/>
      <c r="B16" s="64">
        <f t="shared" si="5"/>
        <v>4</v>
      </c>
      <c r="C16" s="77"/>
      <c r="D16" s="75"/>
      <c r="E16" s="75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60"/>
      <c r="B17" s="64">
        <f t="shared" si="5"/>
        <v>5</v>
      </c>
      <c r="C17" s="77" t="s">
        <v>79</v>
      </c>
      <c r="D17" s="75"/>
      <c r="E17" s="75" t="s">
        <v>27</v>
      </c>
      <c r="F17" s="68">
        <v>1700000</v>
      </c>
      <c r="G17" s="68">
        <f t="shared" si="4"/>
        <v>850000</v>
      </c>
      <c r="H17" s="74">
        <v>850000</v>
      </c>
      <c r="I17" s="68">
        <f t="shared" si="3"/>
        <v>0</v>
      </c>
      <c r="J17" s="87" t="s">
        <v>69</v>
      </c>
      <c r="K17" s="80"/>
      <c r="L17" s="85"/>
    </row>
    <row r="18" spans="1:17" ht="16.5" customHeight="1" x14ac:dyDescent="0.3">
      <c r="A18" s="260"/>
      <c r="B18" s="64">
        <f t="shared" si="5"/>
        <v>6</v>
      </c>
      <c r="C18" s="77"/>
      <c r="D18" s="75"/>
      <c r="E18" s="75" t="s">
        <v>57</v>
      </c>
      <c r="F18" s="68"/>
      <c r="G18" s="68">
        <f>IF(F18="",0,IF(F18&gt;=1700000,F18*O$19,F18*O$18))</f>
        <v>0</v>
      </c>
      <c r="H18" s="74"/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60"/>
      <c r="B19" s="64">
        <f t="shared" si="5"/>
        <v>7</v>
      </c>
      <c r="C19" s="77" t="s">
        <v>52</v>
      </c>
      <c r="D19" s="64"/>
      <c r="E19" s="64" t="s">
        <v>35</v>
      </c>
      <c r="F19" s="68">
        <v>1710000</v>
      </c>
      <c r="G19" s="68">
        <f t="shared" si="4"/>
        <v>855000</v>
      </c>
      <c r="H19" s="68">
        <v>860000</v>
      </c>
      <c r="I19" s="68">
        <f t="shared" si="3"/>
        <v>-5000</v>
      </c>
      <c r="J19" s="87" t="s">
        <v>69</v>
      </c>
      <c r="K19" s="76"/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60"/>
      <c r="B20" s="64">
        <f t="shared" si="5"/>
        <v>8</v>
      </c>
      <c r="C20" s="78" t="s">
        <v>92</v>
      </c>
      <c r="D20" s="70"/>
      <c r="E20" s="64" t="s">
        <v>137</v>
      </c>
      <c r="F20" s="74">
        <v>2415000</v>
      </c>
      <c r="G20" s="68">
        <f t="shared" si="4"/>
        <v>1207500</v>
      </c>
      <c r="H20" s="68">
        <v>1207000</v>
      </c>
      <c r="I20" s="68">
        <f t="shared" si="3"/>
        <v>500</v>
      </c>
      <c r="J20" s="87" t="s">
        <v>69</v>
      </c>
      <c r="K20" s="79"/>
      <c r="L20" s="76"/>
    </row>
    <row r="21" spans="1:17" ht="16.5" customHeight="1" x14ac:dyDescent="0.25">
      <c r="A21" s="260"/>
      <c r="B21" s="64">
        <f t="shared" si="5"/>
        <v>9</v>
      </c>
      <c r="C21" s="78" t="s">
        <v>203</v>
      </c>
      <c r="D21" s="177"/>
      <c r="E21" s="122" t="s">
        <v>93</v>
      </c>
      <c r="F21" s="74">
        <v>90000</v>
      </c>
      <c r="G21" s="68">
        <f>IF(F21="",0,IF(F21&gt;=1700000,F21*O$19,F21*O$18))</f>
        <v>54000</v>
      </c>
      <c r="H21" s="74">
        <v>54000</v>
      </c>
      <c r="I21" s="68">
        <f t="shared" si="3"/>
        <v>0</v>
      </c>
      <c r="J21" s="87" t="s">
        <v>69</v>
      </c>
      <c r="K21" s="173"/>
      <c r="L21" s="76"/>
    </row>
    <row r="22" spans="1:17" ht="16.5" customHeight="1" x14ac:dyDescent="0.25">
      <c r="A22" s="260"/>
      <c r="B22" s="64">
        <f t="shared" si="5"/>
        <v>10</v>
      </c>
      <c r="C22" s="177"/>
      <c r="D22" s="177"/>
      <c r="E22" s="17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05"/>
      <c r="L22" s="105"/>
    </row>
    <row r="23" spans="1:17" ht="16.5" customHeight="1" x14ac:dyDescent="0.25">
      <c r="A23" s="260"/>
      <c r="B23" s="64">
        <f t="shared" si="5"/>
        <v>11</v>
      </c>
      <c r="C23" s="65" t="s">
        <v>139</v>
      </c>
      <c r="D23" s="66"/>
      <c r="E23" s="75" t="s">
        <v>25</v>
      </c>
      <c r="F23" s="133">
        <v>1760000</v>
      </c>
      <c r="G23" s="68">
        <f t="shared" ref="G23:G26" si="6">IF(F23="",0,IF(F23&gt;=1700000,F23*O$19,F23*O$18))</f>
        <v>880000</v>
      </c>
      <c r="H23" s="132">
        <v>880000</v>
      </c>
      <c r="I23" s="68">
        <v>0</v>
      </c>
      <c r="J23" s="87" t="s">
        <v>69</v>
      </c>
      <c r="K23" s="105"/>
      <c r="L23" s="79"/>
    </row>
    <row r="24" spans="1:17" ht="16.5" customHeight="1" x14ac:dyDescent="0.25">
      <c r="A24" s="260"/>
      <c r="B24" s="64">
        <f t="shared" si="5"/>
        <v>12</v>
      </c>
      <c r="C24" s="65" t="s">
        <v>148</v>
      </c>
      <c r="D24" s="75"/>
      <c r="E24" s="64" t="s">
        <v>19</v>
      </c>
      <c r="F24" s="133">
        <v>1840000</v>
      </c>
      <c r="G24" s="68">
        <f t="shared" si="6"/>
        <v>920000</v>
      </c>
      <c r="H24" s="133">
        <v>920000</v>
      </c>
      <c r="I24" s="68">
        <f>G24-H24</f>
        <v>0</v>
      </c>
      <c r="J24" s="87" t="s">
        <v>69</v>
      </c>
      <c r="K24" s="105"/>
      <c r="L24" s="105"/>
    </row>
    <row r="25" spans="1:17" ht="16.5" x14ac:dyDescent="0.25">
      <c r="A25" s="260"/>
      <c r="B25" s="64">
        <f t="shared" si="5"/>
        <v>13</v>
      </c>
      <c r="C25" s="65" t="s">
        <v>204</v>
      </c>
      <c r="D25" s="73"/>
      <c r="E25" s="75" t="s">
        <v>56</v>
      </c>
      <c r="F25" s="68"/>
      <c r="G25" s="68">
        <f>IF(F25="",0,IF(F25&gt;=1700000,F25*O$19,F25*O$18))</f>
        <v>0</v>
      </c>
      <c r="H25" s="68"/>
      <c r="I25" s="68">
        <f t="shared" si="3"/>
        <v>0</v>
      </c>
      <c r="J25" s="87"/>
      <c r="K25" s="105"/>
      <c r="L25" s="105"/>
    </row>
    <row r="26" spans="1:17" ht="22.15" customHeight="1" x14ac:dyDescent="0.25">
      <c r="A26" s="260"/>
      <c r="B26" s="64">
        <f t="shared" si="5"/>
        <v>14</v>
      </c>
      <c r="C26" s="77" t="s">
        <v>41</v>
      </c>
      <c r="D26" s="66"/>
      <c r="E26" s="66" t="s">
        <v>17</v>
      </c>
      <c r="F26" s="179">
        <v>1730000</v>
      </c>
      <c r="G26" s="68">
        <f t="shared" si="6"/>
        <v>865000</v>
      </c>
      <c r="H26" s="133">
        <v>865000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60"/>
      <c r="B27" s="64">
        <f t="shared" si="5"/>
        <v>15</v>
      </c>
      <c r="C27" s="78" t="s">
        <v>131</v>
      </c>
      <c r="D27" s="177"/>
      <c r="E27" s="75" t="s">
        <v>168</v>
      </c>
      <c r="F27" s="74">
        <v>1150000</v>
      </c>
      <c r="G27" s="68">
        <f>IF(F27="",0,IF(F27&gt;=1700000,F27*O$19,F27*O$18))</f>
        <v>690000</v>
      </c>
      <c r="H27" s="74">
        <v>690000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60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E672-D35B-4A22-945E-F7CA37050AA8}">
  <dimension ref="A3:Q39"/>
  <sheetViews>
    <sheetView zoomScale="84" zoomScaleNormal="84" workbookViewId="0">
      <selection activeCell="AC10" sqref="AC1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26.710937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6" ht="30.75" x14ac:dyDescent="0.25">
      <c r="C4" s="117"/>
      <c r="D4" s="117"/>
      <c r="E4" s="117"/>
      <c r="F4" s="116" t="s">
        <v>209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255" t="s">
        <v>119</v>
      </c>
      <c r="B7" s="64">
        <v>1</v>
      </c>
      <c r="C7" s="65" t="s">
        <v>132</v>
      </c>
      <c r="D7" s="66"/>
      <c r="E7" s="192" t="s">
        <v>16</v>
      </c>
      <c r="F7" s="68">
        <v>1300000</v>
      </c>
      <c r="G7" s="68">
        <f>IF(F7="",0,IF(F7&gt;1700000,F7*O$19,F7*O$18))</f>
        <v>780000</v>
      </c>
      <c r="H7" s="68">
        <v>780000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256"/>
      <c r="B8" s="64">
        <f>B7+1</f>
        <v>2</v>
      </c>
      <c r="C8" s="65"/>
      <c r="D8" s="75"/>
      <c r="E8" s="193" t="s">
        <v>36</v>
      </c>
      <c r="F8" s="68"/>
      <c r="G8" s="68">
        <f t="shared" ref="G8:G10" si="0">IF(F8="",0,IF(F8&gt;1700000,F8*O$19,F8*O$18))</f>
        <v>0</v>
      </c>
      <c r="H8" s="68"/>
      <c r="I8" s="68">
        <f t="shared" ref="I8:I10" si="1">G8-H8</f>
        <v>0</v>
      </c>
      <c r="J8" s="69"/>
      <c r="K8" s="76"/>
      <c r="L8" s="76"/>
      <c r="N8" s="82" t="s">
        <v>72</v>
      </c>
    </row>
    <row r="9" spans="1:16" ht="16.5" customHeight="1" x14ac:dyDescent="0.25">
      <c r="A9" s="256"/>
      <c r="B9" s="64">
        <f t="shared" ref="B9:B10" si="2">B8+1</f>
        <v>3</v>
      </c>
      <c r="C9" s="65" t="s">
        <v>195</v>
      </c>
      <c r="D9" s="66"/>
      <c r="E9" s="192" t="s">
        <v>83</v>
      </c>
      <c r="F9" s="68">
        <v>1150000</v>
      </c>
      <c r="G9" s="68">
        <f t="shared" si="0"/>
        <v>690000</v>
      </c>
      <c r="H9" s="74">
        <v>690000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256"/>
      <c r="B10" s="64">
        <f t="shared" si="2"/>
        <v>4</v>
      </c>
      <c r="C10" s="71" t="s">
        <v>135</v>
      </c>
      <c r="D10" s="73"/>
      <c r="E10" s="194" t="s">
        <v>73</v>
      </c>
      <c r="F10" s="74">
        <v>1000000</v>
      </c>
      <c r="G10" s="68">
        <f t="shared" si="0"/>
        <v>600000</v>
      </c>
      <c r="H10" s="74">
        <v>600000</v>
      </c>
      <c r="I10" s="68">
        <f t="shared" si="1"/>
        <v>0</v>
      </c>
      <c r="J10" s="88" t="s">
        <v>26</v>
      </c>
      <c r="K10" s="76"/>
      <c r="L10" s="76"/>
      <c r="N10" s="261" t="s">
        <v>29</v>
      </c>
      <c r="O10" s="261"/>
      <c r="P10" s="262">
        <f>SUM(F7:F999)</f>
        <v>25582000</v>
      </c>
    </row>
    <row r="11" spans="1:16" ht="16.5" customHeight="1" x14ac:dyDescent="0.25">
      <c r="A11" s="257"/>
      <c r="C11" s="175"/>
      <c r="D11" s="175"/>
      <c r="E11" s="195"/>
      <c r="F11" s="176"/>
      <c r="G11" s="176"/>
      <c r="H11" s="176"/>
      <c r="I11" s="176"/>
      <c r="J11" s="175"/>
      <c r="K11" s="79"/>
      <c r="L11" s="79"/>
      <c r="N11" s="261"/>
      <c r="O11" s="261"/>
      <c r="P11" s="262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63" t="s">
        <v>143</v>
      </c>
      <c r="O12" s="263"/>
      <c r="P12" s="262">
        <f>SUM(G7:G999)</f>
        <v>13354000</v>
      </c>
    </row>
    <row r="13" spans="1:16" ht="22.5" customHeight="1" x14ac:dyDescent="0.25">
      <c r="A13" s="259" t="s">
        <v>118</v>
      </c>
      <c r="B13" s="64">
        <v>1</v>
      </c>
      <c r="C13" s="77" t="s">
        <v>40</v>
      </c>
      <c r="D13" s="66"/>
      <c r="E13" s="192" t="s">
        <v>14</v>
      </c>
      <c r="F13" s="68">
        <v>1720000</v>
      </c>
      <c r="G13" s="68">
        <f>IF(F13="",0,IF(F13&gt;=1700000,F13*O$19,F13*O$18))</f>
        <v>860000</v>
      </c>
      <c r="H13" s="68">
        <v>860000</v>
      </c>
      <c r="I13" s="68">
        <f t="shared" ref="I13:I27" si="3">G13-H13</f>
        <v>0</v>
      </c>
      <c r="J13" s="87" t="s">
        <v>69</v>
      </c>
      <c r="K13" s="76"/>
      <c r="L13" s="76"/>
      <c r="N13" s="263"/>
      <c r="O13" s="263"/>
      <c r="P13" s="262"/>
    </row>
    <row r="14" spans="1:16" ht="16.5" customHeight="1" x14ac:dyDescent="0.25">
      <c r="A14" s="260"/>
      <c r="B14" s="64">
        <f>B13+1</f>
        <v>2</v>
      </c>
      <c r="C14" s="78" t="s">
        <v>67</v>
      </c>
      <c r="D14" s="73"/>
      <c r="E14" s="194" t="s">
        <v>206</v>
      </c>
      <c r="F14" s="74">
        <v>2380000</v>
      </c>
      <c r="G14" s="68">
        <f t="shared" ref="G14:G20" si="4">IF(F14="",0,IF(F14&gt;=1700000,F14*O$19,F14*O$18))</f>
        <v>1190000</v>
      </c>
      <c r="H14" s="74">
        <v>1190000</v>
      </c>
      <c r="I14" s="68">
        <f t="shared" si="3"/>
        <v>0</v>
      </c>
      <c r="J14" s="87" t="s">
        <v>69</v>
      </c>
      <c r="K14" s="79"/>
      <c r="L14" s="79"/>
      <c r="N14" s="263"/>
      <c r="O14" s="263"/>
      <c r="P14" s="262"/>
    </row>
    <row r="15" spans="1:16" ht="22.5" customHeight="1" x14ac:dyDescent="0.3">
      <c r="A15" s="260"/>
      <c r="B15" s="64">
        <f t="shared" ref="B15:B30" si="5">B14+1</f>
        <v>3</v>
      </c>
      <c r="C15" s="183" t="s">
        <v>43</v>
      </c>
      <c r="D15" s="184"/>
      <c r="E15" s="196" t="s">
        <v>22</v>
      </c>
      <c r="F15" s="119"/>
      <c r="G15" s="119">
        <f t="shared" si="4"/>
        <v>0</v>
      </c>
      <c r="H15" s="112"/>
      <c r="I15" s="119">
        <f t="shared" si="3"/>
        <v>0</v>
      </c>
      <c r="J15" s="190"/>
      <c r="K15" s="188" t="s">
        <v>210</v>
      </c>
      <c r="L15" s="85"/>
      <c r="N15" s="264" t="s">
        <v>117</v>
      </c>
      <c r="O15" s="264"/>
      <c r="P15" s="160">
        <f>SUM(H7:H999)</f>
        <v>13332000</v>
      </c>
    </row>
    <row r="16" spans="1:16" ht="16.5" customHeight="1" x14ac:dyDescent="0.25">
      <c r="A16" s="260"/>
      <c r="B16" s="64">
        <f t="shared" si="5"/>
        <v>4</v>
      </c>
      <c r="C16" s="77"/>
      <c r="D16" s="75"/>
      <c r="E16" s="193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60"/>
      <c r="B17" s="64">
        <f t="shared" si="5"/>
        <v>5</v>
      </c>
      <c r="C17" s="77" t="s">
        <v>79</v>
      </c>
      <c r="D17" s="75"/>
      <c r="E17" s="193" t="s">
        <v>27</v>
      </c>
      <c r="F17" s="68">
        <v>3497000</v>
      </c>
      <c r="G17" s="68">
        <f t="shared" si="4"/>
        <v>1748500</v>
      </c>
      <c r="H17" s="74">
        <v>1749000</v>
      </c>
      <c r="I17" s="68">
        <f t="shared" si="3"/>
        <v>-500</v>
      </c>
      <c r="J17" s="87" t="s">
        <v>69</v>
      </c>
      <c r="K17" s="80"/>
      <c r="L17" s="85"/>
    </row>
    <row r="18" spans="1:17" ht="16.5" customHeight="1" x14ac:dyDescent="0.3">
      <c r="A18" s="260"/>
      <c r="B18" s="64">
        <f t="shared" si="5"/>
        <v>6</v>
      </c>
      <c r="C18" s="77" t="s">
        <v>208</v>
      </c>
      <c r="D18" s="75"/>
      <c r="E18" s="193" t="s">
        <v>57</v>
      </c>
      <c r="F18" s="68">
        <v>380000</v>
      </c>
      <c r="G18" s="68">
        <f>IF(F18="",0,IF(F18&gt;=1700000,F18*O$19,F18*O$18))</f>
        <v>228000</v>
      </c>
      <c r="H18" s="74">
        <v>228000</v>
      </c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60"/>
      <c r="B19" s="64">
        <f t="shared" si="5"/>
        <v>7</v>
      </c>
      <c r="C19" s="77" t="s">
        <v>52</v>
      </c>
      <c r="D19" s="64"/>
      <c r="E19" s="80" t="s">
        <v>205</v>
      </c>
      <c r="F19" s="68">
        <v>1750000</v>
      </c>
      <c r="G19" s="68">
        <f t="shared" si="4"/>
        <v>875000</v>
      </c>
      <c r="H19" s="68">
        <v>860000</v>
      </c>
      <c r="I19" s="68">
        <f t="shared" si="3"/>
        <v>15000</v>
      </c>
      <c r="J19" s="87" t="s">
        <v>69</v>
      </c>
      <c r="K19" s="76" t="s">
        <v>212</v>
      </c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60"/>
      <c r="B20" s="64">
        <f t="shared" si="5"/>
        <v>8</v>
      </c>
      <c r="C20" s="78" t="s">
        <v>92</v>
      </c>
      <c r="D20" s="70"/>
      <c r="E20" s="80" t="s">
        <v>82</v>
      </c>
      <c r="F20" s="74">
        <v>3000000</v>
      </c>
      <c r="G20" s="68">
        <f t="shared" si="4"/>
        <v>1500000</v>
      </c>
      <c r="H20" s="68">
        <v>1500000</v>
      </c>
      <c r="I20" s="68">
        <f t="shared" si="3"/>
        <v>0</v>
      </c>
      <c r="J20" s="87" t="s">
        <v>69</v>
      </c>
      <c r="K20" s="79"/>
      <c r="L20" s="76"/>
    </row>
    <row r="21" spans="1:17" ht="16.5" customHeight="1" x14ac:dyDescent="0.25">
      <c r="A21" s="260"/>
      <c r="B21" s="64">
        <f t="shared" si="5"/>
        <v>9</v>
      </c>
      <c r="C21" s="185" t="s">
        <v>203</v>
      </c>
      <c r="D21" s="186"/>
      <c r="E21" s="187" t="s">
        <v>93</v>
      </c>
      <c r="F21" s="112"/>
      <c r="G21" s="119">
        <f>IF(F21="",0,IF(F21&gt;=1700000,F21*O$19,F21*O$18))</f>
        <v>0</v>
      </c>
      <c r="H21" s="112"/>
      <c r="I21" s="119">
        <f t="shared" si="3"/>
        <v>0</v>
      </c>
      <c r="J21" s="190"/>
      <c r="K21" s="189" t="s">
        <v>211</v>
      </c>
      <c r="L21" s="76"/>
    </row>
    <row r="22" spans="1:17" ht="16.5" customHeight="1" x14ac:dyDescent="0.25">
      <c r="A22" s="260"/>
      <c r="B22" s="64">
        <f t="shared" si="5"/>
        <v>10</v>
      </c>
      <c r="C22" s="177"/>
      <c r="D22" s="177"/>
      <c r="E22" s="19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91"/>
      <c r="L22" s="105"/>
    </row>
    <row r="23" spans="1:17" ht="16.5" customHeight="1" x14ac:dyDescent="0.25">
      <c r="A23" s="260"/>
      <c r="B23" s="64">
        <f t="shared" si="5"/>
        <v>11</v>
      </c>
      <c r="C23" s="65" t="s">
        <v>139</v>
      </c>
      <c r="D23" s="66"/>
      <c r="E23" s="193" t="s">
        <v>25</v>
      </c>
      <c r="F23" s="133">
        <v>1730000</v>
      </c>
      <c r="G23" s="68">
        <f t="shared" ref="G23:G26" si="6">IF(F23="",0,IF(F23&gt;=1700000,F23*O$19,F23*O$18))</f>
        <v>865000</v>
      </c>
      <c r="H23" s="132">
        <v>865000</v>
      </c>
      <c r="I23" s="68">
        <v>0</v>
      </c>
      <c r="J23" s="87" t="s">
        <v>69</v>
      </c>
      <c r="K23" s="191"/>
      <c r="L23" s="79"/>
    </row>
    <row r="24" spans="1:17" ht="16.5" customHeight="1" x14ac:dyDescent="0.25">
      <c r="A24" s="260"/>
      <c r="B24" s="64">
        <f t="shared" si="5"/>
        <v>12</v>
      </c>
      <c r="C24" s="65" t="s">
        <v>148</v>
      </c>
      <c r="D24" s="75"/>
      <c r="E24" s="80" t="s">
        <v>207</v>
      </c>
      <c r="F24" s="133">
        <v>3815000</v>
      </c>
      <c r="G24" s="68">
        <f t="shared" si="6"/>
        <v>1907500</v>
      </c>
      <c r="H24" s="133">
        <v>1900000</v>
      </c>
      <c r="I24" s="68">
        <f>G24-H24</f>
        <v>7500</v>
      </c>
      <c r="J24" s="87" t="s">
        <v>69</v>
      </c>
      <c r="K24" s="191" t="s">
        <v>213</v>
      </c>
      <c r="L24" s="105"/>
    </row>
    <row r="25" spans="1:17" ht="16.5" x14ac:dyDescent="0.25">
      <c r="A25" s="260"/>
      <c r="B25" s="64">
        <f t="shared" si="5"/>
        <v>13</v>
      </c>
      <c r="C25" s="65" t="s">
        <v>214</v>
      </c>
      <c r="D25" s="73"/>
      <c r="E25" s="193" t="s">
        <v>56</v>
      </c>
      <c r="F25" s="68">
        <v>660000</v>
      </c>
      <c r="G25" s="68">
        <f>IF(F25="",0,IF(F25&gt;=1700000,F25*O$19,F25*O$18))</f>
        <v>396000</v>
      </c>
      <c r="H25" s="68">
        <v>396000</v>
      </c>
      <c r="I25" s="68">
        <f t="shared" si="3"/>
        <v>0</v>
      </c>
      <c r="J25" s="87"/>
      <c r="K25" s="191"/>
      <c r="L25" s="105"/>
    </row>
    <row r="26" spans="1:17" ht="22.15" customHeight="1" x14ac:dyDescent="0.25">
      <c r="A26" s="260"/>
      <c r="B26" s="64">
        <f t="shared" si="5"/>
        <v>14</v>
      </c>
      <c r="C26" s="77" t="s">
        <v>41</v>
      </c>
      <c r="D26" s="66"/>
      <c r="E26" s="192" t="s">
        <v>17</v>
      </c>
      <c r="F26" s="179">
        <v>1140000</v>
      </c>
      <c r="G26" s="68">
        <f t="shared" si="6"/>
        <v>684000</v>
      </c>
      <c r="H26" s="133">
        <v>684000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60"/>
      <c r="B27" s="64">
        <f t="shared" si="5"/>
        <v>15</v>
      </c>
      <c r="C27" s="78" t="s">
        <v>131</v>
      </c>
      <c r="D27" s="177"/>
      <c r="E27" s="193" t="s">
        <v>168</v>
      </c>
      <c r="F27" s="74">
        <v>2060000</v>
      </c>
      <c r="G27" s="68">
        <f>IF(F27="",0,IF(F27&gt;=1700000,F27*O$19,F27*O$18))</f>
        <v>1030000</v>
      </c>
      <c r="H27" s="74">
        <v>1030000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60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tabSelected="1" zoomScale="84" zoomScaleNormal="84" workbookViewId="0">
      <selection activeCell="H10" sqref="H10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6" ht="30.75" x14ac:dyDescent="0.25">
      <c r="C4" s="117"/>
      <c r="D4" s="117"/>
      <c r="E4" s="117"/>
      <c r="G4" s="116" t="s">
        <v>215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23.25" customHeight="1" x14ac:dyDescent="0.25">
      <c r="A7" s="255" t="s">
        <v>119</v>
      </c>
      <c r="B7" s="64">
        <v>1</v>
      </c>
      <c r="C7" s="65" t="s">
        <v>132</v>
      </c>
      <c r="D7" s="66"/>
      <c r="E7" s="122" t="s">
        <v>93</v>
      </c>
      <c r="F7" s="68">
        <v>1200000</v>
      </c>
      <c r="G7" s="68">
        <f>IF(F7="",0,IF(F7&gt;1700000,F7*O$19,F7*O$18))</f>
        <v>720000</v>
      </c>
      <c r="H7" s="68">
        <v>720000</v>
      </c>
      <c r="I7" s="68">
        <f>G7-H7</f>
        <v>0</v>
      </c>
      <c r="J7" s="88" t="s">
        <v>26</v>
      </c>
      <c r="K7" s="224"/>
      <c r="L7" s="76"/>
      <c r="N7" s="88" t="s">
        <v>26</v>
      </c>
    </row>
    <row r="8" spans="1:16" ht="16.5" customHeight="1" x14ac:dyDescent="0.25">
      <c r="A8" s="256"/>
      <c r="B8" s="64">
        <f>B7+1</f>
        <v>2</v>
      </c>
      <c r="C8" s="65" t="s">
        <v>188</v>
      </c>
      <c r="D8" s="75"/>
      <c r="E8" s="193" t="s">
        <v>73</v>
      </c>
      <c r="F8" s="68">
        <v>900000</v>
      </c>
      <c r="G8" s="68">
        <f>IF(F8="",0,IF(F8&gt;1700000,F8*O$19,F8*O$18))</f>
        <v>540000</v>
      </c>
      <c r="H8" s="68">
        <v>450000</v>
      </c>
      <c r="I8" s="68">
        <f t="shared" ref="I8:I10" si="0">G8-H8</f>
        <v>90000</v>
      </c>
      <c r="J8" s="88" t="s">
        <v>26</v>
      </c>
      <c r="K8" s="225"/>
      <c r="L8" s="76"/>
      <c r="N8" s="82" t="s">
        <v>72</v>
      </c>
    </row>
    <row r="9" spans="1:16" ht="16.5" customHeight="1" x14ac:dyDescent="0.25">
      <c r="A9" s="256"/>
      <c r="B9" s="64">
        <f t="shared" ref="B9:B18" si="1">B8+1</f>
        <v>3</v>
      </c>
      <c r="C9" s="65" t="s">
        <v>195</v>
      </c>
      <c r="D9" s="66"/>
      <c r="E9" s="192" t="s">
        <v>83</v>
      </c>
      <c r="F9" s="68">
        <v>800000</v>
      </c>
      <c r="G9" s="68">
        <f>IF(F9="",0,IF(F9&gt;1700000,F9*O$19,F9*O$18))</f>
        <v>480000</v>
      </c>
      <c r="H9" s="74">
        <v>500000</v>
      </c>
      <c r="I9" s="68">
        <v>0</v>
      </c>
      <c r="J9" s="88" t="s">
        <v>26</v>
      </c>
      <c r="K9" s="225"/>
      <c r="L9" s="79"/>
    </row>
    <row r="10" spans="1:16" ht="16.5" customHeight="1" x14ac:dyDescent="0.25">
      <c r="A10" s="256"/>
      <c r="B10" s="64">
        <f>B9+1</f>
        <v>4</v>
      </c>
      <c r="C10" s="71" t="s">
        <v>135</v>
      </c>
      <c r="D10" s="73"/>
      <c r="E10" s="122" t="s">
        <v>93</v>
      </c>
      <c r="F10" s="74">
        <v>750000</v>
      </c>
      <c r="G10" s="68">
        <f>IF(F10="",0,IF(F10&gt;1700000,F10*O$19,F10*O$18))</f>
        <v>450000</v>
      </c>
      <c r="H10" s="74"/>
      <c r="I10" s="68">
        <f t="shared" si="0"/>
        <v>450000</v>
      </c>
      <c r="J10" s="82" t="s">
        <v>72</v>
      </c>
      <c r="K10" s="225"/>
      <c r="L10" s="76"/>
      <c r="N10" s="261" t="s">
        <v>29</v>
      </c>
      <c r="O10" s="261"/>
      <c r="P10" s="262">
        <f>SUM(F7:F1006)</f>
        <v>27514000</v>
      </c>
    </row>
    <row r="11" spans="1:16" ht="16.5" customHeight="1" x14ac:dyDescent="0.25">
      <c r="A11" s="256"/>
      <c r="B11" s="64">
        <f t="shared" si="1"/>
        <v>5</v>
      </c>
      <c r="C11" s="71" t="s">
        <v>220</v>
      </c>
      <c r="D11" s="73"/>
      <c r="E11" s="122" t="s">
        <v>93</v>
      </c>
      <c r="F11" s="74"/>
      <c r="G11" s="68">
        <f>IF(F11="",0,IF(F11&gt;1700000,F11*O$19,F11*O$18))</f>
        <v>0</v>
      </c>
      <c r="H11" s="74"/>
      <c r="I11" s="68">
        <f t="shared" ref="I11:I18" si="2">G11-H11</f>
        <v>0</v>
      </c>
      <c r="J11" s="131"/>
      <c r="K11" s="240" t="s">
        <v>221</v>
      </c>
      <c r="L11" s="76"/>
      <c r="N11" s="261"/>
      <c r="O11" s="261"/>
      <c r="P11" s="262"/>
    </row>
    <row r="12" spans="1:16" ht="16.5" customHeight="1" x14ac:dyDescent="0.25">
      <c r="A12" s="256"/>
      <c r="B12" s="64">
        <f t="shared" si="1"/>
        <v>6</v>
      </c>
      <c r="C12" s="71" t="s">
        <v>147</v>
      </c>
      <c r="D12" s="73"/>
      <c r="E12" s="122" t="s">
        <v>93</v>
      </c>
      <c r="F12" s="74"/>
      <c r="G12" s="68">
        <f t="shared" ref="G12:G18" si="3">IF(F12="",0,IF(F12&gt;1700000,F12*O$19,F12*O$18))</f>
        <v>0</v>
      </c>
      <c r="H12" s="74"/>
      <c r="I12" s="68">
        <f t="shared" si="2"/>
        <v>0</v>
      </c>
      <c r="J12" s="131"/>
      <c r="K12" s="225"/>
      <c r="L12" s="76"/>
      <c r="N12" s="263" t="s">
        <v>143</v>
      </c>
      <c r="O12" s="263"/>
      <c r="P12" s="262">
        <f>SUM(G7:G1006)</f>
        <v>14849900</v>
      </c>
    </row>
    <row r="13" spans="1:16" ht="22.5" customHeight="1" x14ac:dyDescent="0.25">
      <c r="A13" s="256"/>
      <c r="B13" s="64">
        <f t="shared" si="1"/>
        <v>7</v>
      </c>
      <c r="C13" s="71" t="s">
        <v>147</v>
      </c>
      <c r="D13" s="73"/>
      <c r="E13" s="122" t="s">
        <v>93</v>
      </c>
      <c r="F13" s="74"/>
      <c r="G13" s="68">
        <f t="shared" si="3"/>
        <v>0</v>
      </c>
      <c r="H13" s="74"/>
      <c r="I13" s="68">
        <f t="shared" si="2"/>
        <v>0</v>
      </c>
      <c r="J13" s="131"/>
      <c r="K13" s="225"/>
      <c r="L13" s="76"/>
      <c r="N13" s="263"/>
      <c r="O13" s="263"/>
      <c r="P13" s="262"/>
    </row>
    <row r="14" spans="1:16" ht="16.5" customHeight="1" x14ac:dyDescent="0.25">
      <c r="A14" s="256"/>
      <c r="B14" s="64">
        <f t="shared" si="1"/>
        <v>8</v>
      </c>
      <c r="C14" s="71" t="s">
        <v>147</v>
      </c>
      <c r="D14" s="73"/>
      <c r="E14" s="122" t="s">
        <v>93</v>
      </c>
      <c r="F14" s="74"/>
      <c r="G14" s="68">
        <f t="shared" si="3"/>
        <v>0</v>
      </c>
      <c r="H14" s="74"/>
      <c r="I14" s="68">
        <f t="shared" si="2"/>
        <v>0</v>
      </c>
      <c r="J14" s="131"/>
      <c r="K14" s="225"/>
      <c r="L14" s="76"/>
      <c r="N14" s="263"/>
      <c r="O14" s="263"/>
      <c r="P14" s="262"/>
    </row>
    <row r="15" spans="1:16" ht="22.5" customHeight="1" x14ac:dyDescent="0.3">
      <c r="A15" s="256"/>
      <c r="B15" s="64">
        <f>B14+1</f>
        <v>9</v>
      </c>
      <c r="C15" s="71" t="s">
        <v>147</v>
      </c>
      <c r="D15" s="73"/>
      <c r="E15" s="122" t="s">
        <v>93</v>
      </c>
      <c r="F15" s="74"/>
      <c r="G15" s="68">
        <f t="shared" si="3"/>
        <v>0</v>
      </c>
      <c r="H15" s="74"/>
      <c r="I15" s="68">
        <f t="shared" si="2"/>
        <v>0</v>
      </c>
      <c r="J15" s="131"/>
      <c r="K15" s="225"/>
      <c r="L15" s="76"/>
      <c r="N15" s="264" t="s">
        <v>117</v>
      </c>
      <c r="O15" s="264"/>
      <c r="P15" s="160">
        <f>SUM(H7:H1006)</f>
        <v>13888000</v>
      </c>
    </row>
    <row r="16" spans="1:16" ht="16.5" customHeight="1" x14ac:dyDescent="0.25">
      <c r="A16" s="256"/>
      <c r="B16" s="64">
        <f t="shared" si="1"/>
        <v>10</v>
      </c>
      <c r="C16" s="71" t="s">
        <v>147</v>
      </c>
      <c r="D16" s="73"/>
      <c r="E16" s="122" t="s">
        <v>93</v>
      </c>
      <c r="F16" s="74"/>
      <c r="G16" s="68">
        <f t="shared" si="3"/>
        <v>0</v>
      </c>
      <c r="H16" s="74"/>
      <c r="I16" s="68">
        <f t="shared" si="2"/>
        <v>0</v>
      </c>
      <c r="J16" s="131"/>
      <c r="K16" s="225"/>
      <c r="L16" s="76"/>
    </row>
    <row r="17" spans="1:17" ht="16.5" customHeight="1" x14ac:dyDescent="0.25">
      <c r="A17" s="256"/>
      <c r="B17" s="64">
        <f t="shared" si="1"/>
        <v>11</v>
      </c>
      <c r="C17" s="71" t="s">
        <v>147</v>
      </c>
      <c r="D17" s="73"/>
      <c r="E17" s="122" t="s">
        <v>93</v>
      </c>
      <c r="F17" s="74"/>
      <c r="G17" s="68">
        <f t="shared" si="3"/>
        <v>0</v>
      </c>
      <c r="H17" s="74"/>
      <c r="I17" s="68">
        <f t="shared" si="2"/>
        <v>0</v>
      </c>
      <c r="J17" s="131"/>
      <c r="K17" s="225"/>
      <c r="L17" s="76"/>
    </row>
    <row r="18" spans="1:17" ht="16.5" customHeight="1" x14ac:dyDescent="0.3">
      <c r="A18" s="256"/>
      <c r="B18" s="64">
        <f t="shared" si="1"/>
        <v>12</v>
      </c>
      <c r="C18" s="71" t="s">
        <v>147</v>
      </c>
      <c r="D18" s="73"/>
      <c r="E18" s="122" t="s">
        <v>93</v>
      </c>
      <c r="F18" s="74"/>
      <c r="G18" s="68">
        <f t="shared" si="3"/>
        <v>0</v>
      </c>
      <c r="H18" s="74"/>
      <c r="I18" s="68">
        <f t="shared" si="2"/>
        <v>0</v>
      </c>
      <c r="J18" s="131"/>
      <c r="K18" s="225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57"/>
      <c r="B19" s="89"/>
      <c r="C19" s="90"/>
      <c r="D19" s="89"/>
      <c r="E19" s="93"/>
      <c r="F19" s="94"/>
      <c r="G19" s="94"/>
      <c r="H19" s="147"/>
      <c r="I19" s="123"/>
      <c r="J19" s="96"/>
      <c r="K19" s="226"/>
      <c r="L19" s="97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65" t="s">
        <v>118</v>
      </c>
      <c r="B20" s="64">
        <v>1</v>
      </c>
      <c r="C20" s="198" t="s">
        <v>40</v>
      </c>
      <c r="D20" s="199"/>
      <c r="E20" s="199" t="s">
        <v>14</v>
      </c>
      <c r="F20" s="200">
        <v>1900000</v>
      </c>
      <c r="G20" s="200">
        <f t="shared" ref="G20:G47" si="4">IF(F20="",0,IF(F20&gt;=1700000,F20*O$19,F20*O$18))</f>
        <v>950000</v>
      </c>
      <c r="H20" s="200">
        <v>950000</v>
      </c>
      <c r="I20" s="200">
        <f t="shared" ref="I20:I37" si="5">G20-H20</f>
        <v>0</v>
      </c>
      <c r="J20" s="201" t="s">
        <v>69</v>
      </c>
      <c r="K20" s="228" t="s">
        <v>218</v>
      </c>
      <c r="L20" s="202"/>
    </row>
    <row r="21" spans="1:17" ht="16.5" customHeight="1" x14ac:dyDescent="0.25">
      <c r="A21" s="266"/>
      <c r="B21" s="64">
        <f>B20+1</f>
        <v>2</v>
      </c>
      <c r="C21" s="203" t="s">
        <v>67</v>
      </c>
      <c r="D21" s="204"/>
      <c r="E21" s="204" t="s">
        <v>206</v>
      </c>
      <c r="F21" s="205">
        <v>1304000</v>
      </c>
      <c r="G21" s="200">
        <f t="shared" si="4"/>
        <v>782400</v>
      </c>
      <c r="H21" s="205">
        <v>783000</v>
      </c>
      <c r="I21" s="200">
        <f t="shared" si="5"/>
        <v>-600</v>
      </c>
      <c r="J21" s="201" t="s">
        <v>69</v>
      </c>
      <c r="K21" s="228" t="s">
        <v>218</v>
      </c>
      <c r="L21" s="206"/>
    </row>
    <row r="22" spans="1:17" ht="16.5" customHeight="1" x14ac:dyDescent="0.25">
      <c r="A22" s="266"/>
      <c r="B22" s="64">
        <f t="shared" ref="B22:B47" si="6">B21+1</f>
        <v>3</v>
      </c>
      <c r="C22" s="198" t="s">
        <v>43</v>
      </c>
      <c r="D22" s="207"/>
      <c r="E22" s="207" t="s">
        <v>22</v>
      </c>
      <c r="F22" s="200">
        <v>1720000</v>
      </c>
      <c r="G22" s="200">
        <f t="shared" si="4"/>
        <v>860000</v>
      </c>
      <c r="H22" s="205">
        <v>860000</v>
      </c>
      <c r="I22" s="200">
        <f t="shared" si="5"/>
        <v>0</v>
      </c>
      <c r="J22" s="201" t="s">
        <v>69</v>
      </c>
      <c r="K22" s="228" t="s">
        <v>218</v>
      </c>
      <c r="L22" s="208"/>
    </row>
    <row r="23" spans="1:17" ht="16.5" customHeight="1" x14ac:dyDescent="0.25">
      <c r="A23" s="266"/>
      <c r="B23" s="64">
        <f t="shared" si="6"/>
        <v>4</v>
      </c>
      <c r="C23" s="233"/>
      <c r="D23" s="234"/>
      <c r="E23" s="234"/>
      <c r="F23" s="235"/>
      <c r="G23" s="235">
        <f t="shared" si="4"/>
        <v>0</v>
      </c>
      <c r="H23" s="235"/>
      <c r="I23" s="235">
        <f t="shared" si="5"/>
        <v>0</v>
      </c>
      <c r="J23" s="236"/>
      <c r="K23" s="237"/>
      <c r="L23" s="202"/>
    </row>
    <row r="24" spans="1:17" ht="16.5" customHeight="1" x14ac:dyDescent="0.25">
      <c r="A24" s="266"/>
      <c r="B24" s="64">
        <f t="shared" si="6"/>
        <v>5</v>
      </c>
      <c r="C24" s="198" t="s">
        <v>79</v>
      </c>
      <c r="D24" s="207"/>
      <c r="E24" s="207" t="s">
        <v>27</v>
      </c>
      <c r="F24" s="200">
        <v>1756000</v>
      </c>
      <c r="G24" s="200">
        <f t="shared" si="4"/>
        <v>878000</v>
      </c>
      <c r="H24" s="205">
        <v>878000</v>
      </c>
      <c r="I24" s="200">
        <f t="shared" si="5"/>
        <v>0</v>
      </c>
      <c r="J24" s="201" t="s">
        <v>69</v>
      </c>
      <c r="K24" s="229" t="s">
        <v>218</v>
      </c>
      <c r="L24" s="208"/>
    </row>
    <row r="25" spans="1:17" ht="16.5" customHeight="1" x14ac:dyDescent="0.25">
      <c r="A25" s="266"/>
      <c r="B25" s="64">
        <f t="shared" si="6"/>
        <v>6</v>
      </c>
      <c r="C25" s="198" t="s">
        <v>208</v>
      </c>
      <c r="D25" s="207"/>
      <c r="E25" s="207" t="s">
        <v>57</v>
      </c>
      <c r="F25" s="200">
        <v>2901000</v>
      </c>
      <c r="G25" s="200">
        <f t="shared" si="4"/>
        <v>1450500</v>
      </c>
      <c r="H25" s="205">
        <v>1451000</v>
      </c>
      <c r="I25" s="200">
        <f t="shared" si="5"/>
        <v>-500</v>
      </c>
      <c r="J25" s="201" t="s">
        <v>69</v>
      </c>
      <c r="K25" s="210"/>
      <c r="L25" s="202"/>
    </row>
    <row r="26" spans="1:17" ht="22.15" customHeight="1" x14ac:dyDescent="0.25">
      <c r="A26" s="266"/>
      <c r="B26" s="64">
        <f t="shared" si="6"/>
        <v>7</v>
      </c>
      <c r="C26" s="198" t="s">
        <v>52</v>
      </c>
      <c r="D26" s="202"/>
      <c r="E26" s="202" t="s">
        <v>205</v>
      </c>
      <c r="F26" s="200">
        <v>1830000</v>
      </c>
      <c r="G26" s="200">
        <f t="shared" si="4"/>
        <v>915000</v>
      </c>
      <c r="H26" s="200">
        <v>920000</v>
      </c>
      <c r="I26" s="200">
        <f t="shared" si="5"/>
        <v>-5000</v>
      </c>
      <c r="J26" s="201" t="s">
        <v>69</v>
      </c>
      <c r="K26" s="229" t="s">
        <v>218</v>
      </c>
      <c r="L26" s="202"/>
    </row>
    <row r="27" spans="1:17" ht="20.45" customHeight="1" x14ac:dyDescent="0.25">
      <c r="A27" s="266"/>
      <c r="B27" s="64">
        <f t="shared" si="6"/>
        <v>8</v>
      </c>
      <c r="C27" s="203" t="s">
        <v>92</v>
      </c>
      <c r="D27" s="206"/>
      <c r="E27" s="202" t="s">
        <v>82</v>
      </c>
      <c r="F27" s="205">
        <v>750000</v>
      </c>
      <c r="G27" s="200">
        <f t="shared" si="4"/>
        <v>450000</v>
      </c>
      <c r="H27" s="200"/>
      <c r="I27" s="200">
        <f t="shared" si="5"/>
        <v>450000</v>
      </c>
      <c r="J27" s="82" t="s">
        <v>72</v>
      </c>
      <c r="K27" s="211"/>
      <c r="L27" s="202"/>
    </row>
    <row r="28" spans="1:17" ht="16.5" customHeight="1" x14ac:dyDescent="0.3">
      <c r="A28" s="266"/>
      <c r="B28" s="64">
        <f t="shared" si="6"/>
        <v>9</v>
      </c>
      <c r="C28" s="203" t="s">
        <v>203</v>
      </c>
      <c r="D28" s="213"/>
      <c r="E28" s="212" t="s">
        <v>93</v>
      </c>
      <c r="F28" s="205">
        <v>1010000</v>
      </c>
      <c r="G28" s="200">
        <f t="shared" si="4"/>
        <v>606000</v>
      </c>
      <c r="H28" s="205">
        <v>606000</v>
      </c>
      <c r="I28" s="200">
        <f t="shared" si="5"/>
        <v>0</v>
      </c>
      <c r="J28" s="201" t="s">
        <v>69</v>
      </c>
      <c r="K28" s="219"/>
      <c r="L28" s="202"/>
    </row>
    <row r="29" spans="1:17" ht="16.5" customHeight="1" x14ac:dyDescent="0.3">
      <c r="A29" s="266"/>
      <c r="B29" s="64">
        <f t="shared" si="6"/>
        <v>10</v>
      </c>
      <c r="C29" s="238"/>
      <c r="D29" s="238"/>
      <c r="E29" s="238"/>
      <c r="F29" s="239"/>
      <c r="G29" s="235">
        <f t="shared" si="4"/>
        <v>0</v>
      </c>
      <c r="H29" s="239"/>
      <c r="I29" s="235">
        <f t="shared" si="5"/>
        <v>0</v>
      </c>
      <c r="J29" s="238"/>
      <c r="K29" s="214"/>
      <c r="L29" s="222"/>
    </row>
    <row r="30" spans="1:17" ht="16.5" customHeight="1" x14ac:dyDescent="0.3">
      <c r="A30" s="266"/>
      <c r="B30" s="64">
        <f t="shared" si="6"/>
        <v>11</v>
      </c>
      <c r="C30" s="215" t="s">
        <v>139</v>
      </c>
      <c r="D30" s="199"/>
      <c r="E30" s="207" t="s">
        <v>25</v>
      </c>
      <c r="F30" s="216">
        <v>1758000</v>
      </c>
      <c r="G30" s="200">
        <f t="shared" si="4"/>
        <v>879000</v>
      </c>
      <c r="H30" s="217">
        <v>879000</v>
      </c>
      <c r="I30" s="200">
        <f t="shared" si="5"/>
        <v>0</v>
      </c>
      <c r="J30" s="201" t="s">
        <v>69</v>
      </c>
      <c r="K30" s="230" t="s">
        <v>218</v>
      </c>
      <c r="L30" s="206"/>
    </row>
    <row r="31" spans="1:17" ht="15" customHeight="1" x14ac:dyDescent="0.3">
      <c r="A31" s="266"/>
      <c r="B31" s="64">
        <f t="shared" si="6"/>
        <v>12</v>
      </c>
      <c r="C31" s="215" t="s">
        <v>148</v>
      </c>
      <c r="D31" s="207"/>
      <c r="E31" s="202" t="s">
        <v>207</v>
      </c>
      <c r="F31" s="216">
        <v>2925000</v>
      </c>
      <c r="G31" s="200">
        <f t="shared" si="4"/>
        <v>1462500</v>
      </c>
      <c r="H31" s="216">
        <v>1462000</v>
      </c>
      <c r="I31" s="200">
        <f t="shared" si="5"/>
        <v>500</v>
      </c>
      <c r="J31" s="201" t="s">
        <v>69</v>
      </c>
      <c r="K31" s="230" t="s">
        <v>218</v>
      </c>
      <c r="L31" s="222"/>
    </row>
    <row r="32" spans="1:17" ht="15" customHeight="1" x14ac:dyDescent="0.3">
      <c r="A32" s="266"/>
      <c r="B32" s="64">
        <f t="shared" si="6"/>
        <v>13</v>
      </c>
      <c r="C32" s="215" t="s">
        <v>214</v>
      </c>
      <c r="D32" s="204"/>
      <c r="E32" s="207" t="s">
        <v>56</v>
      </c>
      <c r="F32" s="200">
        <v>990000</v>
      </c>
      <c r="G32" s="200">
        <f t="shared" si="4"/>
        <v>594000</v>
      </c>
      <c r="H32" s="200">
        <v>594000</v>
      </c>
      <c r="I32" s="200">
        <f t="shared" si="5"/>
        <v>0</v>
      </c>
      <c r="J32" s="201" t="s">
        <v>69</v>
      </c>
      <c r="K32" s="214"/>
      <c r="L32" s="222"/>
    </row>
    <row r="33" spans="1:12" ht="18.75" customHeight="1" x14ac:dyDescent="0.3">
      <c r="A33" s="266"/>
      <c r="B33" s="64">
        <f t="shared" si="6"/>
        <v>14</v>
      </c>
      <c r="C33" s="198" t="s">
        <v>41</v>
      </c>
      <c r="D33" s="199"/>
      <c r="E33" s="199" t="s">
        <v>17</v>
      </c>
      <c r="F33" s="218">
        <v>1795000</v>
      </c>
      <c r="G33" s="200">
        <f t="shared" si="4"/>
        <v>897500</v>
      </c>
      <c r="H33" s="216">
        <v>900000</v>
      </c>
      <c r="I33" s="200">
        <f t="shared" si="5"/>
        <v>-2500</v>
      </c>
      <c r="J33" s="201" t="s">
        <v>69</v>
      </c>
      <c r="K33" s="230" t="s">
        <v>218</v>
      </c>
      <c r="L33" s="202"/>
    </row>
    <row r="34" spans="1:12" ht="18.75" x14ac:dyDescent="0.3">
      <c r="A34" s="266"/>
      <c r="B34" s="64">
        <f t="shared" si="6"/>
        <v>15</v>
      </c>
      <c r="C34" s="203" t="s">
        <v>217</v>
      </c>
      <c r="D34" s="213"/>
      <c r="E34" s="207" t="s">
        <v>168</v>
      </c>
      <c r="F34" s="205">
        <v>255000</v>
      </c>
      <c r="G34" s="200">
        <f t="shared" si="4"/>
        <v>153000</v>
      </c>
      <c r="H34" s="205">
        <v>153000</v>
      </c>
      <c r="I34" s="200">
        <f t="shared" si="5"/>
        <v>0</v>
      </c>
      <c r="J34" s="201" t="s">
        <v>69</v>
      </c>
      <c r="K34" s="220"/>
      <c r="L34" s="202"/>
    </row>
    <row r="35" spans="1:12" ht="18.75" x14ac:dyDescent="0.3">
      <c r="A35" s="266"/>
      <c r="B35" s="64">
        <f t="shared" si="6"/>
        <v>16</v>
      </c>
      <c r="C35" s="222" t="s">
        <v>216</v>
      </c>
      <c r="D35" s="222"/>
      <c r="E35" s="207" t="s">
        <v>36</v>
      </c>
      <c r="F35" s="223">
        <v>1340000</v>
      </c>
      <c r="G35" s="200">
        <f t="shared" si="4"/>
        <v>804000</v>
      </c>
      <c r="H35" s="223">
        <v>804000</v>
      </c>
      <c r="I35" s="200">
        <f t="shared" si="5"/>
        <v>0</v>
      </c>
      <c r="J35" s="201" t="s">
        <v>69</v>
      </c>
      <c r="K35" s="221"/>
      <c r="L35" s="206"/>
    </row>
    <row r="36" spans="1:12" ht="18.75" x14ac:dyDescent="0.3">
      <c r="A36" s="266"/>
      <c r="B36" s="64">
        <f t="shared" si="6"/>
        <v>17</v>
      </c>
      <c r="C36" s="222" t="s">
        <v>219</v>
      </c>
      <c r="D36" s="105"/>
      <c r="E36" s="207" t="s">
        <v>16</v>
      </c>
      <c r="F36" s="223">
        <v>1630000</v>
      </c>
      <c r="G36" s="200">
        <f t="shared" si="4"/>
        <v>978000</v>
      </c>
      <c r="H36" s="223">
        <v>978000</v>
      </c>
      <c r="I36" s="200">
        <f t="shared" si="5"/>
        <v>0</v>
      </c>
      <c r="J36" s="201" t="s">
        <v>69</v>
      </c>
      <c r="K36" s="225"/>
      <c r="L36" s="76"/>
    </row>
    <row r="37" spans="1:12" ht="18.75" x14ac:dyDescent="0.3">
      <c r="A37" s="266"/>
      <c r="B37" s="64">
        <f t="shared" si="6"/>
        <v>18</v>
      </c>
      <c r="C37" s="231"/>
      <c r="D37" s="73"/>
      <c r="E37" s="73"/>
      <c r="F37" s="232"/>
      <c r="G37" s="200">
        <f t="shared" si="4"/>
        <v>0</v>
      </c>
      <c r="H37" s="216"/>
      <c r="I37" s="200">
        <f t="shared" si="5"/>
        <v>0</v>
      </c>
      <c r="J37" s="209"/>
      <c r="K37" s="227"/>
      <c r="L37" s="79"/>
    </row>
    <row r="38" spans="1:12" ht="18.75" x14ac:dyDescent="0.3">
      <c r="A38" s="266"/>
      <c r="B38" s="64">
        <f t="shared" si="6"/>
        <v>19</v>
      </c>
      <c r="C38" s="231"/>
      <c r="D38" s="73"/>
      <c r="E38" s="73"/>
      <c r="F38" s="232"/>
      <c r="G38" s="200">
        <f t="shared" si="4"/>
        <v>0</v>
      </c>
      <c r="H38" s="216"/>
      <c r="I38" s="200">
        <f t="shared" ref="I38:I40" si="7">G38-H38</f>
        <v>0</v>
      </c>
      <c r="J38" s="209"/>
      <c r="K38" s="227"/>
      <c r="L38" s="79"/>
    </row>
    <row r="39" spans="1:12" ht="18.75" x14ac:dyDescent="0.3">
      <c r="A39" s="266"/>
      <c r="B39" s="64">
        <f t="shared" si="6"/>
        <v>20</v>
      </c>
      <c r="C39" s="231"/>
      <c r="D39" s="73"/>
      <c r="E39" s="73"/>
      <c r="F39" s="232"/>
      <c r="G39" s="200">
        <f t="shared" si="4"/>
        <v>0</v>
      </c>
      <c r="H39" s="216"/>
      <c r="I39" s="200">
        <f t="shared" si="7"/>
        <v>0</v>
      </c>
      <c r="J39" s="209"/>
      <c r="K39" s="227"/>
      <c r="L39" s="79"/>
    </row>
    <row r="40" spans="1:12" ht="18.75" x14ac:dyDescent="0.3">
      <c r="A40" s="266"/>
      <c r="B40" s="64">
        <f t="shared" si="6"/>
        <v>21</v>
      </c>
      <c r="C40" s="231"/>
      <c r="D40" s="73"/>
      <c r="E40" s="73"/>
      <c r="F40" s="232"/>
      <c r="G40" s="200">
        <f t="shared" si="4"/>
        <v>0</v>
      </c>
      <c r="H40" s="216"/>
      <c r="I40" s="200">
        <f t="shared" si="7"/>
        <v>0</v>
      </c>
      <c r="J40" s="209"/>
      <c r="K40" s="227"/>
      <c r="L40" s="79"/>
    </row>
    <row r="41" spans="1:12" ht="18.75" x14ac:dyDescent="0.3">
      <c r="A41" s="266"/>
      <c r="B41" s="64">
        <f t="shared" si="6"/>
        <v>22</v>
      </c>
      <c r="C41" s="231"/>
      <c r="D41" s="73"/>
      <c r="E41" s="73"/>
      <c r="F41" s="232"/>
      <c r="G41" s="200">
        <f t="shared" si="4"/>
        <v>0</v>
      </c>
      <c r="H41" s="216"/>
      <c r="I41" s="200">
        <f t="shared" ref="I41:I43" si="8">G41-H41</f>
        <v>0</v>
      </c>
      <c r="J41" s="209"/>
      <c r="K41" s="227"/>
      <c r="L41" s="79"/>
    </row>
    <row r="42" spans="1:12" ht="18.75" x14ac:dyDescent="0.3">
      <c r="A42" s="266"/>
      <c r="B42" s="64">
        <f t="shared" si="6"/>
        <v>23</v>
      </c>
      <c r="C42" s="231"/>
      <c r="D42" s="73"/>
      <c r="E42" s="73"/>
      <c r="F42" s="232"/>
      <c r="G42" s="200">
        <f t="shared" si="4"/>
        <v>0</v>
      </c>
      <c r="H42" s="216"/>
      <c r="I42" s="200">
        <f t="shared" si="8"/>
        <v>0</v>
      </c>
      <c r="J42" s="209"/>
      <c r="K42" s="227"/>
      <c r="L42" s="79"/>
    </row>
    <row r="43" spans="1:12" ht="18.75" x14ac:dyDescent="0.3">
      <c r="A43" s="266"/>
      <c r="B43" s="64">
        <f t="shared" si="6"/>
        <v>24</v>
      </c>
      <c r="C43" s="231"/>
      <c r="D43" s="73"/>
      <c r="E43" s="73"/>
      <c r="F43" s="232"/>
      <c r="G43" s="200">
        <f t="shared" si="4"/>
        <v>0</v>
      </c>
      <c r="H43" s="216"/>
      <c r="I43" s="200">
        <f t="shared" si="8"/>
        <v>0</v>
      </c>
      <c r="J43" s="209"/>
      <c r="K43" s="227"/>
      <c r="L43" s="79"/>
    </row>
    <row r="44" spans="1:12" ht="18.75" x14ac:dyDescent="0.3">
      <c r="A44" s="266"/>
      <c r="B44" s="64">
        <f t="shared" si="6"/>
        <v>25</v>
      </c>
      <c r="C44" s="231"/>
      <c r="D44" s="73"/>
      <c r="E44" s="73"/>
      <c r="F44" s="232"/>
      <c r="G44" s="200">
        <f t="shared" si="4"/>
        <v>0</v>
      </c>
      <c r="H44" s="216"/>
      <c r="I44" s="200">
        <f t="shared" ref="I44:I47" si="9">G44-H44</f>
        <v>0</v>
      </c>
      <c r="J44" s="209"/>
      <c r="K44" s="227"/>
      <c r="L44" s="79"/>
    </row>
    <row r="45" spans="1:12" ht="18.75" x14ac:dyDescent="0.3">
      <c r="A45" s="266"/>
      <c r="B45" s="64">
        <f t="shared" si="6"/>
        <v>26</v>
      </c>
      <c r="C45" s="231"/>
      <c r="D45" s="73"/>
      <c r="E45" s="73"/>
      <c r="F45" s="232"/>
      <c r="G45" s="200">
        <f t="shared" si="4"/>
        <v>0</v>
      </c>
      <c r="H45" s="216"/>
      <c r="I45" s="200">
        <f t="shared" si="9"/>
        <v>0</v>
      </c>
      <c r="J45" s="209"/>
      <c r="K45" s="227"/>
      <c r="L45" s="79"/>
    </row>
    <row r="46" spans="1:12" ht="18.75" x14ac:dyDescent="0.3">
      <c r="A46" s="266"/>
      <c r="B46" s="64">
        <f t="shared" si="6"/>
        <v>27</v>
      </c>
      <c r="C46" s="231"/>
      <c r="D46" s="73"/>
      <c r="E46" s="73"/>
      <c r="F46" s="232"/>
      <c r="G46" s="200">
        <f t="shared" si="4"/>
        <v>0</v>
      </c>
      <c r="H46" s="216"/>
      <c r="I46" s="200">
        <f t="shared" si="9"/>
        <v>0</v>
      </c>
      <c r="J46" s="209"/>
      <c r="K46" s="227"/>
      <c r="L46" s="79"/>
    </row>
    <row r="47" spans="1:12" ht="18.75" x14ac:dyDescent="0.3">
      <c r="A47" s="266"/>
      <c r="B47" s="64">
        <f t="shared" si="6"/>
        <v>28</v>
      </c>
      <c r="C47" s="231"/>
      <c r="D47" s="73"/>
      <c r="E47" s="73"/>
      <c r="F47" s="232"/>
      <c r="G47" s="200">
        <f t="shared" si="4"/>
        <v>0</v>
      </c>
      <c r="H47" s="216"/>
      <c r="I47" s="200">
        <f t="shared" si="9"/>
        <v>0</v>
      </c>
      <c r="J47" s="209"/>
      <c r="K47" s="227"/>
      <c r="L47" s="79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  <vt:lpstr>26-01</vt:lpstr>
      <vt:lpstr>27-01</vt:lpstr>
      <vt:lpstr>28-01</vt:lpstr>
      <vt:lpstr>29-01</vt:lpstr>
      <vt:lpstr>30-01</vt:lpstr>
      <vt:lpstr>31-01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2026-02-01T18:07:24Z</dcterms:modified>
</cp:coreProperties>
</file>