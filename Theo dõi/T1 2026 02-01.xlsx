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D26BB922-F7C8-46F2-A89B-EA559088A056}" xr6:coauthVersionLast="47" xr6:coauthVersionMax="47" xr10:uidLastSave="{00000000-0000-0000-0000-000000000000}"/>
  <bookViews>
    <workbookView xWindow="-120" yWindow="-120" windowWidth="29040" windowHeight="15840" tabRatio="579" firstSheet="13" activeTab="27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  <sheet name="23-01" sheetId="29" r:id="rId25"/>
    <sheet name="24-01" sheetId="30" r:id="rId26"/>
    <sheet name="25-01" sheetId="31" r:id="rId27"/>
    <sheet name="26-01" sheetId="3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32" l="1"/>
  <c r="I26" i="32"/>
  <c r="K26" i="32" s="1"/>
  <c r="I25" i="32"/>
  <c r="K25" i="32" s="1"/>
  <c r="I24" i="32"/>
  <c r="K24" i="32" s="1"/>
  <c r="I23" i="32"/>
  <c r="K23" i="32" s="1"/>
  <c r="K22" i="32"/>
  <c r="I22" i="32"/>
  <c r="I21" i="32"/>
  <c r="K21" i="32" s="1"/>
  <c r="I20" i="32"/>
  <c r="K20" i="32" s="1"/>
  <c r="I19" i="32"/>
  <c r="K19" i="32" s="1"/>
  <c r="I18" i="32"/>
  <c r="K18" i="32" s="1"/>
  <c r="I17" i="32"/>
  <c r="K17" i="32" s="1"/>
  <c r="I16" i="32"/>
  <c r="K16" i="32" s="1"/>
  <c r="R15" i="32"/>
  <c r="I15" i="32"/>
  <c r="K15" i="32" s="1"/>
  <c r="B15" i="32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I14" i="32"/>
  <c r="K14" i="32" s="1"/>
  <c r="B14" i="32"/>
  <c r="I13" i="32"/>
  <c r="K13" i="32" s="1"/>
  <c r="R10" i="32"/>
  <c r="I10" i="32"/>
  <c r="K10" i="32" s="1"/>
  <c r="I9" i="32"/>
  <c r="K9" i="32" s="1"/>
  <c r="I8" i="32"/>
  <c r="K8" i="32" s="1"/>
  <c r="B8" i="32"/>
  <c r="B9" i="32" s="1"/>
  <c r="B10" i="32" s="1"/>
  <c r="I7" i="32"/>
  <c r="K7" i="32" s="1"/>
  <c r="I27" i="31"/>
  <c r="I26" i="31"/>
  <c r="K26" i="31" s="1"/>
  <c r="I25" i="31"/>
  <c r="K25" i="31" s="1"/>
  <c r="I24" i="31"/>
  <c r="K24" i="31" s="1"/>
  <c r="I23" i="31"/>
  <c r="K23" i="31" s="1"/>
  <c r="I22" i="31"/>
  <c r="K22" i="31" s="1"/>
  <c r="I21" i="31"/>
  <c r="K21" i="31" s="1"/>
  <c r="I20" i="31"/>
  <c r="K20" i="31" s="1"/>
  <c r="K19" i="31"/>
  <c r="I19" i="31"/>
  <c r="I18" i="31"/>
  <c r="K18" i="31" s="1"/>
  <c r="I17" i="31"/>
  <c r="K17" i="31" s="1"/>
  <c r="I16" i="31"/>
  <c r="K16" i="31" s="1"/>
  <c r="R15" i="31"/>
  <c r="I15" i="31"/>
  <c r="K15" i="31" s="1"/>
  <c r="B15" i="3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I14" i="31"/>
  <c r="K14" i="31" s="1"/>
  <c r="B14" i="31"/>
  <c r="I13" i="31"/>
  <c r="K13" i="31" s="1"/>
  <c r="R10" i="31"/>
  <c r="I10" i="31"/>
  <c r="K10" i="31" s="1"/>
  <c r="I9" i="31"/>
  <c r="K9" i="31" s="1"/>
  <c r="B9" i="31"/>
  <c r="B10" i="31" s="1"/>
  <c r="I8" i="31"/>
  <c r="K8" i="31" s="1"/>
  <c r="B8" i="31"/>
  <c r="I7" i="31"/>
  <c r="K7" i="31" s="1"/>
  <c r="I8" i="30"/>
  <c r="K8" i="30" s="1"/>
  <c r="I9" i="30"/>
  <c r="K9" i="30" s="1"/>
  <c r="I10" i="30"/>
  <c r="K10" i="30" s="1"/>
  <c r="I13" i="30"/>
  <c r="K13" i="30" s="1"/>
  <c r="I14" i="30"/>
  <c r="K14" i="30" s="1"/>
  <c r="I15" i="30"/>
  <c r="K15" i="30" s="1"/>
  <c r="I16" i="30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K22" i="30" s="1"/>
  <c r="I23" i="30"/>
  <c r="I24" i="30"/>
  <c r="I25" i="30"/>
  <c r="K25" i="30" s="1"/>
  <c r="I26" i="30"/>
  <c r="K26" i="30" s="1"/>
  <c r="I27" i="30"/>
  <c r="I7" i="30"/>
  <c r="K24" i="30"/>
  <c r="K23" i="30"/>
  <c r="K16" i="30"/>
  <c r="R15" i="30"/>
  <c r="B14" i="30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R10" i="30"/>
  <c r="B8" i="30"/>
  <c r="B9" i="30" s="1"/>
  <c r="B10" i="30" s="1"/>
  <c r="I7" i="29"/>
  <c r="I23" i="29"/>
  <c r="K23" i="29" s="1"/>
  <c r="I24" i="29"/>
  <c r="K24" i="29" s="1"/>
  <c r="K16" i="29"/>
  <c r="K18" i="29"/>
  <c r="K22" i="29"/>
  <c r="I26" i="29"/>
  <c r="K26" i="29" s="1"/>
  <c r="I25" i="29"/>
  <c r="K25" i="29" s="1"/>
  <c r="I21" i="29"/>
  <c r="K21" i="29" s="1"/>
  <c r="I20" i="29"/>
  <c r="K20" i="29" s="1"/>
  <c r="I19" i="29"/>
  <c r="K19" i="29" s="1"/>
  <c r="I18" i="29"/>
  <c r="I17" i="29"/>
  <c r="K17" i="29" s="1"/>
  <c r="R15" i="29"/>
  <c r="I15" i="29"/>
  <c r="K15" i="29" s="1"/>
  <c r="I14" i="29"/>
  <c r="K14" i="29" s="1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I13" i="29"/>
  <c r="K13" i="29" s="1"/>
  <c r="R10" i="29"/>
  <c r="I10" i="29"/>
  <c r="K10" i="29" s="1"/>
  <c r="I9" i="29"/>
  <c r="K9" i="29" s="1"/>
  <c r="I8" i="29"/>
  <c r="K8" i="29" s="1"/>
  <c r="B8" i="29"/>
  <c r="B9" i="29" s="1"/>
  <c r="B10" i="29" s="1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R12" i="32" l="1"/>
  <c r="R12" i="31"/>
  <c r="R12" i="30"/>
  <c r="K7" i="30"/>
  <c r="R12" i="29"/>
  <c r="K7" i="29"/>
  <c r="I26" i="28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<sst xmlns="http://schemas.openxmlformats.org/spreadsheetml/2006/main" count="3144" uniqueCount="188">
  <si>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</si>
  <si>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</si>
  <si>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</si>
  <si>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</si>
  <si>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</si>
  <si>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</si>
  <si>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</si>
  <si>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</si>
  <si>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</si>
  <si>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</si>
  <si>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</si>
  <si>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</si>
  <si>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</si>
  <si>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</si>
  <si>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</si>
  <si>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</si>
  <si>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</si>
  <si>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</si>
  <si>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</si>
  <si>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</si>
  <si>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</si>
  <si>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</si>
  <si>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</si>
  <si>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</si>
  <si>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</si>
  <si>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</si>
  <si>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</si>
  <si>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</si>
  <si>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</si>
  <si>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</si>
  <si>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</si>
  <si>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</si>
  <si>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</si>
  <si>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</si>
  <si>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</si>
  <si>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</si>
  <si>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</si>
  <si>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</si>
  <si>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</si>
  <si>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</si>
  <si>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</si>
  <si>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</si>
  <si>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</si>
  <si>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</si>
  <si>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</si>
  <si>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</si>
  <si>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</si>
  <si>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</si>
  <si>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</si>
  <si>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</si>
  <si>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</si>
  <si>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</si>
  <si>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</si>
  <si>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</si>
  <si>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</si>
  <si>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</si>
  <si>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</si>
  <si>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</si>
  <si>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</si>
  <si>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</si>
  <si>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</si>
  <si>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</si>
  <si>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</si>
  <si>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</si>
  <si>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</si>
  <si>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</si>
  <si>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</si>
  <si>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</si>
  <si>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</si>
  <si>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</si>
  <si>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</si>
  <si>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</si>
  <si>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</si>
  <si>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</si>
  <si>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</si>
  <si>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</si>
  <si>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</si>
  <si>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</si>
  <si>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</si>
  <si>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</si>
  <si>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</si>
  <si>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</si>
  <si>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</si>
  <si>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</si>
  <si>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</si>
  <si>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</si>
  <si>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</si>
  <si>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</si>
  <si>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</si>
  <si>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</si>
  <si>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</si>
  <si>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</si>
  <si>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</si>
  <si>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</si>
  <si>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</si>
  <si>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</si>
  <si>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</si>
  <si>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</si>
  <si>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</si>
  <si>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</si>
  <si>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</si>
  <si>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</si>
  <si>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</si>
  <si>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</si>
  <si>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</si>
  <si>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</si>
  <si>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</si>
  <si>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</si>
  <si>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</si>
  <si>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</si>
  <si>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</si>
  <si>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</si>
  <si>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</si>
  <si>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</si>
  <si>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</si>
  <si>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</si>
  <si>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</si>
  <si>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</si>
  <si>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</si>
  <si>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</si>
  <si>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</si>
  <si>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</si>
  <si>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</si>
  <si>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</si>
  <si>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</si>
  <si>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</si>
  <si>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</si>
  <si>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</si>
  <si>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</si>
  <si>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</si>
  <si>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</si>
  <si>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</si>
  <si>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</si>
  <si>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</si>
  <si>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</si>
  <si>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</si>
  <si>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</si>
  <si>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</si>
  <si>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</si>
  <si>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</si>
  <si>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</si>
  <si>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</si>
  <si>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</si>
  <si>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</si>
  <si>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</si>
  <si>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</si>
  <si>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</si>
  <si>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</si>
  <si>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</si>
  <si>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</si>
  <si>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</si>
  <si>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</si>
  <si>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</si>
  <si>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</si>
  <si>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</si>
  <si>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</si>
  <si>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</si>
  <si>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</si>
  <si>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</si>
  <si>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</si>
  <si>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</si>
  <si>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</si>
  <si>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</si>
  <si>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</si>
  <si>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</si>
  <si>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</si>
  <si>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</si>
  <si>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</si>
  <si>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</si>
  <si>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</si>
  <si>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</si>
  <si>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</si>
  <si>
    <t>DOANH THU 23/01/2026</t>
  </si>
  <si>
    <t>nộp trễ</t>
  </si>
  <si>
    <t>cho nghỉ</t>
  </si>
  <si>
    <t>dư 12k</t>
  </si>
  <si>
    <t>chia 5 5 thọt 120000</t>
  </si>
  <si>
    <t>Dưới 1 triệu 700</t>
  </si>
  <si>
    <t>Trên 1 triệu 700</t>
  </si>
  <si>
    <t>dư 5k</t>
  </si>
  <si>
    <t>DOANH THU 24/01/2026</t>
  </si>
  <si>
    <t>thừa chuyển hết tiền , kh chia tỉ lệ</t>
  </si>
  <si>
    <t xml:space="preserve">đổi qua con 178 </t>
  </si>
  <si>
    <t>DOANH THU 25/01/2026</t>
  </si>
  <si>
    <t>Đã nghỉ và trả xe</t>
  </si>
  <si>
    <t>chia 5 5 thọt 120</t>
  </si>
  <si>
    <t>Sau hôm nay nghỉ</t>
  </si>
  <si>
    <t>DOANH THU 26/01/2026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</si>
</sst>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5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16" fillId="20" borderId="8" xfId="0" applyFont="1" applyFill="1" applyBorder="1" applyAlignment="1">
      <alignment horizontal="center" vertical="center"/>
    </xf>
    <xf numFmtId="0" fontId="32" fillId="3" borderId="1" xfId="3" applyFont="1"/>
    <xf numFmtId="0" fontId="33" fillId="6" borderId="8" xfId="1" applyFont="1" applyFill="1" applyBorder="1" applyAlignment="1">
      <alignment horizontal="center" vertical="center"/>
    </xf>
    <xf numFmtId="0" fontId="33" fillId="6" borderId="8" xfId="1" applyFont="1" applyFill="1" applyBorder="1" applyAlignment="1">
      <alignment horizontal="center" vertical="center" wrapText="1"/>
    </xf>
    <xf numFmtId="3" fontId="34" fillId="3" borderId="8" xfId="2" applyNumberFormat="1" applyFont="1" applyBorder="1" applyAlignment="1">
      <alignment horizontal="right"/>
    </xf>
    <xf numFmtId="0" fontId="21" fillId="8" borderId="8" xfId="0" applyFont="1" applyFill="1" applyBorder="1" applyAlignment="1">
      <alignment horizontal="center"/>
    </xf>
    <xf numFmtId="0" fontId="23" fillId="3" borderId="2" xfId="2" applyFont="1"/>
    <xf numFmtId="0" fontId="23" fillId="3" borderId="1" xfId="3" applyFont="1"/>
    <xf numFmtId="0" fontId="17" fillId="0" borderId="0" xfId="0" applyFont="1"/>
    <xf numFmtId="49" fontId="16" fillId="5" borderId="8" xfId="0" applyNumberFormat="1" applyFont="1" applyFill="1" applyBorder="1" applyAlignment="1">
      <alignment horizontal="center"/>
    </xf>
    <xf numFmtId="3" fontId="23" fillId="18" borderId="8" xfId="0" applyNumberFormat="1" applyFont="1" applyFill="1" applyBorder="1" applyAlignment="1">
      <alignment horizontal="center" vertical="center"/>
    </xf>
    <xf numFmtId="3" fontId="23" fillId="19" borderId="8" xfId="0" applyNumberFormat="1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4" fillId="18" borderId="8" xfId="0" applyFont="1" applyFill="1" applyBorder="1"/>
    <xf numFmtId="49" fontId="26" fillId="19" borderId="8" xfId="0" applyNumberFormat="1" applyFont="1" applyFill="1" applyBorder="1" applyAlignment="1">
      <alignment horizontal="center" vertical="center"/>
    </xf>
    <xf numFmtId="0" fontId="16" fillId="19" borderId="8" xfId="0" applyFont="1" applyFill="1" applyBorder="1" applyAlignment="1">
      <alignment horizontal="center" vertical="center"/>
    </xf>
    <xf numFmtId="0" fontId="25" fillId="18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  <xf numFmtId="0" fontId="32" fillId="3" borderId="8" xfId="3" applyFont="1" applyBorder="1" applyAlignment="1">
      <alignment horizontal="center" vertical="center"/>
    </xf>
    <xf numFmtId="3" fontId="34" fillId="3" borderId="8" xfId="2" applyNumberFormat="1" applyFont="1" applyBorder="1" applyAlignment="1">
      <alignment horizontal="right" vertical="center"/>
    </xf>
    <xf numFmtId="0" fontId="32" fillId="3" borderId="8" xfId="3" applyFont="1" applyBorder="1" applyAlignment="1">
      <alignment horizontal="center" vertical="center" wrapText="1"/>
    </xf>
    <xf numFmtId="0" fontId="32" fillId="3" borderId="8" xfId="3" applyFont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sheetPr codeName="Sheet16"/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3" ht="30.75" x14ac:dyDescent="0.25">
      <c r="B3" s="174" t="s">
        <v>55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76" t="s">
        <v>29</v>
      </c>
      <c r="I25" s="176"/>
      <c r="J25" s="9">
        <f>SUM(H7:H1000)</f>
        <v>24820000</v>
      </c>
    </row>
    <row r="26" spans="2:13" ht="22.5" x14ac:dyDescent="0.3">
      <c r="H26" s="176" t="s">
        <v>30</v>
      </c>
      <c r="I26" s="176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3" ht="30.75" x14ac:dyDescent="0.25">
      <c r="B3" s="174" t="s">
        <v>77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29135000</v>
      </c>
    </row>
    <row r="27" spans="1:13" ht="22.5" x14ac:dyDescent="0.3">
      <c r="H27" s="176" t="s">
        <v>30</v>
      </c>
      <c r="I27" s="176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3" ht="30.75" x14ac:dyDescent="0.25">
      <c r="B3" s="174" t="s">
        <v>85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32170000</v>
      </c>
    </row>
    <row r="27" spans="1:13" ht="22.5" x14ac:dyDescent="0.3">
      <c r="H27" s="176" t="s">
        <v>30</v>
      </c>
      <c r="I27" s="176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3" ht="30.75" x14ac:dyDescent="0.25">
      <c r="B3" s="174" t="s">
        <v>87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30806000</v>
      </c>
    </row>
    <row r="27" spans="1:13" ht="22.5" x14ac:dyDescent="0.3">
      <c r="H27" s="176" t="s">
        <v>30</v>
      </c>
      <c r="I27" s="176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3" ht="30.75" x14ac:dyDescent="0.25">
      <c r="B3" s="174" t="s">
        <v>95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30762000</v>
      </c>
    </row>
    <row r="27" spans="1:13" ht="22.5" x14ac:dyDescent="0.3">
      <c r="H27" s="176" t="s">
        <v>30</v>
      </c>
      <c r="I27" s="176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3" ht="30.75" x14ac:dyDescent="0.25">
      <c r="B3" s="174" t="s">
        <v>97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31566000</v>
      </c>
    </row>
    <row r="27" spans="1:13" ht="22.5" x14ac:dyDescent="0.3">
      <c r="H27" s="176" t="s">
        <v>30</v>
      </c>
      <c r="I27" s="176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3" ht="30.75" x14ac:dyDescent="0.25">
      <c r="B3" s="174" t="s">
        <v>99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31500000</v>
      </c>
    </row>
    <row r="27" spans="1:13" ht="22.5" x14ac:dyDescent="0.3">
      <c r="H27" s="176" t="s">
        <v>30</v>
      </c>
      <c r="I27" s="176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6" ht="30.75" x14ac:dyDescent="0.25">
      <c r="B3" s="174" t="s">
        <v>100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32130000</v>
      </c>
    </row>
    <row r="27" spans="1:13" ht="22.5" x14ac:dyDescent="0.3">
      <c r="H27" s="176" t="s">
        <v>30</v>
      </c>
      <c r="I27" s="176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6" ht="30.75" x14ac:dyDescent="0.25">
      <c r="B3" s="174" t="s">
        <v>107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28500000</v>
      </c>
    </row>
    <row r="27" spans="1:13" ht="22.5" x14ac:dyDescent="0.3">
      <c r="H27" s="176" t="s">
        <v>30</v>
      </c>
      <c r="I27" s="176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</row>
    <row r="3" spans="2:16" ht="30.75" x14ac:dyDescent="0.25">
      <c r="B3" s="174" t="s">
        <v>109</v>
      </c>
      <c r="C3" s="175"/>
      <c r="D3" s="175"/>
      <c r="E3" s="175"/>
      <c r="F3" s="175"/>
      <c r="G3" s="175"/>
      <c r="H3" s="175"/>
      <c r="I3" s="175"/>
      <c r="J3" s="175"/>
      <c r="K3" s="175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76" t="s">
        <v>29</v>
      </c>
      <c r="I26" s="176"/>
      <c r="J26" s="9">
        <f>SUM(H7:H1001)</f>
        <v>28869000</v>
      </c>
    </row>
    <row r="27" spans="1:13" ht="22.5" x14ac:dyDescent="0.3">
      <c r="H27" s="176" t="s">
        <v>30</v>
      </c>
      <c r="I27" s="176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73" t="s">
        <v>31</v>
      </c>
      <c r="C2" s="173"/>
      <c r="D2" s="173"/>
      <c r="E2" s="173"/>
      <c r="F2" s="173"/>
      <c r="G2" s="173"/>
      <c r="H2" s="173"/>
      <c r="I2" s="173"/>
      <c r="J2" s="173"/>
      <c r="K2" s="173"/>
      <c r="L2" s="1"/>
      <c r="M2" s="1"/>
      <c r="N2" s="1"/>
      <c r="O2" s="1"/>
      <c r="P2" s="1"/>
    </row>
    <row r="3" spans="1:16" ht="30.75" x14ac:dyDescent="0.25">
      <c r="A3" s="1"/>
      <c r="B3" s="174" t="s">
        <v>109</v>
      </c>
      <c r="C3" s="175"/>
      <c r="D3" s="175"/>
      <c r="E3" s="175"/>
      <c r="F3" s="175"/>
      <c r="G3" s="175"/>
      <c r="H3" s="175"/>
      <c r="I3" s="175"/>
      <c r="J3" s="175"/>
      <c r="K3" s="175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9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80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80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80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80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80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80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81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81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81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81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81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81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81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81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81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81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81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81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7" t="s">
        <v>29</v>
      </c>
      <c r="I28" s="178"/>
      <c r="J28" s="9">
        <f>SUM(H7:H1001)</f>
        <v>29569000</v>
      </c>
    </row>
    <row r="29" spans="1:16" ht="22.5" x14ac:dyDescent="0.3">
      <c r="H29" s="177" t="s">
        <v>30</v>
      </c>
      <c r="I29" s="178"/>
      <c r="J29" s="9">
        <f>SUM(I7:I1001)</f>
        <v>17731000</v>
      </c>
    </row>
    <row r="30" spans="1:16" ht="22.5" x14ac:dyDescent="0.3">
      <c r="H30" s="177" t="s">
        <v>117</v>
      </c>
      <c r="I30" s="178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8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8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8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8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8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8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8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8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8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8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8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8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8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8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8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8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8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81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7" t="s">
        <v>29</v>
      </c>
      <c r="I28" s="178"/>
      <c r="J28" s="9">
        <f>SUM(H7:H1001)</f>
        <v>29980000</v>
      </c>
    </row>
    <row r="29" spans="1:16" ht="22.5" x14ac:dyDescent="0.3">
      <c r="H29" s="177" t="s">
        <v>30</v>
      </c>
      <c r="I29" s="178"/>
      <c r="J29" s="9">
        <f>SUM(I7:I1001)</f>
        <v>17988000</v>
      </c>
    </row>
    <row r="30" spans="1:16" ht="22.5" x14ac:dyDescent="0.3">
      <c r="H30" s="177" t="s">
        <v>117</v>
      </c>
      <c r="I30" s="178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8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8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8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8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8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8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8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8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8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8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8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8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8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8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8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8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8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81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7" t="s">
        <v>29</v>
      </c>
      <c r="I28" s="178"/>
      <c r="J28" s="9">
        <f>SUM(H7:H1001)</f>
        <v>31650000</v>
      </c>
    </row>
    <row r="29" spans="1:16" ht="22.5" x14ac:dyDescent="0.3">
      <c r="H29" s="177" t="s">
        <v>30</v>
      </c>
      <c r="I29" s="178"/>
      <c r="J29" s="9">
        <f>SUM(I7:I1001)</f>
        <v>18990000</v>
      </c>
    </row>
    <row r="30" spans="1:16" ht="22.5" x14ac:dyDescent="0.3">
      <c r="H30" s="177" t="s">
        <v>117</v>
      </c>
      <c r="I30" s="178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79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80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80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80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80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80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80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81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81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81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81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81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81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81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81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81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81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81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81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77" t="s">
        <v>29</v>
      </c>
      <c r="I28" s="178"/>
      <c r="J28" s="9">
        <f>SUM(H7:H1001)</f>
        <v>29362000</v>
      </c>
    </row>
    <row r="29" spans="1:16" ht="22.5" x14ac:dyDescent="0.3">
      <c r="H29" s="177" t="s">
        <v>30</v>
      </c>
      <c r="I29" s="178"/>
      <c r="J29" s="9">
        <f>SUM(I7:I1001)</f>
        <v>17617200</v>
      </c>
    </row>
    <row r="30" spans="1:16" ht="22.5" x14ac:dyDescent="0.3">
      <c r="H30" s="177" t="s">
        <v>117</v>
      </c>
      <c r="I30" s="178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88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88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28468000</v>
      </c>
    </row>
    <row r="11" spans="1:18" ht="16.5" customHeight="1" x14ac:dyDescent="0.25">
      <c r="A11" s="189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17080800</v>
      </c>
    </row>
    <row r="13" spans="1:18" ht="22.5" customHeight="1" x14ac:dyDescent="0.25">
      <c r="A13" s="18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84"/>
      <c r="Q13" s="184"/>
      <c r="R13" s="185"/>
    </row>
    <row r="14" spans="1:18" ht="16.5" customHeight="1" x14ac:dyDescent="0.25">
      <c r="A14" s="181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84"/>
      <c r="Q14" s="184"/>
      <c r="R14" s="185"/>
    </row>
    <row r="15" spans="1:18" ht="22.5" x14ac:dyDescent="0.3">
      <c r="A15" s="181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86" t="s">
        <v>117</v>
      </c>
      <c r="Q15" s="186"/>
      <c r="R15" s="130">
        <f>SUM(J7:J98)</f>
        <v>16486200</v>
      </c>
    </row>
    <row r="16" spans="1:18" ht="16.5" x14ac:dyDescent="0.25">
      <c r="A16" s="181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81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81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81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81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81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81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81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81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8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8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83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83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8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sheetPr codeName="Sheet17"/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8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20755000</v>
      </c>
    </row>
    <row r="11" spans="1:18" ht="16.5" customHeight="1" x14ac:dyDescent="0.25">
      <c r="A11" s="189"/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12453000</v>
      </c>
    </row>
    <row r="13" spans="1:18" ht="22.5" customHeight="1" x14ac:dyDescent="0.25">
      <c r="A13" s="18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84"/>
      <c r="Q13" s="184"/>
      <c r="R13" s="185"/>
    </row>
    <row r="14" spans="1:18" ht="16.5" customHeight="1" x14ac:dyDescent="0.25">
      <c r="A14" s="181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84"/>
      <c r="Q14" s="184"/>
      <c r="R14" s="185"/>
    </row>
    <row r="15" spans="1:18" ht="22.5" x14ac:dyDescent="0.3">
      <c r="A15" s="181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86" t="s">
        <v>117</v>
      </c>
      <c r="Q15" s="186"/>
      <c r="R15" s="130">
        <f>SUM(J7:J98)</f>
        <v>12451000</v>
      </c>
    </row>
    <row r="16" spans="1:18" ht="16.5" x14ac:dyDescent="0.25">
      <c r="A16" s="181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81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81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81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81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81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81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81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81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8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3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83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8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sheetPr codeName="Sheet18"/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8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29815000</v>
      </c>
    </row>
    <row r="11" spans="1:18" ht="16.5" customHeight="1" x14ac:dyDescent="0.25">
      <c r="A11" s="189"/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17889000</v>
      </c>
    </row>
    <row r="13" spans="1:18" ht="22.5" customHeight="1" x14ac:dyDescent="0.25">
      <c r="A13" s="18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84"/>
      <c r="Q13" s="184"/>
      <c r="R13" s="185"/>
    </row>
    <row r="14" spans="1:18" ht="16.5" customHeight="1" x14ac:dyDescent="0.25">
      <c r="A14" s="181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84"/>
      <c r="Q14" s="184"/>
      <c r="R14" s="185"/>
    </row>
    <row r="15" spans="1:18" ht="22.5" x14ac:dyDescent="0.3">
      <c r="A15" s="181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86" t="s">
        <v>117</v>
      </c>
      <c r="Q15" s="186"/>
      <c r="R15" s="130">
        <f>SUM(J7:J98)</f>
        <v>17728000</v>
      </c>
    </row>
    <row r="16" spans="1:18" ht="16.5" x14ac:dyDescent="0.25">
      <c r="A16" s="181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81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81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81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81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81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81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81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81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8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3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83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8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sheetPr codeName="Sheet19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8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29241000</v>
      </c>
    </row>
    <row r="11" spans="1:18" ht="16.5" customHeight="1" x14ac:dyDescent="0.25">
      <c r="A11" s="189"/>
      <c r="H11" s="146"/>
      <c r="I11" s="146"/>
      <c r="J11" s="146"/>
      <c r="K11" s="146"/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17544600</v>
      </c>
    </row>
    <row r="13" spans="1:18" ht="22.5" customHeight="1" x14ac:dyDescent="0.25">
      <c r="A13" s="18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84"/>
      <c r="Q13" s="184"/>
      <c r="R13" s="185"/>
    </row>
    <row r="14" spans="1:18" ht="16.5" customHeight="1" x14ac:dyDescent="0.25">
      <c r="A14" s="181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84"/>
      <c r="Q14" s="184"/>
      <c r="R14" s="185"/>
    </row>
    <row r="15" spans="1:18" ht="22.5" x14ac:dyDescent="0.3">
      <c r="A15" s="181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86" t="s">
        <v>117</v>
      </c>
      <c r="Q15" s="186"/>
      <c r="R15" s="130">
        <f>SUM(J7:J98)</f>
        <v>17384600</v>
      </c>
    </row>
    <row r="16" spans="1:18" ht="16.5" x14ac:dyDescent="0.25">
      <c r="A16" s="181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81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81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81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81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81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81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81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81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8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3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83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8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sheetPr codeName="Sheet20"/>
  <dimension ref="A1:R40"/>
  <sheetViews>
    <sheetView topLeftCell="A3" zoomScale="85" zoomScaleNormal="85" workbookViewId="0">
      <selection activeCell="J29" activeCellId="1" sqref="H29 J29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8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39465000</v>
      </c>
    </row>
    <row r="11" spans="1:18" ht="16.5" customHeight="1" x14ac:dyDescent="0.25">
      <c r="A11" s="189"/>
      <c r="H11" s="146"/>
      <c r="I11" s="146"/>
      <c r="J11" s="146"/>
      <c r="K11" s="146"/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23679000</v>
      </c>
    </row>
    <row r="13" spans="1:18" ht="22.5" customHeight="1" x14ac:dyDescent="0.25">
      <c r="A13" s="18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84"/>
      <c r="Q13" s="184"/>
      <c r="R13" s="185"/>
    </row>
    <row r="14" spans="1:18" ht="16.5" customHeight="1" x14ac:dyDescent="0.25">
      <c r="A14" s="181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84"/>
      <c r="Q14" s="184"/>
      <c r="R14" s="185"/>
    </row>
    <row r="15" spans="1:18" ht="22.5" x14ac:dyDescent="0.3">
      <c r="A15" s="181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86" t="s">
        <v>117</v>
      </c>
      <c r="Q15" s="186"/>
      <c r="R15" s="130">
        <f>SUM(J7:J98)</f>
        <v>23501000</v>
      </c>
    </row>
    <row r="16" spans="1:18" ht="16.5" x14ac:dyDescent="0.25">
      <c r="A16" s="181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81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81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81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81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81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81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81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81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8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3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83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8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sheetPr codeName="Sheet21"/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18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28993000</v>
      </c>
    </row>
    <row r="11" spans="1:18" ht="16.5" customHeight="1" x14ac:dyDescent="0.25">
      <c r="A11" s="189"/>
      <c r="H11" s="146"/>
      <c r="I11" s="146"/>
      <c r="J11" s="146"/>
      <c r="K11" s="146"/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17395800</v>
      </c>
    </row>
    <row r="13" spans="1:18" ht="22.5" customHeight="1" x14ac:dyDescent="0.25">
      <c r="A13" s="18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84"/>
      <c r="Q13" s="184"/>
      <c r="R13" s="185"/>
    </row>
    <row r="14" spans="1:18" ht="16.5" customHeight="1" x14ac:dyDescent="0.25">
      <c r="A14" s="181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84"/>
      <c r="Q14" s="184"/>
      <c r="R14" s="185"/>
    </row>
    <row r="15" spans="1:18" ht="22.5" x14ac:dyDescent="0.3">
      <c r="A15" s="181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86" t="s">
        <v>117</v>
      </c>
      <c r="Q15" s="186"/>
      <c r="R15" s="130">
        <f>SUM(J7:J98)</f>
        <v>17285000</v>
      </c>
    </row>
    <row r="16" spans="1:18" ht="16.5" x14ac:dyDescent="0.25">
      <c r="A16" s="181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81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181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81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81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81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81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81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81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82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83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83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83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83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sheetPr codeName="Sheet22"/>
  <dimension ref="A1:R40"/>
  <sheetViews>
    <sheetView zoomScale="85" zoomScaleNormal="85" workbookViewId="0">
      <selection activeCell="J7" sqref="J7:J1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18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23968000</v>
      </c>
    </row>
    <row r="11" spans="1:18" ht="16.5" customHeight="1" x14ac:dyDescent="0.25">
      <c r="A11" s="189"/>
      <c r="H11" s="146"/>
      <c r="I11" s="146"/>
      <c r="J11" s="146"/>
      <c r="K11" s="146"/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14380800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184"/>
      <c r="Q13" s="184"/>
      <c r="R13" s="185"/>
    </row>
    <row r="14" spans="1:18" ht="16.5" customHeight="1" x14ac:dyDescent="0.25">
      <c r="A14" s="19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184"/>
      <c r="Q14" s="184"/>
      <c r="R14" s="185"/>
    </row>
    <row r="15" spans="1:18" ht="22.5" customHeight="1" x14ac:dyDescent="0.3">
      <c r="A15" s="192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86" t="s">
        <v>117</v>
      </c>
      <c r="Q15" s="186"/>
      <c r="R15" s="130">
        <f>SUM(J7:J98)</f>
        <v>14555400</v>
      </c>
    </row>
    <row r="16" spans="1:18" ht="16.5" customHeight="1" x14ac:dyDescent="0.25">
      <c r="A16" s="192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192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192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9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9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9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92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92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192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192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192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192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92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192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192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R10:R11"/>
    <mergeCell ref="P12:Q14"/>
    <mergeCell ref="R12:R14"/>
    <mergeCell ref="P15:Q15"/>
    <mergeCell ref="A13:A30"/>
    <mergeCell ref="B3:K3"/>
    <mergeCell ref="A7:A11"/>
    <mergeCell ref="P10:Q11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sheetPr codeName="Sheet23"/>
  <dimension ref="A1:R40"/>
  <sheetViews>
    <sheetView topLeftCell="A2" zoomScale="85" zoomScaleNormal="85" workbookViewId="0">
      <selection activeCell="L14" sqref="L14:L16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87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18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25750000</v>
      </c>
    </row>
    <row r="11" spans="1:18" ht="16.5" customHeight="1" x14ac:dyDescent="0.25">
      <c r="A11" s="189"/>
      <c r="H11" s="146"/>
      <c r="I11" s="146"/>
      <c r="J11" s="146"/>
      <c r="K11" s="146"/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15450000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184"/>
      <c r="Q13" s="184"/>
      <c r="R13" s="185"/>
    </row>
    <row r="14" spans="1:18" ht="16.5" customHeight="1" x14ac:dyDescent="0.25">
      <c r="A14" s="19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184"/>
      <c r="Q14" s="184"/>
      <c r="R14" s="185"/>
    </row>
    <row r="15" spans="1:18" ht="22.5" customHeight="1" x14ac:dyDescent="0.3">
      <c r="A15" s="192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86" t="s">
        <v>117</v>
      </c>
      <c r="Q15" s="186"/>
      <c r="R15" s="130">
        <f>SUM(J7:J98)</f>
        <v>15330000</v>
      </c>
    </row>
    <row r="16" spans="1:18" ht="16.5" customHeight="1" x14ac:dyDescent="0.25">
      <c r="A16" s="192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19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92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9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9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9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92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92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192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19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92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92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92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92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92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sheetPr codeName="Sheet24"/>
  <dimension ref="A1:R40"/>
  <sheetViews>
    <sheetView topLeftCell="A2" zoomScale="85" zoomScaleNormal="85" workbookViewId="0">
      <selection activeCell="M18" sqref="M1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188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88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190" t="s">
        <v>29</v>
      </c>
      <c r="Q10" s="190"/>
      <c r="R10" s="185">
        <f>SUM(H7:H999)</f>
        <v>24922000</v>
      </c>
    </row>
    <row r="11" spans="1:18" ht="16.5" customHeight="1" x14ac:dyDescent="0.25">
      <c r="A11" s="189"/>
      <c r="H11" s="146"/>
      <c r="I11" s="146"/>
      <c r="J11" s="146"/>
      <c r="K11" s="146"/>
      <c r="M11" s="79"/>
      <c r="N11" s="79"/>
      <c r="O11" s="1"/>
      <c r="P11" s="190"/>
      <c r="Q11" s="190"/>
      <c r="R11" s="185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84" t="s">
        <v>143</v>
      </c>
      <c r="Q12" s="184"/>
      <c r="R12" s="185">
        <f>SUM(I7:I999)</f>
        <v>14953200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184"/>
      <c r="Q13" s="184"/>
      <c r="R13" s="185"/>
    </row>
    <row r="14" spans="1:18" ht="16.5" customHeight="1" x14ac:dyDescent="0.25">
      <c r="A14" s="19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184"/>
      <c r="Q14" s="184"/>
      <c r="R14" s="185"/>
    </row>
    <row r="15" spans="1:18" ht="22.5" customHeight="1" x14ac:dyDescent="0.3">
      <c r="A15" s="192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186" t="s">
        <v>117</v>
      </c>
      <c r="Q15" s="186"/>
      <c r="R15" s="130">
        <f>SUM(J7:J98)</f>
        <v>14843000</v>
      </c>
    </row>
    <row r="16" spans="1:18" ht="16.5" customHeight="1" x14ac:dyDescent="0.25">
      <c r="A16" s="192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19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92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156" t="s">
        <v>173</v>
      </c>
      <c r="N18" s="76"/>
      <c r="O18" s="1"/>
      <c r="P18" s="1"/>
    </row>
    <row r="19" spans="1:16" ht="16.5" customHeight="1" x14ac:dyDescent="0.25">
      <c r="A19" s="19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19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9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92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92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61" t="s">
        <v>174</v>
      </c>
      <c r="N23" s="79"/>
      <c r="O23" s="1"/>
      <c r="P23" s="1"/>
    </row>
    <row r="24" spans="1:16" ht="16.5" customHeight="1" x14ac:dyDescent="0.25">
      <c r="A24" s="192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61" t="s">
        <v>174</v>
      </c>
      <c r="N24" s="105"/>
      <c r="O24" s="1"/>
      <c r="P24" s="1"/>
    </row>
    <row r="25" spans="1:16" ht="16.5" x14ac:dyDescent="0.25">
      <c r="A25" s="19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92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92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92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92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92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80E-10F6-44E2-9BC1-2E72F9A95066}">
  <sheetPr codeName="Sheet25"/>
  <dimension ref="A3:R39"/>
  <sheetViews>
    <sheetView topLeftCell="B1" zoomScale="85" zoomScaleNormal="85" workbookViewId="0">
      <selection activeCell="I19" sqref="I19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</row>
    <row r="4" spans="1:18" ht="30.75" x14ac:dyDescent="0.25">
      <c r="C4" s="117"/>
      <c r="D4" s="117"/>
      <c r="E4" s="117"/>
      <c r="H4" s="116" t="s">
        <v>172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H7*Q$18</f>
        <v>780000</v>
      </c>
      <c r="J7" s="68">
        <v>780000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H8*Q$18</f>
        <v>720000</v>
      </c>
      <c r="J8" s="68">
        <v>600000</v>
      </c>
      <c r="K8" s="68">
        <f t="shared" ref="K8:K10" si="0">I8-J8</f>
        <v>120000</v>
      </c>
      <c r="L8" s="88" t="s">
        <v>26</v>
      </c>
      <c r="M8" s="76" t="s">
        <v>176</v>
      </c>
      <c r="N8" s="76"/>
      <c r="P8" s="82" t="s">
        <v>72</v>
      </c>
    </row>
    <row r="9" spans="1:18" ht="16.5" customHeight="1" x14ac:dyDescent="0.25">
      <c r="A9" s="188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>H9*Q$18</f>
        <v>480000</v>
      </c>
      <c r="J9" s="74">
        <v>480000</v>
      </c>
      <c r="K9" s="68">
        <f t="shared" si="0"/>
        <v>0</v>
      </c>
      <c r="L9" s="88" t="s">
        <v>26</v>
      </c>
      <c r="M9" s="115"/>
      <c r="N9" s="79"/>
    </row>
    <row r="10" spans="1:18" ht="16.5" customHeight="1" x14ac:dyDescent="0.25">
      <c r="A10" s="188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500000</v>
      </c>
      <c r="I10" s="68">
        <f>H10*Q$18</f>
        <v>300000</v>
      </c>
      <c r="J10" s="74">
        <v>300000</v>
      </c>
      <c r="K10" s="68">
        <f t="shared" si="0"/>
        <v>0</v>
      </c>
      <c r="L10" s="88" t="s">
        <v>26</v>
      </c>
      <c r="M10" s="76"/>
      <c r="N10" s="76"/>
      <c r="P10" s="193" t="s">
        <v>29</v>
      </c>
      <c r="Q10" s="193"/>
      <c r="R10" s="194">
        <f>SUM(H7:H999)</f>
        <v>21305000</v>
      </c>
    </row>
    <row r="11" spans="1:18" ht="16.5" customHeight="1" x14ac:dyDescent="0.25">
      <c r="A11" s="189"/>
      <c r="H11" s="26"/>
      <c r="I11" s="26"/>
      <c r="J11" s="26"/>
      <c r="K11" s="26"/>
      <c r="M11" s="79"/>
      <c r="N11" s="79"/>
      <c r="P11" s="193"/>
      <c r="Q11" s="193"/>
      <c r="R11" s="19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95" t="s">
        <v>143</v>
      </c>
      <c r="Q12" s="195"/>
      <c r="R12" s="194">
        <f>SUM(I7:I999)</f>
        <v>12783000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1530000</v>
      </c>
      <c r="I13" s="68">
        <f>H13*Q$18</f>
        <v>918000</v>
      </c>
      <c r="J13" s="68">
        <v>918000</v>
      </c>
      <c r="K13" s="68">
        <f t="shared" ref="K13:K26" si="2">I13-J13</f>
        <v>0</v>
      </c>
      <c r="L13" s="87" t="s">
        <v>69</v>
      </c>
      <c r="M13" s="76"/>
      <c r="N13" s="76"/>
      <c r="P13" s="195"/>
      <c r="Q13" s="195"/>
      <c r="R13" s="194"/>
    </row>
    <row r="14" spans="1:18" ht="16.5" customHeight="1" x14ac:dyDescent="0.25">
      <c r="A14" s="19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1370000</v>
      </c>
      <c r="I14" s="68">
        <f>H14*Q$18</f>
        <v>822000</v>
      </c>
      <c r="J14" s="74">
        <v>822000</v>
      </c>
      <c r="K14" s="68">
        <f t="shared" si="2"/>
        <v>0</v>
      </c>
      <c r="L14" s="87" t="s">
        <v>69</v>
      </c>
      <c r="M14" s="79"/>
      <c r="N14" s="79"/>
      <c r="P14" s="195"/>
      <c r="Q14" s="195"/>
      <c r="R14" s="194"/>
    </row>
    <row r="15" spans="1:18" ht="22.5" customHeight="1" x14ac:dyDescent="0.3">
      <c r="A15" s="192"/>
      <c r="B15" s="64">
        <f t="shared" ref="B15:B30" si="3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2550000</v>
      </c>
      <c r="I15" s="68">
        <f>H15*Q$18</f>
        <v>1530000</v>
      </c>
      <c r="J15" s="74">
        <v>1530000</v>
      </c>
      <c r="K15" s="68">
        <f t="shared" si="2"/>
        <v>0</v>
      </c>
      <c r="L15" s="87" t="s">
        <v>69</v>
      </c>
      <c r="M15" s="76"/>
      <c r="N15" s="85"/>
      <c r="P15" s="196" t="s">
        <v>117</v>
      </c>
      <c r="Q15" s="196"/>
      <c r="R15" s="160">
        <f>SUM(J7:J98)</f>
        <v>12675000</v>
      </c>
    </row>
    <row r="16" spans="1:18" ht="16.5" customHeight="1" x14ac:dyDescent="0.25">
      <c r="A16" s="192"/>
      <c r="B16" s="64">
        <f t="shared" si="3"/>
        <v>4</v>
      </c>
      <c r="C16" s="77"/>
      <c r="D16" s="75"/>
      <c r="E16" s="75"/>
      <c r="F16" s="75"/>
      <c r="G16" s="75"/>
      <c r="H16" s="68"/>
      <c r="I16" s="68"/>
      <c r="J16" s="68"/>
      <c r="K16" s="68">
        <f t="shared" si="2"/>
        <v>0</v>
      </c>
      <c r="L16" s="105"/>
      <c r="M16" s="76"/>
      <c r="N16" s="76"/>
    </row>
    <row r="17" spans="1:17" ht="16.5" customHeight="1" x14ac:dyDescent="0.25">
      <c r="A17" s="192"/>
      <c r="B17" s="64">
        <f t="shared" si="3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1210000</v>
      </c>
      <c r="I17" s="68">
        <f>H17*Q$18</f>
        <v>726000</v>
      </c>
      <c r="J17" s="74">
        <v>726000</v>
      </c>
      <c r="K17" s="68">
        <f t="shared" si="2"/>
        <v>0</v>
      </c>
      <c r="L17" s="87" t="s">
        <v>69</v>
      </c>
      <c r="M17" s="80"/>
      <c r="N17" s="85"/>
    </row>
    <row r="18" spans="1:17" ht="16.5" customHeight="1" x14ac:dyDescent="0.3">
      <c r="A18" s="192"/>
      <c r="B18" s="64">
        <f t="shared" si="3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780000</v>
      </c>
      <c r="I18" s="68">
        <f>H18*Q$18</f>
        <v>468000</v>
      </c>
      <c r="J18" s="74">
        <v>468000</v>
      </c>
      <c r="K18" s="68">
        <f t="shared" si="2"/>
        <v>0</v>
      </c>
      <c r="L18" s="87" t="s">
        <v>69</v>
      </c>
      <c r="M18" s="76"/>
      <c r="N18" s="76"/>
      <c r="P18" s="157" t="s">
        <v>65</v>
      </c>
      <c r="Q18" s="162">
        <v>0.6</v>
      </c>
    </row>
    <row r="19" spans="1:17" ht="16.5" customHeight="1" x14ac:dyDescent="0.3">
      <c r="A19" s="192"/>
      <c r="B19" s="64">
        <f t="shared" si="3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1980000</v>
      </c>
      <c r="I19" s="68">
        <f>H19*Q$18</f>
        <v>1188000</v>
      </c>
      <c r="J19" s="68">
        <v>1200000</v>
      </c>
      <c r="K19" s="68">
        <f t="shared" si="2"/>
        <v>-12000</v>
      </c>
      <c r="L19" s="87" t="s">
        <v>69</v>
      </c>
      <c r="M19" s="76" t="s">
        <v>175</v>
      </c>
      <c r="N19" s="76"/>
      <c r="P19" s="157" t="s">
        <v>65</v>
      </c>
      <c r="Q19" s="163">
        <v>0.5</v>
      </c>
    </row>
    <row r="20" spans="1:17" ht="16.5" customHeight="1" x14ac:dyDescent="0.25">
      <c r="A20" s="192"/>
      <c r="B20" s="64">
        <f t="shared" si="3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3585000</v>
      </c>
      <c r="I20" s="68">
        <f>H20*Q$18</f>
        <v>2151000</v>
      </c>
      <c r="J20" s="68">
        <v>2151000</v>
      </c>
      <c r="K20" s="68">
        <f t="shared" si="2"/>
        <v>0</v>
      </c>
      <c r="L20" s="87" t="s">
        <v>69</v>
      </c>
      <c r="M20" s="79"/>
      <c r="N20" s="76"/>
    </row>
    <row r="21" spans="1:17" ht="16.5" customHeight="1" x14ac:dyDescent="0.25">
      <c r="A21" s="192"/>
      <c r="B21" s="64">
        <f t="shared" si="3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>H21*Q$18</f>
        <v>1086000</v>
      </c>
      <c r="J21" s="74">
        <v>1086000</v>
      </c>
      <c r="K21" s="68">
        <f t="shared" si="2"/>
        <v>0</v>
      </c>
      <c r="L21" s="87" t="s">
        <v>69</v>
      </c>
      <c r="M21" s="121" t="s">
        <v>124</v>
      </c>
      <c r="N21" s="76"/>
    </row>
    <row r="22" spans="1:17" ht="16.5" customHeight="1" x14ac:dyDescent="0.25">
      <c r="A22" s="192"/>
      <c r="B22" s="64">
        <f t="shared" si="3"/>
        <v>10</v>
      </c>
      <c r="C22" s="105"/>
      <c r="D22" s="105"/>
      <c r="E22" s="105"/>
      <c r="F22" s="105"/>
      <c r="G22" s="105"/>
      <c r="H22" s="105"/>
      <c r="I22" s="105"/>
      <c r="J22" s="105"/>
      <c r="K22" s="68">
        <f t="shared" si="2"/>
        <v>0</v>
      </c>
      <c r="L22" s="105"/>
      <c r="M22" s="105"/>
      <c r="N22" s="105"/>
    </row>
    <row r="23" spans="1:17" ht="16.5" customHeight="1" x14ac:dyDescent="0.25">
      <c r="A23" s="192"/>
      <c r="B23" s="64">
        <f t="shared" si="3"/>
        <v>11</v>
      </c>
      <c r="C23" s="65"/>
      <c r="D23" s="66"/>
      <c r="E23" s="66"/>
      <c r="F23" s="66"/>
      <c r="G23" s="75" t="s">
        <v>25</v>
      </c>
      <c r="H23" s="134"/>
      <c r="I23" s="132">
        <f>H23*Q$18</f>
        <v>0</v>
      </c>
      <c r="J23" s="132"/>
      <c r="K23" s="68">
        <f t="shared" si="2"/>
        <v>0</v>
      </c>
      <c r="L23" s="87"/>
      <c r="M23" s="105"/>
      <c r="N23" s="79"/>
    </row>
    <row r="24" spans="1:17" ht="16.5" customHeight="1" x14ac:dyDescent="0.25">
      <c r="A24" s="192"/>
      <c r="B24" s="64">
        <f t="shared" si="3"/>
        <v>12</v>
      </c>
      <c r="C24" s="65"/>
      <c r="D24" s="75"/>
      <c r="E24" s="75"/>
      <c r="F24" s="75"/>
      <c r="G24" s="64" t="s">
        <v>19</v>
      </c>
      <c r="H24" s="134"/>
      <c r="I24" s="132">
        <f>H24*Q$18</f>
        <v>0</v>
      </c>
      <c r="J24" s="133"/>
      <c r="K24" s="68">
        <f t="shared" si="2"/>
        <v>0</v>
      </c>
      <c r="L24" s="87"/>
      <c r="M24" s="105"/>
      <c r="N24" s="105"/>
    </row>
    <row r="25" spans="1:17" ht="16.5" x14ac:dyDescent="0.25">
      <c r="A25" s="192"/>
      <c r="B25" s="64">
        <f t="shared" si="3"/>
        <v>13</v>
      </c>
      <c r="C25" s="65" t="s">
        <v>148</v>
      </c>
      <c r="D25" s="110"/>
      <c r="E25" s="111"/>
      <c r="F25" s="111"/>
      <c r="G25" s="75" t="s">
        <v>56</v>
      </c>
      <c r="H25" s="68">
        <v>1560000</v>
      </c>
      <c r="I25" s="132">
        <f>H25*Q$18</f>
        <v>936000</v>
      </c>
      <c r="J25" s="68">
        <v>936000</v>
      </c>
      <c r="K25" s="68">
        <f t="shared" si="2"/>
        <v>0</v>
      </c>
      <c r="L25" s="87" t="s">
        <v>69</v>
      </c>
      <c r="M25" s="105"/>
      <c r="N25" s="105"/>
    </row>
    <row r="26" spans="1:17" ht="22.15" customHeight="1" x14ac:dyDescent="0.25">
      <c r="A26" s="192"/>
      <c r="B26" s="64">
        <f t="shared" si="3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1130000</v>
      </c>
      <c r="I26" s="132">
        <f>H26*Q$18</f>
        <v>678000</v>
      </c>
      <c r="J26" s="133">
        <v>678000</v>
      </c>
      <c r="K26" s="68">
        <f t="shared" si="2"/>
        <v>0</v>
      </c>
      <c r="L26" s="87" t="s">
        <v>69</v>
      </c>
      <c r="M26" s="136"/>
      <c r="N26" s="76"/>
    </row>
    <row r="27" spans="1:17" ht="20.45" customHeight="1" x14ac:dyDescent="0.25">
      <c r="A27" s="192"/>
      <c r="B27" s="64">
        <f t="shared" si="3"/>
        <v>15</v>
      </c>
      <c r="C27" s="105"/>
      <c r="D27" s="105"/>
      <c r="E27" s="105"/>
      <c r="F27" s="105"/>
      <c r="G27" s="75" t="s">
        <v>168</v>
      </c>
      <c r="H27" s="105"/>
      <c r="I27" s="105"/>
      <c r="J27" s="105"/>
      <c r="K27" s="105"/>
      <c r="L27" s="105"/>
      <c r="M27" s="136"/>
      <c r="N27" s="76"/>
    </row>
    <row r="28" spans="1:17" ht="16.5" customHeight="1" x14ac:dyDescent="0.25">
      <c r="A28" s="192"/>
      <c r="B28" s="64">
        <f t="shared" si="3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7" ht="16.5" customHeight="1" x14ac:dyDescent="0.25">
      <c r="A29" s="192"/>
      <c r="B29" s="64">
        <f t="shared" si="3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7" ht="16.5" customHeight="1" x14ac:dyDescent="0.25">
      <c r="A30" s="192"/>
      <c r="B30" s="64">
        <f t="shared" si="3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F6FAC-86C6-4EE5-A6C7-1B8C2165990C}">
  <dimension ref="A3:S39"/>
  <sheetViews>
    <sheetView zoomScale="85" zoomScaleNormal="85" workbookViewId="0">
      <selection activeCell="K11" sqref="K11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</row>
    <row r="4" spans="1:18" ht="30.75" x14ac:dyDescent="0.25">
      <c r="C4" s="117"/>
      <c r="D4" s="117"/>
      <c r="E4" s="117"/>
      <c r="H4" s="116" t="s">
        <v>180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IF(H7="",0,IF(H7&gt;1700000,H7*Q$19,H7*Q$18))</f>
        <v>870000</v>
      </c>
      <c r="J7" s="68">
        <v>870000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2300000</v>
      </c>
      <c r="I8" s="68">
        <f t="shared" ref="I8:I27" si="0">IF(H8="",0,IF(H8&gt;1700000,H8*Q$19,H8*Q$18))</f>
        <v>1150000</v>
      </c>
      <c r="J8" s="68">
        <v>1150000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188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 t="shared" si="0"/>
        <v>480000</v>
      </c>
      <c r="J9" s="74">
        <v>480000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188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P10" s="193" t="s">
        <v>29</v>
      </c>
      <c r="Q10" s="193"/>
      <c r="R10" s="194">
        <f>SUM(H7:H999)</f>
        <v>25660000</v>
      </c>
    </row>
    <row r="11" spans="1:18" ht="16.5" customHeight="1" x14ac:dyDescent="0.25">
      <c r="A11" s="189"/>
      <c r="H11" s="26"/>
      <c r="I11" s="26"/>
      <c r="J11" s="26"/>
      <c r="K11" s="26"/>
      <c r="M11" s="79"/>
      <c r="N11" s="79"/>
      <c r="P11" s="193"/>
      <c r="Q11" s="193"/>
      <c r="R11" s="19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95" t="s">
        <v>143</v>
      </c>
      <c r="Q12" s="195"/>
      <c r="R12" s="194">
        <f>SUM(I7:I999)</f>
        <v>13375000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2190000</v>
      </c>
      <c r="I13" s="68">
        <f t="shared" si="0"/>
        <v>1095000</v>
      </c>
      <c r="J13" s="68">
        <v>1095000</v>
      </c>
      <c r="K13" s="68">
        <f t="shared" ref="K13:K26" si="3">I13-J13</f>
        <v>0</v>
      </c>
      <c r="L13" s="87" t="s">
        <v>69</v>
      </c>
      <c r="M13" s="76"/>
      <c r="N13" s="76"/>
      <c r="P13" s="195"/>
      <c r="Q13" s="195"/>
      <c r="R13" s="194"/>
    </row>
    <row r="14" spans="1:18" ht="16.5" customHeight="1" x14ac:dyDescent="0.25">
      <c r="A14" s="19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1500000</v>
      </c>
      <c r="I14" s="68">
        <f t="shared" si="0"/>
        <v>900000</v>
      </c>
      <c r="J14" s="74">
        <v>900000</v>
      </c>
      <c r="K14" s="68">
        <f t="shared" si="3"/>
        <v>0</v>
      </c>
      <c r="L14" s="87" t="s">
        <v>69</v>
      </c>
      <c r="M14" s="79"/>
      <c r="N14" s="79"/>
      <c r="P14" s="195"/>
      <c r="Q14" s="195"/>
      <c r="R14" s="194"/>
    </row>
    <row r="15" spans="1:18" ht="22.5" customHeight="1" x14ac:dyDescent="0.3">
      <c r="A15" s="192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1760000</v>
      </c>
      <c r="I15" s="68">
        <f t="shared" si="0"/>
        <v>880000</v>
      </c>
      <c r="J15" s="74">
        <v>880000</v>
      </c>
      <c r="K15" s="68">
        <f t="shared" si="3"/>
        <v>0</v>
      </c>
      <c r="L15" s="87" t="s">
        <v>69</v>
      </c>
      <c r="M15" s="76"/>
      <c r="N15" s="85"/>
      <c r="P15" s="196" t="s">
        <v>117</v>
      </c>
      <c r="Q15" s="196"/>
      <c r="R15" s="160">
        <f>SUM(J7:J98)</f>
        <v>13500000</v>
      </c>
    </row>
    <row r="16" spans="1:18" ht="16.5" customHeight="1" x14ac:dyDescent="0.25">
      <c r="A16" s="192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105"/>
      <c r="M16" s="76"/>
      <c r="N16" s="76"/>
    </row>
    <row r="17" spans="1:19" ht="16.5" customHeight="1" x14ac:dyDescent="0.25">
      <c r="A17" s="19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2440000</v>
      </c>
      <c r="I17" s="68">
        <f t="shared" si="0"/>
        <v>1220000</v>
      </c>
      <c r="J17" s="74">
        <v>1220000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192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300000</v>
      </c>
      <c r="I18" s="68">
        <f t="shared" si="0"/>
        <v>180000</v>
      </c>
      <c r="J18" s="74">
        <v>300000</v>
      </c>
      <c r="K18" s="68">
        <f t="shared" si="3"/>
        <v>-120000</v>
      </c>
      <c r="L18" s="87" t="s">
        <v>69</v>
      </c>
      <c r="M18" s="76" t="s">
        <v>181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19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2370000</v>
      </c>
      <c r="I19" s="68">
        <f t="shared" si="0"/>
        <v>1185000</v>
      </c>
      <c r="J19" s="68">
        <v>1190000</v>
      </c>
      <c r="K19" s="68">
        <f t="shared" si="3"/>
        <v>-5000</v>
      </c>
      <c r="L19" s="87" t="s">
        <v>69</v>
      </c>
      <c r="M19" s="76" t="s">
        <v>179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19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3600000</v>
      </c>
      <c r="I20" s="68">
        <f t="shared" si="0"/>
        <v>1800000</v>
      </c>
      <c r="J20" s="68">
        <v>1800000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19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 t="shared" si="0"/>
        <v>905000</v>
      </c>
      <c r="J21" s="74">
        <v>905000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192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192"/>
      <c r="B23" s="64">
        <f t="shared" si="4"/>
        <v>11</v>
      </c>
      <c r="C23" s="65"/>
      <c r="D23" s="66"/>
      <c r="E23" s="66"/>
      <c r="F23" s="66"/>
      <c r="G23" s="75" t="s">
        <v>25</v>
      </c>
      <c r="H23" s="134"/>
      <c r="I23" s="68">
        <f t="shared" si="0"/>
        <v>0</v>
      </c>
      <c r="J23" s="132"/>
      <c r="K23" s="68">
        <f t="shared" si="3"/>
        <v>0</v>
      </c>
      <c r="L23" s="87"/>
      <c r="M23" s="105"/>
      <c r="N23" s="79"/>
    </row>
    <row r="24" spans="1:19" ht="16.5" customHeight="1" x14ac:dyDescent="0.25">
      <c r="A24" s="192"/>
      <c r="B24" s="64">
        <f t="shared" si="4"/>
        <v>12</v>
      </c>
      <c r="C24" s="65"/>
      <c r="D24" s="75"/>
      <c r="E24" s="75"/>
      <c r="F24" s="75"/>
      <c r="G24" s="64" t="s">
        <v>19</v>
      </c>
      <c r="H24" s="134"/>
      <c r="I24" s="68">
        <f t="shared" si="0"/>
        <v>0</v>
      </c>
      <c r="J24" s="133"/>
      <c r="K24" s="68">
        <f>I24-J24</f>
        <v>0</v>
      </c>
      <c r="L24" s="87"/>
      <c r="M24" s="105"/>
      <c r="N24" s="105"/>
    </row>
    <row r="25" spans="1:19" ht="16.5" x14ac:dyDescent="0.25">
      <c r="A25" s="19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2010000</v>
      </c>
      <c r="I25" s="68">
        <f t="shared" si="0"/>
        <v>1005000</v>
      </c>
      <c r="J25" s="68">
        <v>1005000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192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1730000</v>
      </c>
      <c r="I26" s="68">
        <f t="shared" si="0"/>
        <v>865000</v>
      </c>
      <c r="J26" s="133">
        <v>865000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192"/>
      <c r="B27" s="64">
        <f t="shared" si="4"/>
        <v>15</v>
      </c>
      <c r="C27" s="105"/>
      <c r="D27" s="105"/>
      <c r="E27" s="105"/>
      <c r="F27" s="105"/>
      <c r="G27" s="75" t="s">
        <v>168</v>
      </c>
      <c r="H27" s="105"/>
      <c r="I27" s="68">
        <f t="shared" si="0"/>
        <v>0</v>
      </c>
      <c r="J27" s="105"/>
      <c r="K27" s="105"/>
      <c r="L27" s="105"/>
      <c r="M27" s="136"/>
      <c r="N27" s="76"/>
    </row>
    <row r="28" spans="1:19" ht="16.5" customHeight="1" x14ac:dyDescent="0.25">
      <c r="A28" s="192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192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192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C21C-77CD-43F0-AFA0-F349FDF4E652}">
  <dimension ref="A3:S39"/>
  <sheetViews>
    <sheetView zoomScale="85" zoomScaleNormal="85" workbookViewId="0">
      <selection activeCell="J8" sqref="J8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</row>
    <row r="4" spans="1:18" ht="30.75" x14ac:dyDescent="0.25">
      <c r="C4" s="117"/>
      <c r="D4" s="117"/>
      <c r="E4" s="117"/>
      <c r="H4" s="116" t="s">
        <v>183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1540000</v>
      </c>
      <c r="I7" s="68">
        <f>IF(H7="",0,IF(H7&gt;1700000,H7*Q$19,H7*Q$18))</f>
        <v>924000</v>
      </c>
      <c r="J7" s="68">
        <v>930000</v>
      </c>
      <c r="K7" s="68">
        <f>I7-J7</f>
        <v>-6000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 t="shared" ref="I8:I27" si="0">IF(H8="",0,IF(H8&gt;1700000,H8*Q$19,H8*Q$18))</f>
        <v>900000</v>
      </c>
      <c r="J8" s="68">
        <v>900000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188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1050000</v>
      </c>
      <c r="I9" s="68">
        <f t="shared" si="0"/>
        <v>630000</v>
      </c>
      <c r="J9" s="74">
        <v>630000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188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193" t="s">
        <v>29</v>
      </c>
      <c r="Q10" s="193"/>
      <c r="R10" s="194">
        <f>SUM(H7:H999)</f>
        <v>25245000</v>
      </c>
    </row>
    <row r="11" spans="1:18" ht="16.5" customHeight="1" x14ac:dyDescent="0.25">
      <c r="A11" s="189"/>
      <c r="H11" s="26"/>
      <c r="I11" s="26"/>
      <c r="J11" s="26"/>
      <c r="K11" s="26"/>
      <c r="M11" s="79"/>
      <c r="N11" s="79"/>
      <c r="P11" s="193"/>
      <c r="Q11" s="193"/>
      <c r="R11" s="19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95" t="s">
        <v>143</v>
      </c>
      <c r="Q12" s="195"/>
      <c r="R12" s="194">
        <f>SUM(I7:I999)</f>
        <v>13121500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2440000</v>
      </c>
      <c r="I13" s="68">
        <f t="shared" si="0"/>
        <v>1220000</v>
      </c>
      <c r="J13" s="68">
        <v>1220000</v>
      </c>
      <c r="K13" s="68">
        <f t="shared" ref="K13:K26" si="3">I13-J13</f>
        <v>0</v>
      </c>
      <c r="L13" s="87" t="s">
        <v>69</v>
      </c>
      <c r="M13" s="76"/>
      <c r="N13" s="76"/>
      <c r="P13" s="195"/>
      <c r="Q13" s="195"/>
      <c r="R13" s="194"/>
    </row>
    <row r="14" spans="1:18" ht="16.5" customHeight="1" x14ac:dyDescent="0.25">
      <c r="A14" s="19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1860000</v>
      </c>
      <c r="I14" s="68">
        <f t="shared" si="0"/>
        <v>930000</v>
      </c>
      <c r="J14" s="74">
        <v>930000</v>
      </c>
      <c r="K14" s="68">
        <f t="shared" si="3"/>
        <v>0</v>
      </c>
      <c r="L14" s="87" t="s">
        <v>69</v>
      </c>
      <c r="M14" s="79"/>
      <c r="N14" s="79"/>
      <c r="P14" s="195"/>
      <c r="Q14" s="195"/>
      <c r="R14" s="194"/>
    </row>
    <row r="15" spans="1:18" ht="22.5" customHeight="1" x14ac:dyDescent="0.3">
      <c r="A15" s="192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1850000</v>
      </c>
      <c r="I15" s="68">
        <f t="shared" si="0"/>
        <v>925000</v>
      </c>
      <c r="J15" s="74">
        <v>925000</v>
      </c>
      <c r="K15" s="68">
        <f t="shared" si="3"/>
        <v>0</v>
      </c>
      <c r="L15" s="87" t="s">
        <v>69</v>
      </c>
      <c r="M15" s="76"/>
      <c r="N15" s="85"/>
      <c r="P15" s="196" t="s">
        <v>117</v>
      </c>
      <c r="Q15" s="196"/>
      <c r="R15" s="160">
        <f>SUM(J7:J98)</f>
        <v>13128000</v>
      </c>
    </row>
    <row r="16" spans="1:18" ht="16.5" customHeight="1" x14ac:dyDescent="0.25">
      <c r="A16" s="192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19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1850000</v>
      </c>
      <c r="I17" s="68">
        <f t="shared" si="0"/>
        <v>925000</v>
      </c>
      <c r="J17" s="74">
        <v>925000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192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19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900000</v>
      </c>
      <c r="I19" s="68">
        <f t="shared" si="0"/>
        <v>540000</v>
      </c>
      <c r="J19" s="68">
        <v>540000</v>
      </c>
      <c r="K19" s="68">
        <f t="shared" si="3"/>
        <v>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19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4400000</v>
      </c>
      <c r="I20" s="68">
        <f t="shared" si="0"/>
        <v>2200000</v>
      </c>
      <c r="J20" s="68">
        <v>2200000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19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1710000</v>
      </c>
      <c r="I21" s="68">
        <f t="shared" si="0"/>
        <v>855000</v>
      </c>
      <c r="J21" s="74">
        <v>855000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192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192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192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19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2370000</v>
      </c>
      <c r="I25" s="68">
        <f t="shared" si="0"/>
        <v>1185000</v>
      </c>
      <c r="J25" s="68">
        <v>1185000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192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1975000</v>
      </c>
      <c r="I26" s="68">
        <f t="shared" si="0"/>
        <v>987500</v>
      </c>
      <c r="J26" s="133">
        <v>988000</v>
      </c>
      <c r="K26" s="68">
        <f t="shared" si="3"/>
        <v>-500</v>
      </c>
      <c r="L26" s="87" t="s">
        <v>69</v>
      </c>
      <c r="M26" s="136"/>
      <c r="N26" s="76"/>
    </row>
    <row r="27" spans="1:19" ht="20.45" customHeight="1" x14ac:dyDescent="0.25">
      <c r="A27" s="192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192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192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192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824A-5CD7-422B-BA7A-5CBF215537AD}">
  <dimension ref="A3:S39"/>
  <sheetViews>
    <sheetView tabSelected="1" zoomScale="85" zoomScaleNormal="85" workbookViewId="0">
      <selection activeCell="Q28" sqref="Q28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73" t="s">
        <v>31</v>
      </c>
      <c r="C3" s="173"/>
      <c r="D3" s="173"/>
      <c r="E3" s="173"/>
      <c r="F3" s="173"/>
      <c r="G3" s="173"/>
      <c r="H3" s="173"/>
      <c r="I3" s="173"/>
      <c r="J3" s="173"/>
      <c r="K3" s="173"/>
    </row>
    <row r="4" spans="1:18" ht="30.75" x14ac:dyDescent="0.25">
      <c r="C4" s="117"/>
      <c r="D4" s="117"/>
      <c r="E4" s="117"/>
      <c r="H4" s="116" t="s">
        <v>187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187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IF(H7="",0,IF(H7&gt;1700000,H7*Q$19,H7*Q$18))</f>
        <v>900000</v>
      </c>
      <c r="J7" s="68">
        <v>900000</v>
      </c>
      <c r="K7" s="68">
        <f>I7-J7</f>
        <v>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188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27" si="0">IF(H8="",0,IF(H8&gt;1700000,H8*Q$19,H8*Q$18))</f>
        <v>720000</v>
      </c>
      <c r="J8" s="68">
        <v>600000</v>
      </c>
      <c r="K8" s="68">
        <f t="shared" ref="K8:K10" si="1">I8-J8</f>
        <v>120000</v>
      </c>
      <c r="L8" s="88" t="s">
        <v>26</v>
      </c>
      <c r="M8" s="76" t="s">
        <v>185</v>
      </c>
      <c r="N8" s="76"/>
      <c r="P8" s="82" t="s">
        <v>72</v>
      </c>
    </row>
    <row r="9" spans="1:18" ht="16.5" customHeight="1" x14ac:dyDescent="0.25">
      <c r="A9" s="188"/>
      <c r="B9" s="64">
        <f t="shared" ref="B9:B10" si="2">B8+1</f>
        <v>3</v>
      </c>
      <c r="C9" s="153" t="s">
        <v>134</v>
      </c>
      <c r="D9" s="152" t="s">
        <v>101</v>
      </c>
      <c r="E9" s="152">
        <v>70081001153</v>
      </c>
      <c r="F9" s="152" t="s">
        <v>102</v>
      </c>
      <c r="G9" s="152" t="s">
        <v>83</v>
      </c>
      <c r="H9" s="143">
        <v>430000</v>
      </c>
      <c r="I9" s="143">
        <f t="shared" si="0"/>
        <v>258000</v>
      </c>
      <c r="J9" s="144">
        <v>260000</v>
      </c>
      <c r="K9" s="143">
        <f t="shared" si="1"/>
        <v>-2000</v>
      </c>
      <c r="L9" s="150" t="s">
        <v>26</v>
      </c>
      <c r="M9" s="172" t="s">
        <v>186</v>
      </c>
      <c r="N9" s="79"/>
    </row>
    <row r="10" spans="1:18" ht="16.5" customHeight="1" x14ac:dyDescent="0.25">
      <c r="A10" s="188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193" t="s">
        <v>29</v>
      </c>
      <c r="Q10" s="193"/>
      <c r="R10" s="194">
        <f>SUM(H7:H999)</f>
        <v>22790000</v>
      </c>
    </row>
    <row r="11" spans="1:18" ht="16.5" customHeight="1" x14ac:dyDescent="0.25">
      <c r="A11" s="189"/>
      <c r="H11" s="26"/>
      <c r="I11" s="26"/>
      <c r="J11" s="26"/>
      <c r="K11" s="26"/>
      <c r="M11" s="79"/>
      <c r="N11" s="79"/>
      <c r="P11" s="193"/>
      <c r="Q11" s="193"/>
      <c r="R11" s="194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95" t="s">
        <v>143</v>
      </c>
      <c r="Q12" s="195"/>
      <c r="R12" s="194">
        <f>SUM(I7:I999)</f>
        <v>12103000</v>
      </c>
    </row>
    <row r="13" spans="1:18" ht="22.5" customHeight="1" x14ac:dyDescent="0.25">
      <c r="A13" s="191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2050000</v>
      </c>
      <c r="I13" s="68">
        <f t="shared" si="0"/>
        <v>1025000</v>
      </c>
      <c r="J13" s="68">
        <v>1025000</v>
      </c>
      <c r="K13" s="68">
        <f t="shared" ref="K13:K26" si="3">I13-J13</f>
        <v>0</v>
      </c>
      <c r="L13" s="87" t="s">
        <v>69</v>
      </c>
      <c r="M13" s="76"/>
      <c r="N13" s="76"/>
      <c r="P13" s="195"/>
      <c r="Q13" s="195"/>
      <c r="R13" s="194"/>
    </row>
    <row r="14" spans="1:18" ht="16.5" customHeight="1" x14ac:dyDescent="0.25">
      <c r="A14" s="192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1270000</v>
      </c>
      <c r="I14" s="68">
        <f t="shared" si="0"/>
        <v>762000</v>
      </c>
      <c r="J14" s="74">
        <v>762000</v>
      </c>
      <c r="K14" s="68">
        <f t="shared" si="3"/>
        <v>0</v>
      </c>
      <c r="L14" s="87" t="s">
        <v>69</v>
      </c>
      <c r="M14" s="79"/>
      <c r="N14" s="79"/>
      <c r="P14" s="195"/>
      <c r="Q14" s="195"/>
      <c r="R14" s="194"/>
    </row>
    <row r="15" spans="1:18" ht="22.5" customHeight="1" x14ac:dyDescent="0.3">
      <c r="A15" s="192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1180000</v>
      </c>
      <c r="I15" s="68">
        <f t="shared" si="0"/>
        <v>708000</v>
      </c>
      <c r="J15" s="74">
        <v>708000</v>
      </c>
      <c r="K15" s="68">
        <f t="shared" si="3"/>
        <v>0</v>
      </c>
      <c r="L15" s="87" t="s">
        <v>69</v>
      </c>
      <c r="M15" s="76"/>
      <c r="N15" s="85"/>
      <c r="P15" s="196" t="s">
        <v>117</v>
      </c>
      <c r="Q15" s="196"/>
      <c r="R15" s="160">
        <f>SUM(J7:J98)</f>
        <v>12000000</v>
      </c>
    </row>
    <row r="16" spans="1:18" ht="16.5" customHeight="1" x14ac:dyDescent="0.25">
      <c r="A16" s="192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192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2100000</v>
      </c>
      <c r="I17" s="68">
        <f t="shared" si="0"/>
        <v>1050000</v>
      </c>
      <c r="J17" s="74">
        <v>1050000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192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192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2570000</v>
      </c>
      <c r="I19" s="68">
        <f t="shared" si="0"/>
        <v>1285000</v>
      </c>
      <c r="J19" s="68">
        <v>1300000</v>
      </c>
      <c r="K19" s="68">
        <f t="shared" si="3"/>
        <v>-15000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192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2650000</v>
      </c>
      <c r="I20" s="68">
        <f t="shared" si="0"/>
        <v>1325000</v>
      </c>
      <c r="J20" s="68">
        <v>1325000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192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2060000</v>
      </c>
      <c r="I21" s="68">
        <f t="shared" si="0"/>
        <v>1030000</v>
      </c>
      <c r="J21" s="74">
        <v>1030000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192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192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192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192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2000000</v>
      </c>
      <c r="I25" s="68">
        <f t="shared" si="0"/>
        <v>1000000</v>
      </c>
      <c r="J25" s="68">
        <v>1000000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192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2280000</v>
      </c>
      <c r="I26" s="68">
        <f t="shared" si="0"/>
        <v>1140000</v>
      </c>
      <c r="J26" s="133">
        <v>1140000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192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192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192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192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  <vt:lpstr>23-01</vt:lpstr>
      <vt:lpstr>24-01</vt:lpstr>
      <vt:lpstr>25-01</vt:lpstr>
      <vt:lpstr>26-01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2026-01-27T17:05:08Z</dcterms:modified>
</cp:coreProperties>
</file>