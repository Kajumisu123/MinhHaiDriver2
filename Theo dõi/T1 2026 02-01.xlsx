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CE04E7B6-51E0-4054-84F3-BC9770F194DE}" xr6:coauthVersionLast="47" xr6:coauthVersionMax="47" xr10:uidLastSave="{00000000-0000-0000-0000-000000000000}"/>
  <bookViews>
    <workbookView xWindow="-108" yWindow="-108" windowWidth="23256" windowHeight="12456" tabRatio="439" firstSheet="7" activeTab="15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4" i="20" l="1"/>
  <c r="B29" i="20"/>
  <c r="B30" i="20" s="1"/>
  <c r="B28" i="20"/>
  <c r="I27" i="20"/>
  <c r="K27" i="20" s="1"/>
  <c r="B27" i="20"/>
  <c r="I26" i="20"/>
  <c r="I24" i="20"/>
  <c r="I23" i="20"/>
  <c r="K23" i="20" s="1"/>
  <c r="I22" i="20"/>
  <c r="I21" i="20"/>
  <c r="K21" i="20" s="1"/>
  <c r="I20" i="20"/>
  <c r="K20" i="20" s="1"/>
  <c r="I19" i="20"/>
  <c r="K19" i="20" s="1"/>
  <c r="I18" i="20"/>
  <c r="K18" i="20" s="1"/>
  <c r="K17" i="20"/>
  <c r="I17" i="20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1" i="20"/>
  <c r="K11" i="20" s="1"/>
  <c r="R10" i="20"/>
  <c r="I10" i="20"/>
  <c r="K10" i="20" s="1"/>
  <c r="B9" i="20"/>
  <c r="B10" i="20" s="1"/>
  <c r="B11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0" l="1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K11" i="18" l="1"/>
  <c r="K26" i="18"/>
  <c r="I15" i="18" l="1"/>
  <c r="J28" i="18"/>
  <c r="I26" i="18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B17" i="18"/>
  <c r="B18" i="18" s="1"/>
  <c r="B19" i="18" s="1"/>
  <c r="B20" i="18" s="1"/>
  <c r="B21" i="18" s="1"/>
  <c r="B22" i="18" s="1"/>
  <c r="B23" i="18" s="1"/>
  <c r="B24" i="18" s="1"/>
  <c r="B25" i="18" s="1"/>
  <c r="B26" i="18" s="1"/>
  <c r="I16" i="18"/>
  <c r="K16" i="18" s="1"/>
  <c r="B16" i="18"/>
  <c r="I11" i="18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K21" i="17"/>
  <c r="I9" i="17"/>
  <c r="K9" i="17" s="1"/>
  <c r="B9" i="17"/>
  <c r="B10" i="17" s="1"/>
  <c r="B11" i="17" s="1"/>
  <c r="J30" i="17"/>
  <c r="J28" i="17"/>
  <c r="I24" i="17"/>
  <c r="K24" i="17" s="1"/>
  <c r="I23" i="17"/>
  <c r="K23" i="17" s="1"/>
  <c r="I22" i="17"/>
  <c r="K22" i="17" s="1"/>
  <c r="I21" i="17"/>
  <c r="I20" i="17"/>
  <c r="K20" i="17" s="1"/>
  <c r="I19" i="17"/>
  <c r="K19" i="17" s="1"/>
  <c r="I18" i="17"/>
  <c r="K18" i="17" s="1"/>
  <c r="I17" i="17"/>
  <c r="K17" i="17" s="1"/>
  <c r="B17" i="17"/>
  <c r="B18" i="17" s="1"/>
  <c r="B19" i="17" s="1"/>
  <c r="B20" i="17" s="1"/>
  <c r="B21" i="17" s="1"/>
  <c r="B22" i="17" s="1"/>
  <c r="B23" i="17" s="1"/>
  <c r="B24" i="17" s="1"/>
  <c r="B25" i="17" s="1"/>
  <c r="B26" i="17" s="1"/>
  <c r="I16" i="17"/>
  <c r="K16" i="17" s="1"/>
  <c r="B16" i="17"/>
  <c r="I15" i="17"/>
  <c r="K15" i="17" s="1"/>
  <c r="I11" i="17"/>
  <c r="K11" i="17" s="1"/>
  <c r="I10" i="17"/>
  <c r="K10" i="17" s="1"/>
  <c r="I8" i="17"/>
  <c r="K8" i="17" s="1"/>
  <c r="B8" i="17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1" i="16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<sst xmlns="http://schemas.openxmlformats.org/spreadsheetml/2006/main" count="1962" uniqueCount="146">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</sst>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D18" sqref="D18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55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8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8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8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8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8" x14ac:dyDescent="0.4">
      <c r="D25" s="23" t="s">
        <v>65</v>
      </c>
      <c r="E25" s="24">
        <v>0.6</v>
      </c>
      <c r="F25" s="25" t="s">
        <v>66</v>
      </c>
      <c r="H25" s="143" t="s">
        <v>29</v>
      </c>
      <c r="I25" s="143"/>
      <c r="J25" s="9">
        <f>SUM(H7:H1000)</f>
        <v>24820000</v>
      </c>
    </row>
    <row r="26" spans="2:13" ht="22.8" x14ac:dyDescent="0.4">
      <c r="H26" s="143" t="s">
        <v>30</v>
      </c>
      <c r="I26" s="143"/>
      <c r="J26" s="9">
        <f>SUM(I7:I1000)</f>
        <v>14390000</v>
      </c>
    </row>
    <row r="42" spans="2:2" x14ac:dyDescent="0.25">
      <c r="B42" s="22" t="s">
        <v>58</v>
      </c>
    </row>
    <row r="43" spans="2:2" ht="16.8" x14ac:dyDescent="0.25">
      <c r="B43" s="17" t="s">
        <v>14</v>
      </c>
    </row>
    <row r="44" spans="2:2" ht="16.8" x14ac:dyDescent="0.25">
      <c r="B44" s="18" t="s">
        <v>16</v>
      </c>
    </row>
    <row r="45" spans="2:2" ht="16.8" x14ac:dyDescent="0.25">
      <c r="B45" s="17" t="s">
        <v>17</v>
      </c>
    </row>
    <row r="46" spans="2:2" ht="16.8" x14ac:dyDescent="0.25">
      <c r="B46" s="18" t="s">
        <v>48</v>
      </c>
    </row>
    <row r="47" spans="2:2" ht="16.8" x14ac:dyDescent="0.25">
      <c r="B47" s="17" t="s">
        <v>19</v>
      </c>
    </row>
    <row r="48" spans="2:2" ht="16.8" x14ac:dyDescent="0.25">
      <c r="B48" s="19" t="s">
        <v>56</v>
      </c>
    </row>
    <row r="49" spans="2:2" ht="16.8" x14ac:dyDescent="0.25">
      <c r="B49" s="20" t="s">
        <v>22</v>
      </c>
    </row>
    <row r="50" spans="2:2" ht="16.8" x14ac:dyDescent="0.25">
      <c r="B50" s="19" t="s">
        <v>32</v>
      </c>
    </row>
    <row r="51" spans="2:2" ht="16.8" x14ac:dyDescent="0.25">
      <c r="B51" s="20" t="s">
        <v>25</v>
      </c>
    </row>
    <row r="52" spans="2:2" ht="16.8" x14ac:dyDescent="0.25">
      <c r="B52" s="19" t="s">
        <v>27</v>
      </c>
    </row>
    <row r="53" spans="2:2" ht="16.8" x14ac:dyDescent="0.25">
      <c r="B53" s="20" t="s">
        <v>57</v>
      </c>
    </row>
    <row r="54" spans="2:2" ht="16.8" x14ac:dyDescent="0.25">
      <c r="B54" s="19" t="s">
        <v>36</v>
      </c>
    </row>
    <row r="55" spans="2:2" ht="16.8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77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8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8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29135000</v>
      </c>
    </row>
    <row r="27" spans="1:13" ht="22.8" x14ac:dyDescent="0.4">
      <c r="H27" s="143" t="s">
        <v>30</v>
      </c>
      <c r="I27" s="14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85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8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32170000</v>
      </c>
    </row>
    <row r="27" spans="1:13" ht="22.8" x14ac:dyDescent="0.4">
      <c r="H27" s="143" t="s">
        <v>30</v>
      </c>
      <c r="I27" s="14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87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30806000</v>
      </c>
    </row>
    <row r="27" spans="1:13" ht="22.8" x14ac:dyDescent="0.4">
      <c r="H27" s="143" t="s">
        <v>30</v>
      </c>
      <c r="I27" s="14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H11" sqref="H11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95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30762000</v>
      </c>
    </row>
    <row r="27" spans="1:13" ht="22.8" x14ac:dyDescent="0.4">
      <c r="H27" s="143" t="s">
        <v>30</v>
      </c>
      <c r="I27" s="14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97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31566000</v>
      </c>
    </row>
    <row r="27" spans="1:13" ht="22.8" x14ac:dyDescent="0.4">
      <c r="H27" s="143" t="s">
        <v>30</v>
      </c>
      <c r="I27" s="14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1" sqref="H11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3" ht="30.6" x14ac:dyDescent="0.25">
      <c r="B3" s="141" t="s">
        <v>99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31500000</v>
      </c>
    </row>
    <row r="27" spans="1:13" ht="22.8" x14ac:dyDescent="0.4">
      <c r="H27" s="143" t="s">
        <v>30</v>
      </c>
      <c r="I27" s="14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C10" sqref="C10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6" ht="30.6" x14ac:dyDescent="0.25">
      <c r="B3" s="141" t="s">
        <v>100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32130000</v>
      </c>
    </row>
    <row r="27" spans="1:13" ht="22.8" x14ac:dyDescent="0.4">
      <c r="H27" s="143" t="s">
        <v>30</v>
      </c>
      <c r="I27" s="14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D23" sqref="D23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6" ht="30.6" x14ac:dyDescent="0.25">
      <c r="B3" s="141" t="s">
        <v>107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7.6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28500000</v>
      </c>
    </row>
    <row r="27" spans="1:13" ht="22.8" x14ac:dyDescent="0.4">
      <c r="H27" s="143" t="s">
        <v>30</v>
      </c>
      <c r="I27" s="14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</row>
    <row r="3" spans="2:16" ht="30.6" x14ac:dyDescent="0.25">
      <c r="B3" s="141" t="s">
        <v>109</v>
      </c>
      <c r="C3" s="142"/>
      <c r="D3" s="142"/>
      <c r="E3" s="142"/>
      <c r="F3" s="142"/>
      <c r="G3" s="142"/>
      <c r="H3" s="142"/>
      <c r="I3" s="142"/>
      <c r="J3" s="142"/>
      <c r="K3" s="142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8" x14ac:dyDescent="0.3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8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8" x14ac:dyDescent="0.4">
      <c r="C26" s="23" t="s">
        <v>65</v>
      </c>
      <c r="E26" s="24">
        <v>0.6</v>
      </c>
      <c r="F26" s="25" t="s">
        <v>66</v>
      </c>
      <c r="H26" s="143" t="s">
        <v>29</v>
      </c>
      <c r="I26" s="143"/>
      <c r="J26" s="9">
        <f>SUM(H7:H1001)</f>
        <v>28869000</v>
      </c>
    </row>
    <row r="27" spans="1:13" ht="22.8" x14ac:dyDescent="0.4">
      <c r="H27" s="143" t="s">
        <v>30</v>
      </c>
      <c r="I27" s="14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  <c r="D46" s="45" t="s">
        <v>72</v>
      </c>
    </row>
    <row r="47" spans="2:4" ht="16.8" x14ac:dyDescent="0.25">
      <c r="B47" s="18" t="s">
        <v>48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I8" sqref="I8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2.3320312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2" x14ac:dyDescent="0.3">
      <c r="A2" s="1"/>
      <c r="B2" s="140" t="s">
        <v>31</v>
      </c>
      <c r="C2" s="140"/>
      <c r="D2" s="140"/>
      <c r="E2" s="140"/>
      <c r="F2" s="140"/>
      <c r="G2" s="140"/>
      <c r="H2" s="140"/>
      <c r="I2" s="140"/>
      <c r="J2" s="140"/>
      <c r="K2" s="140"/>
      <c r="L2" s="1"/>
      <c r="M2" s="1"/>
      <c r="N2" s="1"/>
      <c r="O2" s="1"/>
      <c r="P2" s="1"/>
    </row>
    <row r="3" spans="1:16" ht="30.6" x14ac:dyDescent="0.3">
      <c r="A3" s="1"/>
      <c r="B3" s="141" t="s">
        <v>109</v>
      </c>
      <c r="C3" s="142"/>
      <c r="D3" s="142"/>
      <c r="E3" s="142"/>
      <c r="F3" s="142"/>
      <c r="G3" s="142"/>
      <c r="H3" s="142"/>
      <c r="I3" s="142"/>
      <c r="J3" s="142"/>
      <c r="K3" s="142"/>
      <c r="L3" s="1"/>
      <c r="M3" s="1"/>
      <c r="N3" s="1"/>
      <c r="O3" s="1"/>
      <c r="P3" s="1"/>
    </row>
    <row r="4" spans="1:16" ht="22.8" x14ac:dyDescent="0.4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4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8" x14ac:dyDescent="0.3">
      <c r="A8" s="14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8" x14ac:dyDescent="0.3">
      <c r="A9" s="14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8" x14ac:dyDescent="0.3">
      <c r="A10" s="14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8" x14ac:dyDescent="0.3">
      <c r="A11" s="14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8" x14ac:dyDescent="0.3">
      <c r="A12" s="14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8" x14ac:dyDescent="0.3">
      <c r="A13" s="14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8" x14ac:dyDescent="0.3">
      <c r="A15" s="14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8" x14ac:dyDescent="0.3">
      <c r="A16" s="14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8" x14ac:dyDescent="0.3">
      <c r="A17" s="14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8" x14ac:dyDescent="0.3">
      <c r="A18" s="14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8" x14ac:dyDescent="0.3">
      <c r="A19" s="14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8" x14ac:dyDescent="0.3">
      <c r="A20" s="14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8" x14ac:dyDescent="0.3">
      <c r="A21" s="14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8" x14ac:dyDescent="0.3">
      <c r="A22" s="14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8" x14ac:dyDescent="0.3">
      <c r="A23" s="14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8" x14ac:dyDescent="0.3">
      <c r="A24" s="14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8" x14ac:dyDescent="0.3">
      <c r="A25" s="14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8" x14ac:dyDescent="0.3">
      <c r="A26" s="14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44" t="s">
        <v>29</v>
      </c>
      <c r="I28" s="145"/>
      <c r="J28" s="9">
        <f>SUM(H7:H1001)</f>
        <v>29569000</v>
      </c>
    </row>
    <row r="29" spans="1:16" ht="22.8" x14ac:dyDescent="0.4">
      <c r="H29" s="144" t="s">
        <v>30</v>
      </c>
      <c r="I29" s="145"/>
      <c r="J29" s="9">
        <f>SUM(I7:I1001)</f>
        <v>17731000</v>
      </c>
    </row>
    <row r="30" spans="1:16" ht="22.8" x14ac:dyDescent="0.4">
      <c r="H30" s="144" t="s">
        <v>117</v>
      </c>
      <c r="I30" s="145"/>
      <c r="J30" s="63">
        <f>SUM(J7:J26)</f>
        <v>17731000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K26" sqref="K26"/>
    </sheetView>
  </sheetViews>
  <sheetFormatPr defaultRowHeight="14.4" x14ac:dyDescent="0.3"/>
  <cols>
    <col min="1" max="1" width="18.33203125" customWidth="1"/>
    <col min="3" max="3" width="38.88671875" bestFit="1" customWidth="1"/>
    <col min="4" max="4" width="15.44140625" bestFit="1" customWidth="1"/>
    <col min="5" max="5" width="15.5546875" bestFit="1" customWidth="1"/>
    <col min="6" max="6" width="16.44140625" bestFit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5.4414062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40" t="s">
        <v>31</v>
      </c>
      <c r="C3" s="140"/>
      <c r="D3" s="140"/>
      <c r="E3" s="140"/>
      <c r="F3" s="140"/>
      <c r="G3" s="140"/>
      <c r="H3" s="140"/>
      <c r="I3" s="140"/>
      <c r="J3" s="140"/>
      <c r="K3" s="14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4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4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4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4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4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8" x14ac:dyDescent="0.3">
      <c r="A12" s="14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4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4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8" x14ac:dyDescent="0.3">
      <c r="A16" s="14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8" x14ac:dyDescent="0.3">
      <c r="A17" s="14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8" x14ac:dyDescent="0.3">
      <c r="A18" s="14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8" x14ac:dyDescent="0.3">
      <c r="A19" s="14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8" x14ac:dyDescent="0.3">
      <c r="A20" s="14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8" x14ac:dyDescent="0.3">
      <c r="A21" s="14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8" x14ac:dyDescent="0.3">
      <c r="A22" s="14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8" x14ac:dyDescent="0.3">
      <c r="A23" s="14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8" x14ac:dyDescent="0.3">
      <c r="A24" s="14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8" x14ac:dyDescent="0.3">
      <c r="A25" s="14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8" x14ac:dyDescent="0.3">
      <c r="A26" s="14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44" t="s">
        <v>29</v>
      </c>
      <c r="I28" s="145"/>
      <c r="J28" s="9">
        <f>SUM(H7:H1001)</f>
        <v>29980000</v>
      </c>
    </row>
    <row r="29" spans="1:16" ht="22.8" x14ac:dyDescent="0.4">
      <c r="H29" s="144" t="s">
        <v>30</v>
      </c>
      <c r="I29" s="145"/>
      <c r="J29" s="9">
        <f>SUM(I7:I1001)</f>
        <v>17988000</v>
      </c>
    </row>
    <row r="30" spans="1:16" ht="22.8" x14ac:dyDescent="0.4">
      <c r="H30" s="144" t="s">
        <v>117</v>
      </c>
      <c r="I30" s="145"/>
      <c r="J30" s="63">
        <f>SUM(J7:J25)</f>
        <v>17996000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topLeftCell="A17" zoomScaleNormal="100" workbookViewId="0">
      <selection activeCell="J30" sqref="J30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0.554687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40" t="s">
        <v>31</v>
      </c>
      <c r="C3" s="140"/>
      <c r="D3" s="140"/>
      <c r="E3" s="140"/>
      <c r="F3" s="140"/>
      <c r="G3" s="140"/>
      <c r="H3" s="140"/>
      <c r="I3" s="140"/>
      <c r="J3" s="140"/>
      <c r="K3" s="14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4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4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4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4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4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8" x14ac:dyDescent="0.3">
      <c r="A12" s="14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4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4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8" x14ac:dyDescent="0.3">
      <c r="A16" s="14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8" x14ac:dyDescent="0.3">
      <c r="A17" s="14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8" x14ac:dyDescent="0.3">
      <c r="A18" s="14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4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4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8" x14ac:dyDescent="0.3">
      <c r="A21" s="14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8" x14ac:dyDescent="0.3">
      <c r="A22" s="14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8" x14ac:dyDescent="0.3">
      <c r="A23" s="14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8" x14ac:dyDescent="0.3">
      <c r="A24" s="14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8" x14ac:dyDescent="0.3">
      <c r="A25" s="14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8" x14ac:dyDescent="0.3">
      <c r="A26" s="14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44" t="s">
        <v>29</v>
      </c>
      <c r="I28" s="145"/>
      <c r="J28" s="9">
        <f>SUM(H7:H1001)</f>
        <v>31650000</v>
      </c>
    </row>
    <row r="29" spans="1:16" ht="22.8" x14ac:dyDescent="0.4">
      <c r="H29" s="144" t="s">
        <v>30</v>
      </c>
      <c r="I29" s="145"/>
      <c r="J29" s="9">
        <f>SUM(I7:I1001)</f>
        <v>18990000</v>
      </c>
    </row>
    <row r="30" spans="1:16" ht="22.8" x14ac:dyDescent="0.4">
      <c r="H30" s="144" t="s">
        <v>117</v>
      </c>
      <c r="I30" s="145"/>
      <c r="J30" s="63">
        <f>SUM(J7:J25)</f>
        <v>18990000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J11" activeCellId="1" sqref="H11 J11"/>
    </sheetView>
  </sheetViews>
  <sheetFormatPr defaultRowHeight="14.4" x14ac:dyDescent="0.3"/>
  <cols>
    <col min="1" max="1" width="18.33203125" customWidth="1"/>
    <col min="3" max="3" width="42.109375" customWidth="1"/>
    <col min="4" max="6" width="0" hidden="1" customWidth="1"/>
    <col min="7" max="7" width="19.5546875" customWidth="1"/>
    <col min="8" max="8" width="20.44140625" customWidth="1"/>
    <col min="9" max="9" width="20.6640625" customWidth="1"/>
    <col min="10" max="10" width="20.109375" customWidth="1"/>
    <col min="11" max="12" width="19.44140625" customWidth="1"/>
    <col min="13" max="13" width="20.5546875" customWidth="1"/>
    <col min="14" max="14" width="14.10937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L2" s="1"/>
      <c r="M2" s="1"/>
      <c r="N2" s="1"/>
      <c r="O2" s="1"/>
      <c r="P2" s="1"/>
    </row>
    <row r="3" spans="1:16" ht="28.2" x14ac:dyDescent="0.3">
      <c r="A3" s="1"/>
      <c r="B3" s="140" t="s">
        <v>31</v>
      </c>
      <c r="C3" s="140"/>
      <c r="D3" s="140"/>
      <c r="E3" s="140"/>
      <c r="F3" s="140"/>
      <c r="G3" s="140"/>
      <c r="H3" s="140"/>
      <c r="I3" s="140"/>
      <c r="J3" s="140"/>
      <c r="K3" s="140"/>
      <c r="L3" s="1"/>
      <c r="M3" s="1"/>
      <c r="N3" s="1"/>
      <c r="O3" s="1"/>
      <c r="P3" s="1"/>
    </row>
    <row r="4" spans="1:16" ht="30.6" x14ac:dyDescent="0.4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399999999999999" x14ac:dyDescent="0.35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8" x14ac:dyDescent="0.3">
      <c r="A7" s="14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8" x14ac:dyDescent="0.3">
      <c r="A8" s="14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8" x14ac:dyDescent="0.3">
      <c r="A9" s="14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8" x14ac:dyDescent="0.3">
      <c r="A10" s="14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8" x14ac:dyDescent="0.3">
      <c r="A11" s="14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8" x14ac:dyDescent="0.3">
      <c r="A12" s="14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8" x14ac:dyDescent="0.3">
      <c r="A13" s="14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4.6" x14ac:dyDescent="0.3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8" x14ac:dyDescent="0.3">
      <c r="A15" s="14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8" x14ac:dyDescent="0.3">
      <c r="A16" s="14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8" x14ac:dyDescent="0.3">
      <c r="A17" s="14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8" x14ac:dyDescent="0.3">
      <c r="A18" s="14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4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8" x14ac:dyDescent="0.3">
      <c r="A20" s="14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8" x14ac:dyDescent="0.3">
      <c r="A21" s="14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8" x14ac:dyDescent="0.3">
      <c r="A22" s="14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8" x14ac:dyDescent="0.3">
      <c r="A23" s="14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8" x14ac:dyDescent="0.3">
      <c r="A24" s="14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8" x14ac:dyDescent="0.3">
      <c r="A25" s="14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8" x14ac:dyDescent="0.3">
      <c r="A26" s="14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3">
      <c r="A27" s="1"/>
      <c r="O27" s="1"/>
      <c r="P27" s="1"/>
    </row>
    <row r="28" spans="1:16" ht="22.8" x14ac:dyDescent="0.4">
      <c r="H28" s="144" t="s">
        <v>29</v>
      </c>
      <c r="I28" s="145"/>
      <c r="J28" s="9">
        <f>SUM(H7:H1001)</f>
        <v>29362000</v>
      </c>
    </row>
    <row r="29" spans="1:16" ht="22.8" x14ac:dyDescent="0.4">
      <c r="H29" s="144" t="s">
        <v>30</v>
      </c>
      <c r="I29" s="145"/>
      <c r="J29" s="9">
        <f>SUM(I7:I1001)</f>
        <v>17617200</v>
      </c>
    </row>
    <row r="30" spans="1:16" ht="22.8" x14ac:dyDescent="0.4">
      <c r="H30" s="144" t="s">
        <v>117</v>
      </c>
      <c r="I30" s="145"/>
      <c r="J30" s="63">
        <f>SUM(J7:J26)</f>
        <v>17619000</v>
      </c>
    </row>
    <row r="41" spans="4:8" x14ac:dyDescent="0.3">
      <c r="E41" s="1"/>
      <c r="G41" s="25"/>
      <c r="H41" s="1"/>
    </row>
    <row r="42" spans="4:8" x14ac:dyDescent="0.3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topLeftCell="A5" zoomScale="85" zoomScaleNormal="85" workbookViewId="0">
      <selection activeCell="M18" sqref="M18"/>
    </sheetView>
  </sheetViews>
  <sheetFormatPr defaultRowHeight="14.4" x14ac:dyDescent="0.3"/>
  <cols>
    <col min="1" max="1" width="23.109375" customWidth="1"/>
    <col min="3" max="3" width="38" customWidth="1"/>
    <col min="4" max="6" width="0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40" t="s">
        <v>31</v>
      </c>
      <c r="C3" s="140"/>
      <c r="D3" s="140"/>
      <c r="E3" s="140"/>
      <c r="F3" s="140"/>
      <c r="G3" s="140"/>
      <c r="H3" s="140"/>
      <c r="I3" s="140"/>
      <c r="J3" s="140"/>
      <c r="K3" s="14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5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3">
      <c r="A8" s="15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3">
      <c r="A9" s="15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3">
      <c r="A10" s="15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57" t="s">
        <v>29</v>
      </c>
      <c r="Q10" s="157"/>
      <c r="R10" s="152">
        <f>SUM(H7:H999)</f>
        <v>28468000</v>
      </c>
    </row>
    <row r="11" spans="1:18" ht="16.5" customHeight="1" x14ac:dyDescent="0.3">
      <c r="A11" s="15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57"/>
      <c r="Q11" s="157"/>
      <c r="R11" s="15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1" t="s">
        <v>143</v>
      </c>
      <c r="Q12" s="151"/>
      <c r="R12" s="152">
        <f>SUM(I7:I999)</f>
        <v>17080800</v>
      </c>
    </row>
    <row r="13" spans="1:18" ht="22.5" customHeight="1" x14ac:dyDescent="0.3">
      <c r="A13" s="14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1"/>
      <c r="Q13" s="151"/>
      <c r="R13" s="152"/>
    </row>
    <row r="14" spans="1:18" ht="16.5" customHeight="1" x14ac:dyDescent="0.3">
      <c r="A14" s="14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51"/>
      <c r="Q14" s="151"/>
      <c r="R14" s="152"/>
    </row>
    <row r="15" spans="1:18" ht="22.8" x14ac:dyDescent="0.4">
      <c r="A15" s="14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53" t="s">
        <v>117</v>
      </c>
      <c r="Q15" s="153"/>
      <c r="R15" s="130">
        <f>SUM(J7:J98)</f>
        <v>16486200</v>
      </c>
    </row>
    <row r="16" spans="1:18" ht="16.8" x14ac:dyDescent="0.3">
      <c r="A16" s="14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8" x14ac:dyDescent="0.3">
      <c r="A17" s="14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8" x14ac:dyDescent="0.3">
      <c r="A18" s="14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8" x14ac:dyDescent="0.3">
      <c r="A19" s="14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8" x14ac:dyDescent="0.3">
      <c r="A20" s="14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8" x14ac:dyDescent="0.3">
      <c r="A21" s="14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8" x14ac:dyDescent="0.3">
      <c r="A22" s="14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8" x14ac:dyDescent="0.3">
      <c r="A23" s="14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8" x14ac:dyDescent="0.3">
      <c r="A24" s="14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3">
      <c r="A26" s="14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3">
      <c r="A27" s="15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3">
      <c r="A28" s="15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3">
      <c r="A29" s="15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3">
      <c r="A30" s="15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tabSelected="1" zoomScale="68" zoomScaleNormal="85" workbookViewId="0">
      <selection activeCell="G33" sqref="G33"/>
    </sheetView>
  </sheetViews>
  <sheetFormatPr defaultRowHeight="14.4" x14ac:dyDescent="0.3"/>
  <cols>
    <col min="1" max="1" width="23.109375" customWidth="1"/>
    <col min="3" max="3" width="38" customWidth="1"/>
    <col min="4" max="6" width="0" hidden="1" customWidth="1"/>
    <col min="7" max="7" width="19.5546875" customWidth="1"/>
    <col min="8" max="8" width="20.44140625" customWidth="1"/>
    <col min="9" max="9" width="22.5546875" customWidth="1"/>
    <col min="10" max="10" width="20.109375" customWidth="1"/>
    <col min="11" max="12" width="19.44140625" customWidth="1"/>
    <col min="13" max="13" width="20.5546875" customWidth="1"/>
    <col min="14" max="14" width="14.109375" customWidth="1"/>
    <col min="16" max="16" width="18.5546875" customWidth="1"/>
    <col min="17" max="17" width="22.5546875" customWidth="1"/>
    <col min="18" max="18" width="21.33203125" customWidth="1"/>
  </cols>
  <sheetData>
    <row r="1" spans="1:18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3">
      <c r="A2" s="1"/>
      <c r="L2" s="1"/>
      <c r="M2" s="1"/>
      <c r="N2" s="1"/>
      <c r="O2" s="1"/>
      <c r="P2" s="1"/>
    </row>
    <row r="3" spans="1:18" ht="28.2" x14ac:dyDescent="0.3">
      <c r="A3" s="1"/>
      <c r="B3" s="140" t="s">
        <v>31</v>
      </c>
      <c r="C3" s="140"/>
      <c r="D3" s="140"/>
      <c r="E3" s="140"/>
      <c r="F3" s="140"/>
      <c r="G3" s="140"/>
      <c r="H3" s="140"/>
      <c r="I3" s="140"/>
      <c r="J3" s="140"/>
      <c r="K3" s="140"/>
      <c r="L3" s="1"/>
      <c r="M3" s="1"/>
      <c r="N3" s="1"/>
      <c r="O3" s="1"/>
      <c r="P3" s="1"/>
    </row>
    <row r="4" spans="1:18" ht="30.6" x14ac:dyDescent="0.4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3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3">
      <c r="A7" s="15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/>
      <c r="K7" s="68">
        <f>I7-J7</f>
        <v>1140000</v>
      </c>
      <c r="L7" s="82" t="s">
        <v>72</v>
      </c>
      <c r="M7" s="76"/>
      <c r="N7" s="76"/>
      <c r="O7" s="1"/>
      <c r="P7" s="88" t="s">
        <v>26</v>
      </c>
    </row>
    <row r="8" spans="1:18" ht="16.5" customHeight="1" x14ac:dyDescent="0.3">
      <c r="A8" s="155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/>
      <c r="J8" s="74"/>
      <c r="K8" s="68"/>
      <c r="L8" s="131"/>
      <c r="M8" s="76"/>
      <c r="N8" s="76"/>
      <c r="O8" s="1"/>
      <c r="P8" s="82" t="s">
        <v>72</v>
      </c>
    </row>
    <row r="9" spans="1:18" ht="16.5" customHeight="1" x14ac:dyDescent="0.3">
      <c r="A9" s="15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15"/>
      <c r="N9" s="79"/>
      <c r="O9" s="1"/>
      <c r="P9" s="1"/>
    </row>
    <row r="10" spans="1:18" ht="16.5" customHeight="1" x14ac:dyDescent="0.3">
      <c r="A10" s="15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1150000</v>
      </c>
      <c r="I10" s="68">
        <f t="shared" ref="I10:I11" si="0">H10*N$4</f>
        <v>690000</v>
      </c>
      <c r="J10" s="74"/>
      <c r="K10" s="68">
        <f>I10-J10</f>
        <v>690000</v>
      </c>
      <c r="L10" s="82" t="s">
        <v>72</v>
      </c>
      <c r="M10" s="76"/>
      <c r="N10" s="76"/>
      <c r="O10" s="1"/>
      <c r="P10" s="157" t="s">
        <v>29</v>
      </c>
      <c r="Q10" s="157"/>
      <c r="R10" s="152">
        <f>SUM(H7:H999)</f>
        <v>11965000</v>
      </c>
    </row>
    <row r="11" spans="1:18" ht="16.5" customHeight="1" x14ac:dyDescent="0.3">
      <c r="A11" s="15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1050000</v>
      </c>
      <c r="I11" s="68">
        <f t="shared" si="0"/>
        <v>630000</v>
      </c>
      <c r="J11" s="74"/>
      <c r="K11" s="68">
        <f>I11-J11</f>
        <v>630000</v>
      </c>
      <c r="L11" s="82" t="s">
        <v>72</v>
      </c>
      <c r="M11" s="79"/>
      <c r="N11" s="79"/>
      <c r="O11" s="1"/>
      <c r="P11" s="157"/>
      <c r="Q11" s="157"/>
      <c r="R11" s="152"/>
    </row>
    <row r="12" spans="1:18" ht="16.5" customHeight="1" x14ac:dyDescent="0.3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1" t="s">
        <v>143</v>
      </c>
      <c r="Q12" s="151"/>
      <c r="R12" s="152">
        <f>SUM(I7:I999)</f>
        <v>7179000</v>
      </c>
    </row>
    <row r="13" spans="1:18" ht="22.5" customHeight="1" x14ac:dyDescent="0.3">
      <c r="A13" s="14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7" si="1">I13-J13</f>
        <v>0</v>
      </c>
      <c r="L13" s="82" t="s">
        <v>72</v>
      </c>
      <c r="M13" s="76"/>
      <c r="N13" s="76"/>
      <c r="O13" s="1"/>
      <c r="P13" s="151"/>
      <c r="Q13" s="151"/>
      <c r="R13" s="152"/>
    </row>
    <row r="14" spans="1:18" ht="16.5" customHeight="1" x14ac:dyDescent="0.3">
      <c r="A14" s="14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51"/>
      <c r="Q14" s="151"/>
      <c r="R14" s="152"/>
    </row>
    <row r="15" spans="1:18" ht="22.8" x14ac:dyDescent="0.4">
      <c r="A15" s="14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53" t="s">
        <v>117</v>
      </c>
      <c r="Q15" s="153"/>
      <c r="R15" s="130">
        <f>SUM(J7:J98)</f>
        <v>3897000</v>
      </c>
    </row>
    <row r="16" spans="1:18" ht="16.8" x14ac:dyDescent="0.3">
      <c r="A16" s="14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/>
      <c r="I16" s="68">
        <f t="shared" si="2"/>
        <v>0</v>
      </c>
      <c r="J16" s="74"/>
      <c r="K16" s="68">
        <f t="shared" si="1"/>
        <v>0</v>
      </c>
      <c r="L16" s="82" t="s">
        <v>72</v>
      </c>
      <c r="M16" s="76"/>
      <c r="N16" s="85"/>
      <c r="O16" s="1"/>
      <c r="P16" s="1"/>
    </row>
    <row r="17" spans="1:16" ht="16.8" x14ac:dyDescent="0.3">
      <c r="A17" s="14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/>
      <c r="I17" s="68">
        <f t="shared" si="2"/>
        <v>0</v>
      </c>
      <c r="J17" s="74"/>
      <c r="K17" s="68">
        <f t="shared" si="1"/>
        <v>0</v>
      </c>
      <c r="L17" s="82" t="s">
        <v>72</v>
      </c>
      <c r="M17" s="76"/>
      <c r="N17" s="76"/>
      <c r="O17" s="1"/>
      <c r="P17" s="1"/>
    </row>
    <row r="18" spans="1:16" ht="16.8" x14ac:dyDescent="0.3">
      <c r="A18" s="14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/>
      <c r="I18" s="68">
        <f t="shared" si="2"/>
        <v>0</v>
      </c>
      <c r="J18" s="68"/>
      <c r="K18" s="68">
        <f t="shared" si="1"/>
        <v>0</v>
      </c>
      <c r="L18" s="82" t="s">
        <v>72</v>
      </c>
      <c r="M18" s="76"/>
      <c r="N18" s="85"/>
      <c r="O18" s="1"/>
      <c r="P18" s="1"/>
    </row>
    <row r="19" spans="1:16" ht="16.8" x14ac:dyDescent="0.3">
      <c r="A19" s="14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8" x14ac:dyDescent="0.3">
      <c r="A20" s="14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1650000</v>
      </c>
      <c r="I20" s="68">
        <f t="shared" si="2"/>
        <v>990000</v>
      </c>
      <c r="J20" s="74">
        <v>990000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8" x14ac:dyDescent="0.3">
      <c r="A21" s="14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/>
      <c r="I21" s="68">
        <f t="shared" si="2"/>
        <v>0</v>
      </c>
      <c r="J21" s="74"/>
      <c r="K21" s="68">
        <f t="shared" si="1"/>
        <v>0</v>
      </c>
      <c r="L21" s="82" t="s">
        <v>72</v>
      </c>
      <c r="M21" s="76"/>
      <c r="N21" s="76"/>
      <c r="O21" s="1"/>
      <c r="P21" s="1"/>
    </row>
    <row r="22" spans="1:16" ht="16.8" x14ac:dyDescent="0.3">
      <c r="A22" s="14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/>
      <c r="I22" s="68">
        <f t="shared" si="2"/>
        <v>0</v>
      </c>
      <c r="J22" s="68"/>
      <c r="K22" s="68">
        <v>0</v>
      </c>
      <c r="L22" s="82" t="s">
        <v>72</v>
      </c>
      <c r="M22" s="76"/>
      <c r="N22" s="76"/>
      <c r="O22" s="1"/>
      <c r="P22" s="1"/>
    </row>
    <row r="23" spans="1:16" ht="16.8" x14ac:dyDescent="0.3">
      <c r="A23" s="14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/>
      <c r="I23" s="68">
        <f t="shared" si="2"/>
        <v>0</v>
      </c>
      <c r="J23" s="68"/>
      <c r="K23" s="68">
        <f t="shared" si="1"/>
        <v>0</v>
      </c>
      <c r="L23" s="82" t="s">
        <v>72</v>
      </c>
      <c r="M23" s="79"/>
      <c r="N23" s="79"/>
      <c r="O23" s="1"/>
      <c r="P23" s="1"/>
    </row>
    <row r="24" spans="1:16" ht="16.8" x14ac:dyDescent="0.3">
      <c r="A24" s="14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1370000</v>
      </c>
      <c r="I24" s="68">
        <f t="shared" si="2"/>
        <v>822000</v>
      </c>
      <c r="J24" s="74"/>
      <c r="K24" s="68">
        <f t="shared" si="1"/>
        <v>822000</v>
      </c>
      <c r="L24" s="82" t="s">
        <v>72</v>
      </c>
      <c r="M24" s="121" t="s">
        <v>124</v>
      </c>
      <c r="N24" s="105"/>
      <c r="O24" s="1"/>
      <c r="P24" s="1"/>
    </row>
    <row r="25" spans="1:16" x14ac:dyDescent="0.3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2" customHeight="1" x14ac:dyDescent="0.3">
      <c r="A26" s="14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2"/>
        <v>0</v>
      </c>
      <c r="J26" s="132"/>
      <c r="K26" s="132">
        <v>0</v>
      </c>
      <c r="L26" s="82" t="s">
        <v>72</v>
      </c>
      <c r="M26" s="136"/>
      <c r="N26" s="76"/>
      <c r="O26" s="1"/>
      <c r="P26" s="1"/>
    </row>
    <row r="27" spans="1:16" ht="20.399999999999999" customHeight="1" x14ac:dyDescent="0.3">
      <c r="A27" s="15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3">
      <c r="A28" s="15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3">
      <c r="A29" s="15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3">
      <c r="A30" s="15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3"/>
    <row r="32" spans="1:16" ht="15" customHeight="1" x14ac:dyDescent="0.3"/>
    <row r="39" spans="4:8" x14ac:dyDescent="0.3">
      <c r="E39" s="1"/>
      <c r="G39" s="25"/>
      <c r="H39" s="1"/>
    </row>
    <row r="40" spans="4:8" x14ac:dyDescent="0.3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2026-01-15T18:53:14Z</dcterms:modified>
</cp:coreProperties>
</file>