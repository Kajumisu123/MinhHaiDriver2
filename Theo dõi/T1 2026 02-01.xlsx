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35654464-EE9C-4F47-91D4-BA1822DF8B5D}" xr6:coauthVersionLast="47" xr6:coauthVersionMax="47" xr10:uidLastSave="{00000000-0000-0000-0000-000000000000}"/>
  <bookViews>
    <workbookView xWindow="-120" yWindow="-120" windowWidth="29040" windowHeight="15840" tabRatio="579" firstSheet="3" activeTab="18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  <sheet name="10-01" sheetId="14" state="hidden" r:id="rId10"/>
    <sheet name="10-01 (1)" sheetId="15" r:id="rId11"/>
    <sheet name="11-01 " sheetId="16" r:id="rId12"/>
    <sheet name="12-01" sheetId="17" r:id="rId13"/>
    <sheet name="13-01" sheetId="18" r:id="rId14"/>
    <sheet name="14-01" sheetId="19" r:id="rId15"/>
    <sheet name="15-01" sheetId="20" r:id="rId16"/>
    <sheet name="16-01" sheetId="21" r:id="rId17"/>
    <sheet name="17-01" sheetId="22" r:id="rId18"/>
    <sheet name="18-01" sheetId="23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0" i="23" l="1"/>
  <c r="K9" i="23"/>
  <c r="K8" i="23"/>
  <c r="K27" i="23"/>
  <c r="K28" i="23"/>
  <c r="K29" i="23"/>
  <c r="K14" i="23"/>
  <c r="K15" i="23"/>
  <c r="K16" i="23"/>
  <c r="K17" i="23"/>
  <c r="K18" i="23"/>
  <c r="K19" i="23"/>
  <c r="K20" i="23"/>
  <c r="K21" i="23"/>
  <c r="K22" i="23"/>
  <c r="I29" i="23"/>
  <c r="I28" i="23"/>
  <c r="I27" i="23"/>
  <c r="B27" i="23"/>
  <c r="B28" i="23" s="1"/>
  <c r="B29" i="23" s="1"/>
  <c r="B30" i="23" s="1"/>
  <c r="I26" i="23"/>
  <c r="K26" i="23" s="1"/>
  <c r="I22" i="23"/>
  <c r="I21" i="23"/>
  <c r="I20" i="23"/>
  <c r="I19" i="23"/>
  <c r="I18" i="23"/>
  <c r="I17" i="23"/>
  <c r="I16" i="23"/>
  <c r="R15" i="23"/>
  <c r="I15" i="23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I9" i="23"/>
  <c r="B9" i="23"/>
  <c r="B10" i="23" s="1"/>
  <c r="I8" i="23"/>
  <c r="B8" i="23"/>
  <c r="I7" i="23"/>
  <c r="K7" i="23" s="1"/>
  <c r="R12" i="23" l="1"/>
  <c r="K18" i="22"/>
  <c r="K20" i="22"/>
  <c r="K21" i="22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I20" i="22"/>
  <c r="I19" i="22"/>
  <c r="K19" i="22" s="1"/>
  <c r="I18" i="22"/>
  <c r="I17" i="22"/>
  <c r="K17" i="22" s="1"/>
  <c r="I16" i="22"/>
  <c r="K16" i="22" s="1"/>
  <c r="R15" i="22"/>
  <c r="I15" i="22"/>
  <c r="K15" i="22" s="1"/>
  <c r="B15" i="22"/>
  <c r="B16" i="22" s="1"/>
  <c r="B17" i="22" s="1"/>
  <c r="B18" i="22" s="1"/>
  <c r="B19" i="22" s="1"/>
  <c r="B20" i="22" s="1"/>
  <c r="B21" i="22" s="1"/>
  <c r="B22" i="22" s="1"/>
  <c r="B23" i="22" s="1"/>
  <c r="B24" i="22" s="1"/>
  <c r="B14" i="22"/>
  <c r="I13" i="22"/>
  <c r="K13" i="22" s="1"/>
  <c r="R10" i="22"/>
  <c r="I10" i="22"/>
  <c r="K10" i="22" s="1"/>
  <c r="K9" i="22"/>
  <c r="I9" i="22"/>
  <c r="B9" i="22"/>
  <c r="B10" i="22" s="1"/>
  <c r="I8" i="22"/>
  <c r="B8" i="22"/>
  <c r="I7" i="22"/>
  <c r="R12" i="22" l="1"/>
  <c r="K7" i="22"/>
  <c r="I8" i="21" l="1"/>
  <c r="K20" i="21"/>
  <c r="K19" i="21" l="1"/>
  <c r="I28" i="2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I19" i="2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K9" i="21"/>
  <c r="I9" i="21"/>
  <c r="B8" i="21"/>
  <c r="B9" i="21" s="1"/>
  <c r="B10" i="21" s="1"/>
  <c r="I7" i="21"/>
  <c r="K7" i="21" s="1"/>
  <c r="B23" i="20"/>
  <c r="B24" i="20" s="1"/>
  <c r="B16" i="20"/>
  <c r="B17" i="20" s="1"/>
  <c r="B18" i="20" s="1"/>
  <c r="B19" i="20" s="1"/>
  <c r="B20" i="20" s="1"/>
  <c r="B21" i="20" s="1"/>
  <c r="B22" i="20" s="1"/>
  <c r="B9" i="20"/>
  <c r="B10" i="20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I13" i="20"/>
  <c r="K13" i="20" s="1"/>
  <c r="I10" i="20"/>
  <c r="K10" i="20" s="1"/>
  <c r="R10" i="20"/>
  <c r="I9" i="20"/>
  <c r="K9" i="20" s="1"/>
  <c r="B8" i="20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B26" i="16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K10" i="16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<sst xmlns="http://schemas.openxmlformats.org/spreadsheetml/2006/main" count="2281" uniqueCount="153">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</sst>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2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</fonts>
  <fills count="2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168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55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153" t="s">
        <v>29</v>
      </c>
      <c r="I25" s="153"/>
      <c r="J25" s="9">
        <f>SUM(H7:H1000)</f>
        <v>24820000</v>
      </c>
    </row>
    <row r="26" spans="2:13" ht="22.5" x14ac:dyDescent="0.3">
      <c r="H26" s="153" t="s">
        <v>30</v>
      </c>
      <c r="I26" s="153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77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29135000</v>
      </c>
    </row>
    <row r="27" spans="1:13" ht="22.5" x14ac:dyDescent="0.3">
      <c r="H27" s="153" t="s">
        <v>30</v>
      </c>
      <c r="I27" s="153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85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32170000</v>
      </c>
    </row>
    <row r="27" spans="1:13" ht="22.5" x14ac:dyDescent="0.3">
      <c r="H27" s="153" t="s">
        <v>30</v>
      </c>
      <c r="I27" s="153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87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30806000</v>
      </c>
    </row>
    <row r="27" spans="1:13" ht="22.5" x14ac:dyDescent="0.3">
      <c r="H27" s="153" t="s">
        <v>30</v>
      </c>
      <c r="I27" s="153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95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30762000</v>
      </c>
    </row>
    <row r="27" spans="1:13" ht="22.5" x14ac:dyDescent="0.3">
      <c r="H27" s="153" t="s">
        <v>30</v>
      </c>
      <c r="I27" s="153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97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31566000</v>
      </c>
    </row>
    <row r="27" spans="1:13" ht="22.5" x14ac:dyDescent="0.3">
      <c r="H27" s="153" t="s">
        <v>30</v>
      </c>
      <c r="I27" s="153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3" ht="30.75" x14ac:dyDescent="0.25">
      <c r="B3" s="151" t="s">
        <v>99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31500000</v>
      </c>
    </row>
    <row r="27" spans="1:13" ht="22.5" x14ac:dyDescent="0.3">
      <c r="H27" s="153" t="s">
        <v>30</v>
      </c>
      <c r="I27" s="153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75" x14ac:dyDescent="0.25">
      <c r="B3" s="151" t="s">
        <v>100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32130000</v>
      </c>
    </row>
    <row r="27" spans="1:13" ht="22.5" x14ac:dyDescent="0.3">
      <c r="H27" s="153" t="s">
        <v>30</v>
      </c>
      <c r="I27" s="153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75" x14ac:dyDescent="0.25">
      <c r="B3" s="151" t="s">
        <v>107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28500000</v>
      </c>
    </row>
    <row r="27" spans="1:13" ht="22.5" x14ac:dyDescent="0.3">
      <c r="H27" s="153" t="s">
        <v>30</v>
      </c>
      <c r="I27" s="153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</row>
    <row r="3" spans="2:16" ht="30.75" x14ac:dyDescent="0.25">
      <c r="B3" s="151" t="s">
        <v>109</v>
      </c>
      <c r="C3" s="152"/>
      <c r="D3" s="152"/>
      <c r="E3" s="152"/>
      <c r="F3" s="152"/>
      <c r="G3" s="152"/>
      <c r="H3" s="152"/>
      <c r="I3" s="152"/>
      <c r="J3" s="152"/>
      <c r="K3" s="152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153" t="s">
        <v>29</v>
      </c>
      <c r="I26" s="153"/>
      <c r="J26" s="9">
        <f>SUM(H7:H1001)</f>
        <v>28869000</v>
      </c>
    </row>
    <row r="27" spans="1:13" ht="22.5" x14ac:dyDescent="0.3">
      <c r="H27" s="153" t="s">
        <v>30</v>
      </c>
      <c r="I27" s="153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150" t="s">
        <v>31</v>
      </c>
      <c r="C2" s="150"/>
      <c r="D2" s="150"/>
      <c r="E2" s="150"/>
      <c r="F2" s="150"/>
      <c r="G2" s="150"/>
      <c r="H2" s="150"/>
      <c r="I2" s="150"/>
      <c r="J2" s="150"/>
      <c r="K2" s="150"/>
      <c r="L2" s="1"/>
      <c r="M2" s="1"/>
      <c r="N2" s="1"/>
      <c r="O2" s="1"/>
      <c r="P2" s="1"/>
    </row>
    <row r="3" spans="1:16" ht="30.75" x14ac:dyDescent="0.25">
      <c r="A3" s="1"/>
      <c r="B3" s="151" t="s">
        <v>109</v>
      </c>
      <c r="C3" s="152"/>
      <c r="D3" s="152"/>
      <c r="E3" s="152"/>
      <c r="F3" s="152"/>
      <c r="G3" s="152"/>
      <c r="H3" s="152"/>
      <c r="I3" s="152"/>
      <c r="J3" s="152"/>
      <c r="K3" s="152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157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157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157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157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157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158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58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158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158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158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158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158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158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29569000</v>
      </c>
    </row>
    <row r="29" spans="1:16" ht="22.5" x14ac:dyDescent="0.3">
      <c r="H29" s="154" t="s">
        <v>30</v>
      </c>
      <c r="I29" s="155"/>
      <c r="J29" s="9">
        <f>SUM(I7:I1001)</f>
        <v>17731000</v>
      </c>
    </row>
    <row r="30" spans="1:16" ht="22.5" x14ac:dyDescent="0.3">
      <c r="H30" s="154" t="s">
        <v>117</v>
      </c>
      <c r="I30" s="155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158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29980000</v>
      </c>
    </row>
    <row r="29" spans="1:16" ht="22.5" x14ac:dyDescent="0.3">
      <c r="H29" s="154" t="s">
        <v>30</v>
      </c>
      <c r="I29" s="155"/>
      <c r="J29" s="9">
        <f>SUM(I7:I1001)</f>
        <v>17988000</v>
      </c>
    </row>
    <row r="30" spans="1:16" ht="22.5" x14ac:dyDescent="0.3">
      <c r="H30" s="154" t="s">
        <v>117</v>
      </c>
      <c r="I30" s="155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58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31650000</v>
      </c>
    </row>
    <row r="29" spans="1:16" ht="22.5" x14ac:dyDescent="0.3">
      <c r="H29" s="154" t="s">
        <v>30</v>
      </c>
      <c r="I29" s="155"/>
      <c r="J29" s="9">
        <f>SUM(I7:I1001)</f>
        <v>18990000</v>
      </c>
    </row>
    <row r="30" spans="1:16" ht="22.5" x14ac:dyDescent="0.3">
      <c r="H30" s="154" t="s">
        <v>117</v>
      </c>
      <c r="I30" s="155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156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157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157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157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157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157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157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158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158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158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158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158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158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158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158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158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158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154" t="s">
        <v>29</v>
      </c>
      <c r="I28" s="155"/>
      <c r="J28" s="9">
        <f>SUM(H7:H1001)</f>
        <v>29362000</v>
      </c>
    </row>
    <row r="29" spans="1:16" ht="22.5" x14ac:dyDescent="0.3">
      <c r="H29" s="154" t="s">
        <v>30</v>
      </c>
      <c r="I29" s="155"/>
      <c r="J29" s="9">
        <f>SUM(I7:I1001)</f>
        <v>17617200</v>
      </c>
    </row>
    <row r="30" spans="1:16" ht="22.5" x14ac:dyDescent="0.3">
      <c r="H30" s="154" t="s">
        <v>117</v>
      </c>
      <c r="I30" s="155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165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165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28468000</v>
      </c>
    </row>
    <row r="11" spans="1:18" ht="16.5" customHeight="1" x14ac:dyDescent="0.25">
      <c r="A11" s="166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17080800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16486200</v>
      </c>
    </row>
    <row r="16" spans="1:18" ht="16.5" x14ac:dyDescent="0.25">
      <c r="A16" s="158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158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158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158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158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158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158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160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dimension ref="A1:R40"/>
  <sheetViews>
    <sheetView zoomScale="85" zoomScaleNormal="85" workbookViewId="0">
      <selection activeCell="C8" sqref="C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20755000</v>
      </c>
    </row>
    <row r="11" spans="1:18" ht="16.5" customHeight="1" x14ac:dyDescent="0.25">
      <c r="A11" s="16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12453000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12451000</v>
      </c>
    </row>
    <row r="16" spans="1:18" ht="16.5" x14ac:dyDescent="0.25">
      <c r="A16" s="158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15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dimension ref="A1:R40"/>
  <sheetViews>
    <sheetView zoomScale="85" zoomScaleNormal="85" workbookViewId="0">
      <selection activeCell="R17" sqref="R17:R1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29815000</v>
      </c>
    </row>
    <row r="11" spans="1:18" ht="16.5" customHeight="1" x14ac:dyDescent="0.25">
      <c r="A11" s="16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17889000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17728000</v>
      </c>
    </row>
    <row r="16" spans="1:18" ht="16.5" x14ac:dyDescent="0.25">
      <c r="A16" s="158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dimension ref="A1:R40"/>
  <sheetViews>
    <sheetView zoomScale="85" zoomScaleNormal="85" workbookViewId="0">
      <selection activeCell="I21" sqref="I21"/>
    </sheetView>
  </sheetViews>
  <sheetFormatPr defaultRowHeight="15" x14ac:dyDescent="0.25"/>
  <cols>
    <col min="1" max="1" width="23.140625" customWidth="1"/>
    <col min="3" max="3" width="35.28515625" customWidth="1"/>
    <col min="4" max="4" width="19.85546875" customWidth="1"/>
    <col min="5" max="5" width="19.28515625" customWidth="1"/>
    <col min="6" max="6" width="26.42578125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29241000</v>
      </c>
    </row>
    <row r="11" spans="1:18" ht="16.5" customHeight="1" x14ac:dyDescent="0.25">
      <c r="A11" s="166"/>
      <c r="H11" s="146"/>
      <c r="I11" s="146"/>
      <c r="J11" s="146"/>
      <c r="K11" s="14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17544600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17384600</v>
      </c>
    </row>
    <row r="16" spans="1:18" ht="16.5" x14ac:dyDescent="0.25">
      <c r="A16" s="158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dimension ref="A1:R40"/>
  <sheetViews>
    <sheetView tabSelected="1" zoomScale="85" zoomScaleNormal="85" workbookViewId="0">
      <selection activeCell="K5" sqref="K5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150" t="s">
        <v>31</v>
      </c>
      <c r="C3" s="150"/>
      <c r="D3" s="150"/>
      <c r="E3" s="150"/>
      <c r="F3" s="150"/>
      <c r="G3" s="150"/>
      <c r="H3" s="150"/>
      <c r="I3" s="150"/>
      <c r="J3" s="150"/>
      <c r="K3" s="150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164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/>
      <c r="I7" s="68">
        <f>H7*N$4</f>
        <v>0</v>
      </c>
      <c r="J7" s="68"/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165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>
        <f>H8*N$4</f>
        <v>0</v>
      </c>
      <c r="J8" s="68"/>
      <c r="K8" s="68">
        <f t="shared" ref="K8:K10" si="0">I8-J8</f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165"/>
      <c r="B9" s="64">
        <f t="shared" ref="B9:B10" si="1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/>
      <c r="I9" s="68">
        <f>H9*N$4</f>
        <v>0</v>
      </c>
      <c r="J9" s="74"/>
      <c r="K9" s="68">
        <f t="shared" si="0"/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165"/>
      <c r="B10" s="64">
        <f t="shared" si="1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/>
      <c r="I10" s="68">
        <f>H10*N$4</f>
        <v>0</v>
      </c>
      <c r="J10" s="74"/>
      <c r="K10" s="68">
        <f t="shared" si="0"/>
        <v>0</v>
      </c>
      <c r="L10" s="88" t="s">
        <v>26</v>
      </c>
      <c r="M10" s="76"/>
      <c r="N10" s="76"/>
      <c r="O10" s="1"/>
      <c r="P10" s="167" t="s">
        <v>29</v>
      </c>
      <c r="Q10" s="167"/>
      <c r="R10" s="162">
        <f>SUM(H7:H999)</f>
        <v>0</v>
      </c>
    </row>
    <row r="11" spans="1:18" ht="16.5" customHeight="1" x14ac:dyDescent="0.25">
      <c r="A11" s="166"/>
      <c r="H11" s="146"/>
      <c r="I11" s="146"/>
      <c r="J11" s="146"/>
      <c r="K11" s="146"/>
      <c r="M11" s="79"/>
      <c r="N11" s="79"/>
      <c r="O11" s="1"/>
      <c r="P11" s="167"/>
      <c r="Q11" s="167"/>
      <c r="R11" s="1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161" t="s">
        <v>143</v>
      </c>
      <c r="Q12" s="161"/>
      <c r="R12" s="162">
        <f>SUM(I7:I999)</f>
        <v>0</v>
      </c>
    </row>
    <row r="13" spans="1:18" ht="22.5" customHeight="1" x14ac:dyDescent="0.25">
      <c r="A13" s="158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/>
      <c r="I13" s="68">
        <f>H13*N$4</f>
        <v>0</v>
      </c>
      <c r="J13" s="68"/>
      <c r="K13" s="68">
        <f t="shared" ref="K13:K29" si="2">I13-J13</f>
        <v>0</v>
      </c>
      <c r="L13" s="87" t="s">
        <v>69</v>
      </c>
      <c r="M13" s="76"/>
      <c r="N13" s="76"/>
      <c r="O13" s="1"/>
      <c r="P13" s="161"/>
      <c r="Q13" s="161"/>
      <c r="R13" s="162"/>
    </row>
    <row r="14" spans="1:18" ht="16.5" customHeight="1" x14ac:dyDescent="0.25">
      <c r="A14" s="158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161"/>
      <c r="Q14" s="161"/>
      <c r="R14" s="162"/>
    </row>
    <row r="15" spans="1:18" ht="22.5" x14ac:dyDescent="0.3">
      <c r="A15" s="158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/>
      <c r="I15" s="68">
        <f t="shared" ref="I15:I29" si="4">H15*N$4</f>
        <v>0</v>
      </c>
      <c r="J15" s="74"/>
      <c r="K15" s="68">
        <f t="shared" si="2"/>
        <v>0</v>
      </c>
      <c r="L15" s="87" t="s">
        <v>69</v>
      </c>
      <c r="M15" s="79"/>
      <c r="N15" s="79"/>
      <c r="O15" s="1"/>
      <c r="P15" s="163" t="s">
        <v>117</v>
      </c>
      <c r="Q15" s="163"/>
      <c r="R15" s="130">
        <f>SUM(J7:J98)</f>
        <v>0</v>
      </c>
    </row>
    <row r="16" spans="1:18" ht="16.5" x14ac:dyDescent="0.25">
      <c r="A16" s="158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/>
      <c r="I16" s="68">
        <f t="shared" si="4"/>
        <v>0</v>
      </c>
      <c r="J16" s="74"/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158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/>
      <c r="I17" s="68">
        <f t="shared" si="4"/>
        <v>0</v>
      </c>
      <c r="J17" s="68"/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158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/>
      <c r="I18" s="68">
        <f t="shared" si="4"/>
        <v>0</v>
      </c>
      <c r="J18" s="74"/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158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/>
      <c r="I19" s="68">
        <f t="shared" si="4"/>
        <v>0</v>
      </c>
      <c r="J19" s="74"/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158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/>
      <c r="I20" s="68">
        <f t="shared" si="4"/>
        <v>0</v>
      </c>
      <c r="J20" s="68"/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158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/>
      <c r="I21" s="68">
        <f t="shared" si="4"/>
        <v>0</v>
      </c>
      <c r="J21" s="68"/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158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/>
      <c r="I22" s="68">
        <f t="shared" si="4"/>
        <v>0</v>
      </c>
      <c r="J22" s="74"/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158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158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159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/>
      <c r="I26" s="132">
        <f t="shared" si="4"/>
        <v>0</v>
      </c>
      <c r="J26" s="132"/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1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/>
      <c r="I27" s="132">
        <f t="shared" si="4"/>
        <v>0</v>
      </c>
      <c r="J27" s="133"/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1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/>
      <c r="I28" s="132">
        <f t="shared" si="4"/>
        <v>0</v>
      </c>
      <c r="J28" s="68"/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1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/>
      <c r="I29" s="132">
        <f t="shared" si="4"/>
        <v>0</v>
      </c>
      <c r="J29" s="133"/>
      <c r="K29" s="132">
        <f t="shared" si="2"/>
        <v>0</v>
      </c>
      <c r="L29" s="87" t="s">
        <v>69</v>
      </c>
      <c r="M29" s="76"/>
      <c r="N29" s="76"/>
    </row>
    <row r="30" spans="1:16" ht="16.5" customHeight="1" x14ac:dyDescent="0.25">
      <c r="A30" s="1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2026-01-18T14:20:42Z</dcterms:modified>
</cp:coreProperties>
</file>