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53654D15-6217-472D-B228-0AC127CC50D4}" xr6:coauthVersionLast="47" xr6:coauthVersionMax="47" xr10:uidLastSave="{00000000-0000-0000-0000-000000000000}"/>
  <bookViews>
    <workbookView xWindow="-120" yWindow="-120" windowWidth="29040" windowHeight="15840" tabRatio="439" firstSheet="2" activeTab="12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17" l="1"/>
  <c r="J28" i="17"/>
  <c r="I25" i="17"/>
  <c r="K25" i="17" s="1"/>
  <c r="I24" i="17"/>
  <c r="I23" i="17"/>
  <c r="K23" i="17" s="1"/>
  <c r="I22" i="17"/>
  <c r="K22" i="17" s="1"/>
  <c r="I21" i="17"/>
  <c r="I20" i="17"/>
  <c r="K20" i="17" s="1"/>
  <c r="K19" i="17"/>
  <c r="I19" i="17"/>
  <c r="I18" i="17"/>
  <c r="K18" i="17" s="1"/>
  <c r="I17" i="17"/>
  <c r="K17" i="17" s="1"/>
  <c r="B17" i="17"/>
  <c r="B18" i="17" s="1"/>
  <c r="B19" i="17" s="1"/>
  <c r="B20" i="17" s="1"/>
  <c r="B21" i="17" s="1"/>
  <c r="B22" i="17" s="1"/>
  <c r="B23" i="17" s="1"/>
  <c r="B24" i="17" s="1"/>
  <c r="B25" i="17" s="1"/>
  <c r="B26" i="17" s="1"/>
  <c r="I16" i="17"/>
  <c r="K16" i="17" s="1"/>
  <c r="B16" i="17"/>
  <c r="I15" i="17"/>
  <c r="K15" i="17" s="1"/>
  <c r="I11" i="17"/>
  <c r="K11" i="17" s="1"/>
  <c r="I10" i="17"/>
  <c r="K10" i="17" s="1"/>
  <c r="I9" i="17"/>
  <c r="K9" i="17" s="1"/>
  <c r="B9" i="17"/>
  <c r="B10" i="17" s="1"/>
  <c r="B11" i="17" s="1"/>
  <c r="I8" i="17"/>
  <c r="K8" i="17" s="1"/>
  <c r="B8" i="17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1" i="16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J29" i="17" l="1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<sst xmlns="http://schemas.openxmlformats.org/spreadsheetml/2006/main" count="1609" uniqueCount="123">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</sst>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33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14" fillId="0" borderId="8" xfId="0" applyFont="1" applyFill="1" applyBorder="1" applyAlignment="1">
      <alignment horizontal="center" vertical="center"/>
    </xf>
    <xf numFmtId="0" fontId="31" fillId="0" borderId="8" xfId="0" applyFont="1" applyFill="1" applyBorder="1" applyAlignment="1">
      <alignment horizontal="center" vertical="center"/>
    </xf>
    <xf numFmtId="0" fontId="4" fillId="0" borderId="8" xfId="0" applyFont="1" applyFill="1" applyBorder="1"/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55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24" t="s">
        <v>29</v>
      </c>
      <c r="I25" s="124"/>
      <c r="J25" s="9">
        <f>SUM(H7:H1000)</f>
        <v>24820000</v>
      </c>
    </row>
    <row r="26" spans="2:13" ht="22.5" x14ac:dyDescent="0.3">
      <c r="H26" s="124" t="s">
        <v>30</v>
      </c>
      <c r="I26" s="124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77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29135000</v>
      </c>
    </row>
    <row r="27" spans="1:13" ht="22.5" x14ac:dyDescent="0.3">
      <c r="H27" s="124" t="s">
        <v>30</v>
      </c>
      <c r="I27" s="12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85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32170000</v>
      </c>
    </row>
    <row r="27" spans="1:13" ht="22.5" x14ac:dyDescent="0.3">
      <c r="H27" s="124" t="s">
        <v>30</v>
      </c>
      <c r="I27" s="12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87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30806000</v>
      </c>
    </row>
    <row r="27" spans="1:13" ht="22.5" x14ac:dyDescent="0.3">
      <c r="H27" s="124" t="s">
        <v>30</v>
      </c>
      <c r="I27" s="12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95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30762000</v>
      </c>
    </row>
    <row r="27" spans="1:13" ht="22.5" x14ac:dyDescent="0.3">
      <c r="H27" s="124" t="s">
        <v>30</v>
      </c>
      <c r="I27" s="12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97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31566000</v>
      </c>
    </row>
    <row r="27" spans="1:13" ht="22.5" x14ac:dyDescent="0.3">
      <c r="H27" s="124" t="s">
        <v>30</v>
      </c>
      <c r="I27" s="12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3" ht="30.75" x14ac:dyDescent="0.25">
      <c r="B3" s="122" t="s">
        <v>99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31500000</v>
      </c>
    </row>
    <row r="27" spans="1:13" ht="22.5" x14ac:dyDescent="0.3">
      <c r="H27" s="124" t="s">
        <v>30</v>
      </c>
      <c r="I27" s="124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I8" sqref="I8:I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6" ht="30.75" x14ac:dyDescent="0.25">
      <c r="B3" s="122" t="s">
        <v>100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32130000</v>
      </c>
    </row>
    <row r="27" spans="1:13" ht="22.5" x14ac:dyDescent="0.3">
      <c r="H27" s="124" t="s">
        <v>30</v>
      </c>
      <c r="I27" s="12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I13" sqref="I1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6" ht="30.75" x14ac:dyDescent="0.25">
      <c r="B3" s="122" t="s">
        <v>107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28500000</v>
      </c>
    </row>
    <row r="27" spans="1:13" ht="22.5" x14ac:dyDescent="0.3">
      <c r="H27" s="124" t="s">
        <v>30</v>
      </c>
      <c r="I27" s="124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6" ht="30.75" x14ac:dyDescent="0.25">
      <c r="B3" s="122" t="s">
        <v>109</v>
      </c>
      <c r="C3" s="123"/>
      <c r="D3" s="123"/>
      <c r="E3" s="123"/>
      <c r="F3" s="123"/>
      <c r="G3" s="123"/>
      <c r="H3" s="123"/>
      <c r="I3" s="123"/>
      <c r="J3" s="123"/>
      <c r="K3" s="12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24" t="s">
        <v>29</v>
      </c>
      <c r="I26" s="124"/>
      <c r="J26" s="9">
        <f>SUM(H7:H1001)</f>
        <v>28869000</v>
      </c>
    </row>
    <row r="27" spans="1:13" ht="22.5" x14ac:dyDescent="0.3">
      <c r="H27" s="124" t="s">
        <v>30</v>
      </c>
      <c r="I27" s="124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M9" sqref="M9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21" t="s">
        <v>31</v>
      </c>
      <c r="C2" s="121"/>
      <c r="D2" s="121"/>
      <c r="E2" s="121"/>
      <c r="F2" s="121"/>
      <c r="G2" s="121"/>
      <c r="H2" s="121"/>
      <c r="I2" s="121"/>
      <c r="J2" s="121"/>
      <c r="K2" s="121"/>
      <c r="L2" s="1"/>
      <c r="M2" s="1"/>
      <c r="N2" s="1"/>
      <c r="O2" s="1"/>
      <c r="P2" s="1"/>
    </row>
    <row r="3" spans="1:16" ht="30.75" x14ac:dyDescent="0.25">
      <c r="A3" s="1"/>
      <c r="B3" s="122" t="s">
        <v>109</v>
      </c>
      <c r="C3" s="123"/>
      <c r="D3" s="123"/>
      <c r="E3" s="123"/>
      <c r="F3" s="123"/>
      <c r="G3" s="123"/>
      <c r="H3" s="123"/>
      <c r="I3" s="123"/>
      <c r="J3" s="123"/>
      <c r="K3" s="123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7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28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28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28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28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28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28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29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29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29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29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29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29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29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29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29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29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29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29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5" t="s">
        <v>29</v>
      </c>
      <c r="I28" s="126"/>
      <c r="J28" s="9">
        <f>SUM(H7:H1001)</f>
        <v>29569000</v>
      </c>
    </row>
    <row r="29" spans="1:16" ht="22.5" x14ac:dyDescent="0.3">
      <c r="H29" s="125" t="s">
        <v>30</v>
      </c>
      <c r="I29" s="126"/>
      <c r="J29" s="9">
        <f>SUM(I7:I1001)</f>
        <v>17731000</v>
      </c>
    </row>
    <row r="30" spans="1:16" ht="22.5" x14ac:dyDescent="0.3">
      <c r="H30" s="125" t="s">
        <v>117</v>
      </c>
      <c r="I30" s="126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A3" zoomScaleNormal="100" workbookViewId="0">
      <selection activeCell="J25" sqref="J25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1" t="s">
        <v>31</v>
      </c>
      <c r="C3" s="121"/>
      <c r="D3" s="121"/>
      <c r="E3" s="121"/>
      <c r="F3" s="121"/>
      <c r="G3" s="121"/>
      <c r="H3" s="121"/>
      <c r="I3" s="121"/>
      <c r="J3" s="121"/>
      <c r="K3" s="12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2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2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2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2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2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2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2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2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2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2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2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2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2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/>
      <c r="N21" s="76"/>
      <c r="O21" s="1"/>
      <c r="P21" s="1"/>
    </row>
    <row r="22" spans="1:16" ht="16.5" x14ac:dyDescent="0.25">
      <c r="A22" s="12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2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2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2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29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5" t="s">
        <v>29</v>
      </c>
      <c r="I28" s="126"/>
      <c r="J28" s="9">
        <f>SUM(H7:H1001)</f>
        <v>29980000</v>
      </c>
    </row>
    <row r="29" spans="1:16" ht="22.5" x14ac:dyDescent="0.3">
      <c r="H29" s="125" t="s">
        <v>30</v>
      </c>
      <c r="I29" s="126"/>
      <c r="J29" s="9">
        <f>SUM(I7:I1001)</f>
        <v>17988000</v>
      </c>
    </row>
    <row r="30" spans="1:16" ht="22.5" x14ac:dyDescent="0.3">
      <c r="H30" s="125" t="s">
        <v>117</v>
      </c>
      <c r="I30" s="126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dimension ref="A1:P42"/>
  <sheetViews>
    <sheetView tabSelected="1" zoomScaleNormal="100" workbookViewId="0">
      <selection activeCell="P8" sqref="P8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1" t="s">
        <v>31</v>
      </c>
      <c r="C3" s="121"/>
      <c r="D3" s="121"/>
      <c r="E3" s="121"/>
      <c r="F3" s="121"/>
      <c r="G3" s="121"/>
      <c r="H3" s="121"/>
      <c r="I3" s="121"/>
      <c r="J3" s="121"/>
      <c r="K3" s="12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130"/>
      <c r="M7" s="76"/>
      <c r="N7" s="76"/>
      <c r="O7" s="1"/>
      <c r="P7" s="88" t="s">
        <v>26</v>
      </c>
    </row>
    <row r="8" spans="1:16" ht="16.5" x14ac:dyDescent="0.25">
      <c r="A8" s="12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1" si="0">H8*N$4</f>
        <v>0</v>
      </c>
      <c r="J8" s="74"/>
      <c r="K8" s="68">
        <f>I8-J8</f>
        <v>0</v>
      </c>
      <c r="L8" s="130"/>
      <c r="M8" s="76"/>
      <c r="N8" s="76"/>
      <c r="O8" s="1"/>
      <c r="P8" s="82" t="s">
        <v>72</v>
      </c>
    </row>
    <row r="9" spans="1:16" ht="16.5" x14ac:dyDescent="0.25">
      <c r="A9" s="12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31"/>
      <c r="M9" s="115"/>
      <c r="N9" s="79"/>
      <c r="O9" s="1"/>
      <c r="P9" s="1"/>
    </row>
    <row r="10" spans="1:16" ht="16.5" x14ac:dyDescent="0.25">
      <c r="A10" s="12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/>
      <c r="I10" s="68">
        <f t="shared" si="0"/>
        <v>0</v>
      </c>
      <c r="J10" s="74"/>
      <c r="K10" s="68">
        <f>I10-J10</f>
        <v>0</v>
      </c>
      <c r="L10" s="130"/>
      <c r="M10" s="76"/>
      <c r="N10" s="76"/>
      <c r="O10" s="1"/>
      <c r="P10" s="1"/>
    </row>
    <row r="11" spans="1:16" ht="16.5" x14ac:dyDescent="0.25">
      <c r="A11" s="12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/>
      <c r="I11" s="68">
        <f t="shared" si="0"/>
        <v>0</v>
      </c>
      <c r="J11" s="74"/>
      <c r="K11" s="68">
        <f>I11-J11</f>
        <v>0</v>
      </c>
      <c r="L11" s="130"/>
      <c r="M11" s="79"/>
      <c r="N11" s="79"/>
      <c r="O11" s="1"/>
      <c r="P11" s="1"/>
    </row>
    <row r="12" spans="1:16" ht="16.5" x14ac:dyDescent="0.25">
      <c r="A12" s="12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32"/>
      <c r="M12" s="105"/>
      <c r="N12" s="105"/>
      <c r="O12" s="1"/>
      <c r="P12" s="1"/>
    </row>
    <row r="13" spans="1:16" ht="16.5" x14ac:dyDescent="0.25">
      <c r="A13" s="12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2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/>
      <c r="I15" s="68">
        <f t="shared" ref="I15:I25" si="1">H15*N$4</f>
        <v>0</v>
      </c>
      <c r="J15" s="68"/>
      <c r="K15" s="68">
        <f t="shared" ref="K15:K23" si="2">I15-J15</f>
        <v>0</v>
      </c>
      <c r="L15" s="76"/>
      <c r="M15" s="76"/>
      <c r="N15" s="76"/>
      <c r="O15" s="1"/>
      <c r="P15" s="1"/>
    </row>
    <row r="16" spans="1:16" ht="16.5" x14ac:dyDescent="0.25">
      <c r="A16" s="12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/>
      <c r="I16" s="68">
        <f t="shared" si="1"/>
        <v>0</v>
      </c>
      <c r="J16" s="68"/>
      <c r="K16" s="68">
        <f t="shared" si="2"/>
        <v>0</v>
      </c>
      <c r="L16" s="76"/>
      <c r="M16" s="76"/>
      <c r="N16" s="76"/>
      <c r="O16" s="1"/>
      <c r="P16" s="1"/>
    </row>
    <row r="17" spans="1:16" ht="16.5" x14ac:dyDescent="0.25">
      <c r="A17" s="12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/>
      <c r="I17" s="68">
        <f t="shared" si="1"/>
        <v>0</v>
      </c>
      <c r="J17" s="74"/>
      <c r="K17" s="68">
        <f t="shared" si="2"/>
        <v>0</v>
      </c>
      <c r="L17" s="76"/>
      <c r="M17" s="79"/>
      <c r="N17" s="79"/>
      <c r="O17" s="1"/>
      <c r="P17" s="1"/>
    </row>
    <row r="18" spans="1:16" ht="16.5" x14ac:dyDescent="0.25">
      <c r="A18" s="12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/>
      <c r="I18" s="68">
        <f t="shared" si="1"/>
        <v>0</v>
      </c>
      <c r="J18" s="74"/>
      <c r="K18" s="68">
        <f t="shared" si="2"/>
        <v>0</v>
      </c>
      <c r="L18" s="76"/>
      <c r="M18" s="76"/>
      <c r="N18" s="85"/>
      <c r="O18" s="1"/>
      <c r="P18" s="1"/>
    </row>
    <row r="19" spans="1:16" ht="16.5" x14ac:dyDescent="0.25">
      <c r="A19" s="12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/>
      <c r="I19" s="68">
        <f t="shared" si="1"/>
        <v>0</v>
      </c>
      <c r="J19" s="74"/>
      <c r="K19" s="68">
        <f t="shared" si="2"/>
        <v>0</v>
      </c>
      <c r="L19" s="76"/>
      <c r="M19" s="76"/>
      <c r="N19" s="76"/>
      <c r="O19" s="1"/>
      <c r="P19" s="1"/>
    </row>
    <row r="20" spans="1:16" ht="16.5" x14ac:dyDescent="0.25">
      <c r="A20" s="12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/>
      <c r="I20" s="68">
        <f t="shared" si="1"/>
        <v>0</v>
      </c>
      <c r="J20" s="68"/>
      <c r="K20" s="68">
        <f t="shared" si="2"/>
        <v>0</v>
      </c>
      <c r="L20" s="76"/>
      <c r="M20" s="76"/>
      <c r="N20" s="85"/>
      <c r="O20" s="1"/>
      <c r="P20" s="1"/>
    </row>
    <row r="21" spans="1:16" ht="16.5" x14ac:dyDescent="0.25">
      <c r="A21" s="12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/>
      <c r="I21" s="68">
        <f t="shared" si="1"/>
        <v>0</v>
      </c>
      <c r="J21" s="74"/>
      <c r="K21" s="68">
        <v>0</v>
      </c>
      <c r="L21" s="76"/>
      <c r="M21" s="76"/>
      <c r="N21" s="76"/>
      <c r="O21" s="1"/>
      <c r="P21" s="1"/>
    </row>
    <row r="22" spans="1:16" ht="16.5" x14ac:dyDescent="0.25">
      <c r="A22" s="12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/>
      <c r="I22" s="68">
        <f t="shared" si="1"/>
        <v>0</v>
      </c>
      <c r="J22" s="74"/>
      <c r="K22" s="68">
        <f t="shared" si="2"/>
        <v>0</v>
      </c>
      <c r="L22" s="76"/>
      <c r="M22" s="80"/>
      <c r="N22" s="76"/>
      <c r="O22" s="1"/>
      <c r="P22" s="1"/>
    </row>
    <row r="23" spans="1:16" ht="16.5" x14ac:dyDescent="0.25">
      <c r="A23" s="12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/>
      <c r="I23" s="68">
        <f t="shared" si="1"/>
        <v>0</v>
      </c>
      <c r="J23" s="74"/>
      <c r="K23" s="68">
        <f t="shared" si="2"/>
        <v>0</v>
      </c>
      <c r="L23" s="80"/>
      <c r="M23" s="76"/>
      <c r="N23" s="76"/>
      <c r="O23" s="1"/>
      <c r="P23" s="1"/>
    </row>
    <row r="24" spans="1:16" ht="16.5" x14ac:dyDescent="0.25">
      <c r="A24" s="12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/>
      <c r="I24" s="68">
        <f t="shared" si="1"/>
        <v>0</v>
      </c>
      <c r="J24" s="68"/>
      <c r="K24" s="68">
        <v>0</v>
      </c>
      <c r="L24" s="80"/>
      <c r="M24" s="76"/>
      <c r="N24" s="76"/>
      <c r="O24" s="1"/>
      <c r="P24" s="1"/>
    </row>
    <row r="25" spans="1:16" ht="16.5" x14ac:dyDescent="0.25">
      <c r="A25" s="12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/>
      <c r="I25" s="68">
        <f t="shared" si="1"/>
        <v>0</v>
      </c>
      <c r="J25" s="74"/>
      <c r="K25" s="68">
        <f>I25-J25</f>
        <v>0</v>
      </c>
      <c r="L25" s="80"/>
      <c r="M25" s="79"/>
      <c r="N25" s="79"/>
      <c r="O25" s="1"/>
      <c r="P25" s="1"/>
    </row>
    <row r="26" spans="1:16" ht="16.5" x14ac:dyDescent="0.25">
      <c r="A26" s="129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5" t="s">
        <v>29</v>
      </c>
      <c r="I28" s="126"/>
      <c r="J28" s="9">
        <f>SUM(H7:H1001)</f>
        <v>0</v>
      </c>
    </row>
    <row r="29" spans="1:16" ht="22.5" x14ac:dyDescent="0.3">
      <c r="H29" s="125" t="s">
        <v>30</v>
      </c>
      <c r="I29" s="126"/>
      <c r="J29" s="9">
        <f>SUM(I7:I1001)</f>
        <v>0</v>
      </c>
    </row>
    <row r="30" spans="1:16" ht="22.5" x14ac:dyDescent="0.3">
      <c r="H30" s="125" t="s">
        <v>117</v>
      </c>
      <c r="I30" s="126"/>
      <c r="J30" s="63">
        <f>SUM(J7:J25)</f>
        <v>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B3:K3"/>
    <mergeCell ref="A7:A13"/>
    <mergeCell ref="A15:A26"/>
    <mergeCell ref="H28:I28"/>
    <mergeCell ref="H29:I29"/>
    <mergeCell ref="H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2026-01-12T11:13:30Z</dcterms:modified>
</cp:coreProperties>
</file>