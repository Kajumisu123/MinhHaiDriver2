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1A5DA537-E101-40F7-881E-D67ABBBBAB3D}" xr6:coauthVersionLast="47" xr6:coauthVersionMax="47" xr10:uidLastSave="{00000000-0000-0000-0000-000000000000}"/>
  <bookViews>
    <workbookView xWindow="-120" yWindow="-120" windowWidth="29040" windowHeight="15840" tabRatio="579" firstSheet="7" activeTab="22" xr2:uid="{00000000-000D-0000-FFFF-FFFF00000000}"/>
  </bookViews>
  <sheets>
    <sheet name="biển số xe" sheetId="26" r:id="rId1"/>
    <sheet name="01-01" sheetId="5" r:id="rId2"/>
    <sheet name="02-01" sheetId="6" r:id="rId3"/>
    <sheet name="03-01" sheetId="7" r:id="rId4"/>
    <sheet name="04-01" sheetId="8" r:id="rId5"/>
    <sheet name="05-01" sheetId="9" r:id="rId6"/>
    <sheet name="06-01" sheetId="10" r:id="rId7"/>
    <sheet name="07-01" sheetId="11" r:id="rId8"/>
    <sheet name="08-01" sheetId="12" r:id="rId9"/>
    <sheet name="09-01" sheetId="13" r:id="rId10"/>
    <sheet name="10-01" sheetId="14" state="hidden" r:id="rId11"/>
    <sheet name="10-01 (1)" sheetId="15" r:id="rId12"/>
    <sheet name="11-01 " sheetId="16" r:id="rId13"/>
    <sheet name="12-01" sheetId="17" r:id="rId14"/>
    <sheet name="13-01" sheetId="18" r:id="rId15"/>
    <sheet name="14-01" sheetId="19" r:id="rId16"/>
    <sheet name="15-01" sheetId="20" r:id="rId17"/>
    <sheet name="16-01" sheetId="21" r:id="rId18"/>
    <sheet name="17-01" sheetId="22" r:id="rId19"/>
    <sheet name="18-01" sheetId="23" r:id="rId20"/>
    <sheet name="19-01" sheetId="24" r:id="rId21"/>
    <sheet name="20-01" sheetId="25" r:id="rId22"/>
    <sheet name="21-01" sheetId="27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4" i="27" l="1"/>
  <c r="I26" i="27"/>
  <c r="K26" i="27" s="1"/>
  <c r="I25" i="27"/>
  <c r="K25" i="27" s="1"/>
  <c r="I24" i="27"/>
  <c r="K24" i="27" s="1"/>
  <c r="B27" i="27"/>
  <c r="B28" i="27" s="1"/>
  <c r="B29" i="27" s="1"/>
  <c r="B30" i="27" s="1"/>
  <c r="I23" i="27"/>
  <c r="K23" i="27" s="1"/>
  <c r="I21" i="27"/>
  <c r="K21" i="27" s="1"/>
  <c r="I20" i="27"/>
  <c r="K20" i="27" s="1"/>
  <c r="I19" i="27"/>
  <c r="K19" i="27" s="1"/>
  <c r="I18" i="27"/>
  <c r="K18" i="27" s="1"/>
  <c r="I17" i="27"/>
  <c r="K17" i="27" s="1"/>
  <c r="R15" i="27"/>
  <c r="I15" i="27"/>
  <c r="K15" i="27" s="1"/>
  <c r="B15" i="27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I14" i="27"/>
  <c r="B14" i="27"/>
  <c r="I13" i="27"/>
  <c r="K13" i="27" s="1"/>
  <c r="R10" i="27"/>
  <c r="I10" i="27"/>
  <c r="K10" i="27" s="1"/>
  <c r="I9" i="27"/>
  <c r="K9" i="27" s="1"/>
  <c r="I8" i="27"/>
  <c r="B8" i="27"/>
  <c r="B9" i="27" s="1"/>
  <c r="B10" i="27" s="1"/>
  <c r="I7" i="27"/>
  <c r="A3" i="26"/>
  <c r="A4" i="26" s="1"/>
  <c r="A5" i="26" s="1"/>
  <c r="A6" i="26" s="1"/>
  <c r="A7" i="26" s="1"/>
  <c r="A8" i="26" s="1"/>
  <c r="A9" i="26" s="1"/>
  <c r="A10" i="26" s="1"/>
  <c r="A11" i="26" s="1"/>
  <c r="A12" i="26" s="1"/>
  <c r="A13" i="26" s="1"/>
  <c r="A14" i="26" s="1"/>
  <c r="A15" i="26" s="1"/>
  <c r="A16" i="26" s="1"/>
  <c r="A17" i="26" s="1"/>
  <c r="A18" i="26" s="1"/>
  <c r="R12" i="27" l="1"/>
  <c r="K7" i="27"/>
  <c r="B25" i="25"/>
  <c r="I29" i="25"/>
  <c r="K29" i="25" s="1"/>
  <c r="I28" i="25"/>
  <c r="K28" i="25" s="1"/>
  <c r="B28" i="25"/>
  <c r="B29" i="25" s="1"/>
  <c r="B30" i="25" s="1"/>
  <c r="I27" i="25"/>
  <c r="K27" i="25" s="1"/>
  <c r="B27" i="25"/>
  <c r="I26" i="25"/>
  <c r="K26" i="25" s="1"/>
  <c r="I21" i="25"/>
  <c r="K21" i="25" s="1"/>
  <c r="I20" i="25"/>
  <c r="K20" i="25" s="1"/>
  <c r="I19" i="25"/>
  <c r="K19" i="25" s="1"/>
  <c r="I18" i="25"/>
  <c r="K18" i="25" s="1"/>
  <c r="I17" i="25"/>
  <c r="K17" i="25" s="1"/>
  <c r="I16" i="25"/>
  <c r="K16" i="25" s="1"/>
  <c r="I15" i="25"/>
  <c r="K15" i="25" s="1"/>
  <c r="R15" i="25"/>
  <c r="I14" i="25"/>
  <c r="B15" i="25"/>
  <c r="B16" i="25" s="1"/>
  <c r="B17" i="25" s="1"/>
  <c r="B18" i="25" s="1"/>
  <c r="B19" i="25" s="1"/>
  <c r="B20" i="25" s="1"/>
  <c r="B21" i="25" s="1"/>
  <c r="B22" i="25" s="1"/>
  <c r="B23" i="25" s="1"/>
  <c r="B24" i="25" s="1"/>
  <c r="B14" i="25"/>
  <c r="I13" i="25"/>
  <c r="K13" i="25" s="1"/>
  <c r="R10" i="25"/>
  <c r="I10" i="25"/>
  <c r="K10" i="25" s="1"/>
  <c r="I9" i="25"/>
  <c r="K9" i="25" s="1"/>
  <c r="I8" i="25"/>
  <c r="B8" i="25"/>
  <c r="B9" i="25" s="1"/>
  <c r="B10" i="25" s="1"/>
  <c r="I7" i="25"/>
  <c r="R12" i="25" l="1"/>
  <c r="K7" i="25"/>
  <c r="I29" i="24"/>
  <c r="K29" i="24" s="1"/>
  <c r="I28" i="24"/>
  <c r="K28" i="24" s="1"/>
  <c r="I27" i="24"/>
  <c r="K27" i="24" s="1"/>
  <c r="B27" i="24"/>
  <c r="B28" i="24" s="1"/>
  <c r="B29" i="24" s="1"/>
  <c r="B30" i="24" s="1"/>
  <c r="I26" i="24"/>
  <c r="K26" i="24" s="1"/>
  <c r="I22" i="24"/>
  <c r="K22" i="24" s="1"/>
  <c r="I21" i="24"/>
  <c r="K21" i="24" s="1"/>
  <c r="I20" i="24"/>
  <c r="K20" i="24" s="1"/>
  <c r="I19" i="24"/>
  <c r="K19" i="24" s="1"/>
  <c r="I18" i="24"/>
  <c r="K18" i="24" s="1"/>
  <c r="I17" i="24"/>
  <c r="K17" i="24" s="1"/>
  <c r="I16" i="24"/>
  <c r="K16" i="24" s="1"/>
  <c r="R15" i="24"/>
  <c r="I15" i="24"/>
  <c r="K15" i="24" s="1"/>
  <c r="K14" i="24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I13" i="24"/>
  <c r="K13" i="24" s="1"/>
  <c r="R10" i="24"/>
  <c r="I10" i="24"/>
  <c r="K10" i="24" s="1"/>
  <c r="I9" i="24"/>
  <c r="K9" i="24" s="1"/>
  <c r="I8" i="24"/>
  <c r="B8" i="24"/>
  <c r="B9" i="24" s="1"/>
  <c r="B10" i="24" s="1"/>
  <c r="I7" i="24"/>
  <c r="K7" i="24" s="1"/>
  <c r="K14" i="23"/>
  <c r="I29" i="23"/>
  <c r="I28" i="23"/>
  <c r="K28" i="23" s="1"/>
  <c r="I27" i="23"/>
  <c r="K27" i="23" s="1"/>
  <c r="B27" i="23"/>
  <c r="B28" i="23" s="1"/>
  <c r="B29" i="23" s="1"/>
  <c r="B30" i="23" s="1"/>
  <c r="I26" i="23"/>
  <c r="K26" i="23" s="1"/>
  <c r="I22" i="23"/>
  <c r="K22" i="23" s="1"/>
  <c r="I21" i="23"/>
  <c r="K21" i="23" s="1"/>
  <c r="I20" i="23"/>
  <c r="K20" i="23" s="1"/>
  <c r="I19" i="23"/>
  <c r="K19" i="23" s="1"/>
  <c r="I18" i="23"/>
  <c r="K18" i="23" s="1"/>
  <c r="I17" i="23"/>
  <c r="K17" i="23" s="1"/>
  <c r="I16" i="23"/>
  <c r="K16" i="23" s="1"/>
  <c r="R15" i="23"/>
  <c r="I15" i="23"/>
  <c r="K15" i="23" s="1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K10" i="23" s="1"/>
  <c r="I9" i="23"/>
  <c r="K9" i="23" s="1"/>
  <c r="I8" i="23"/>
  <c r="B8" i="23"/>
  <c r="B9" i="23" s="1"/>
  <c r="B10" i="23" s="1"/>
  <c r="I7" i="23"/>
  <c r="K7" i="23" s="1"/>
  <c r="R12" i="24" l="1"/>
  <c r="R12" i="23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K21" i="22" s="1"/>
  <c r="I20" i="22"/>
  <c r="K20" i="22" s="1"/>
  <c r="I19" i="22"/>
  <c r="K19" i="22" s="1"/>
  <c r="I18" i="22"/>
  <c r="K18" i="22" s="1"/>
  <c r="I17" i="22"/>
  <c r="K17" i="22" s="1"/>
  <c r="I16" i="22"/>
  <c r="K16" i="22" s="1"/>
  <c r="R15" i="22"/>
  <c r="I15" i="22"/>
  <c r="K15" i="22" s="1"/>
  <c r="B14" i="22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I13" i="22"/>
  <c r="K13" i="22" s="1"/>
  <c r="R10" i="22"/>
  <c r="I10" i="22"/>
  <c r="K10" i="22" s="1"/>
  <c r="I9" i="22"/>
  <c r="K9" i="22" s="1"/>
  <c r="I8" i="22"/>
  <c r="B8" i="22"/>
  <c r="B9" i="22" s="1"/>
  <c r="B10" i="22" s="1"/>
  <c r="I7" i="22"/>
  <c r="R12" i="22" l="1"/>
  <c r="K7" i="22"/>
  <c r="I8" i="21" l="1"/>
  <c r="I28" i="21" l="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K20" i="21" s="1"/>
  <c r="I19" i="21"/>
  <c r="K19" i="21" s="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I9" i="21"/>
  <c r="K9" i="21" s="1"/>
  <c r="B8" i="21"/>
  <c r="B9" i="21" s="1"/>
  <c r="B10" i="21" s="1"/>
  <c r="I7" i="21"/>
  <c r="K7" i="21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I13" i="20"/>
  <c r="K13" i="20" s="1"/>
  <c r="I10" i="20"/>
  <c r="K10" i="20" s="1"/>
  <c r="R10" i="20"/>
  <c r="I9" i="20"/>
  <c r="K9" i="20" s="1"/>
  <c r="B8" i="20"/>
  <c r="B9" i="20" s="1"/>
  <c r="B10" i="20" s="1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K10" i="16" s="1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<sst xmlns="http://schemas.openxmlformats.org/spreadsheetml/2006/main" count="2637" uniqueCount="169">
  <si>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</si>
  <si>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</si>
  <si>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</si>
  <si>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</si>
  <si>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</si>
  <si>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</si>
  <si>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</si>
  <si>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</si>
  <si>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</si>
  <si>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</si>
  <si>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</si>
  <si>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</si>
  <si>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</si>
  <si>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</si>
  <si>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</si>
  <si>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</si>
  <si>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</si>
  <si>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</si>
  <si>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</si>
  <si>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</si>
  <si>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</si>
  <si>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</si>
  <si>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</si>
  <si>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</si>
  <si>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</si>
  <si>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</si>
  <si>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</si>
  <si>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</si>
  <si>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</si>
  <si>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</si>
  <si>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</si>
  <si>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</si>
  <si>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</si>
  <si>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</si>
  <si>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</si>
  <si>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</si>
  <si>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</si>
  <si>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</si>
  <si>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</si>
  <si>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</si>
  <si>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</si>
  <si>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</si>
  <si>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</si>
  <si>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</si>
  <si>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</si>
  <si>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</si>
  <si>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</si>
  <si>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</si>
  <si>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</si>
  <si>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</si>
  <si>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</si>
  <si>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</si>
  <si>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</si>
  <si>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</si>
  <si>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</si>
  <si>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</si>
  <si>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</si>
  <si>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</si>
  <si>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</si>
  <si>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</si>
  <si>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</si>
  <si>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</si>
  <si>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</si>
  <si>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</si>
  <si>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</si>
  <si>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</si>
  <si>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</si>
  <si>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</si>
  <si>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</si>
  <si>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</si>
  <si>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</si>
  <si>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</si>
  <si>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</si>
  <si>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</si>
  <si>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</si>
  <si>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</si>
  <si>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</si>
  <si>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</si>
  <si>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</si>
  <si>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</si>
  <si>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</si>
  <si>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</si>
  <si>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</si>
  <si>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</si>
  <si>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</si>
  <si>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</si>
  <si>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</si>
  <si>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</si>
  <si>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</si>
  <si>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</si>
  <si>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</si>
  <si>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</si>
  <si>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</si>
  <si>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</si>
  <si>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</si>
  <si>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</si>
  <si>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</si>
  <si>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</si>
  <si>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</si>
  <si>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</si>
  <si>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</si>
  <si>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</si>
  <si>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</si>
  <si>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</si>
  <si>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</si>
  <si>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</si>
  <si>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</si>
  <si>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</si>
  <si>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</si>
  <si>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</si>
  <si>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</si>
  <si>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</si>
  <si>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</si>
  <si>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</si>
  <si>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</si>
  <si>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</si>
  <si>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</si>
  <si>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</si>
  <si>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</si>
  <si>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</si>
  <si>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</si>
  <si>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</si>
  <si>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</si>
  <si>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</si>
  <si>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</si>
  <si>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</si>
  <si>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</si>
  <si>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</si>
  <si>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</si>
  <si>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</si>
  <si>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</si>
  <si>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</si>
  <si>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</si>
  <si>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</si>
  <si>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</si>
  <si>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</si>
  <si>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</si>
  <si>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</si>
  <si>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</si>
  <si>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</si>
  <si>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</si>
  <si>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</si>
  <si>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</si>
  <si>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</si>
  <si>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</si>
  <si>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</si>
  <si>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</si>
  <si>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</si>
  <si>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</si>
  <si>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</si>
  <si>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</si>
  <si>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</si>
  <si>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</si>
  <si>
    <t>Thiếu 20k</t>
  </si>
  <si>
    <t>ăn chia 5 5, thọt so với thực tế 160k</t>
  </si>
  <si>
    <t>dư 2k</t>
  </si>
  <si>
    <t>DOANH THU 19/01/2026</t>
  </si>
  <si>
    <t>thọt 110,000 ăn chia 5 5</t>
  </si>
  <si>
    <t>thọt 800 đồng</t>
  </si>
  <si>
    <t>DOANH THU 20/01/2026</t>
  </si>
  <si>
    <t>xin nghỉ do bệnh</t>
  </si>
  <si>
    <t>bù doanh thu (thiếu 100k)</t>
  </si>
  <si>
    <t>ăn chia 5 5 , thọt 110k</t>
  </si>
  <si>
    <t>dư 4k</t>
  </si>
  <si>
    <t>thiếu 7k</t>
  </si>
  <si>
    <t>DOANH THU 21/01/2026</t>
  </si>
  <si>
    <t>ăn chia 5 5 , thọt 120,000</t>
  </si>
  <si>
    <t>xin nghỉ 1 ngày có công việc đột xuất
hôm qua chạy được 100, gộp cho hôm 22</t>
  </si>
  <si>
    <t>68HC 001.78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</si>
</sst>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76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14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center" vertical="center"/>
    </xf>
    <xf numFmtId="49" fontId="5" fillId="19" borderId="8" xfId="0" applyNumberFormat="1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left" vertical="center"/>
    </xf>
    <xf numFmtId="49" fontId="5" fillId="19" borderId="8" xfId="0" applyNumberFormat="1" applyFont="1" applyFill="1" applyBorder="1" applyAlignment="1">
      <alignment horizontal="center"/>
    </xf>
    <xf numFmtId="0" fontId="24" fillId="18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  <xf numFmtId="0" fontId="29" fillId="6" borderId="12" xfId="0" applyFont="1" applyFill="1" applyBorder="1" applyAlignment="1">
      <alignment horizontal="center" vertical="center" wrapText="1"/>
    </xf>
    <xf numFmtId="0" fontId="29" fillId="6" borderId="0" xfId="0" applyFont="1" applyFill="1" applyAlignment="1">
      <alignment horizontal="center" vertical="center" wrapText="1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D051F-5AB5-4322-8DCE-3E8716B57ED4}">
  <dimension ref="A1:C18"/>
  <sheetViews>
    <sheetView workbookViewId="0">
      <selection activeCell="H10" sqref="H10"/>
    </sheetView>
  </sheetViews>
  <sheetFormatPr defaultRowHeight="15" x14ac:dyDescent="0.25"/>
  <cols>
    <col min="2" max="2" width="35.85546875" customWidth="1"/>
    <col min="3" max="3" width="21.42578125" customWidth="1"/>
  </cols>
  <sheetData>
    <row r="1" spans="1:3" ht="20.25" x14ac:dyDescent="0.25">
      <c r="A1" s="137" t="s">
        <v>0</v>
      </c>
      <c r="B1" s="137" t="s">
        <v>1</v>
      </c>
      <c r="C1" s="137" t="s">
        <v>49</v>
      </c>
    </row>
    <row r="2" spans="1:3" ht="16.5" x14ac:dyDescent="0.25">
      <c r="A2" s="64">
        <v>1</v>
      </c>
      <c r="B2" s="80" t="s">
        <v>132</v>
      </c>
      <c r="C2" s="66" t="s">
        <v>16</v>
      </c>
    </row>
    <row r="3" spans="1:3" ht="16.5" x14ac:dyDescent="0.25">
      <c r="A3" s="64">
        <f>A2+1</f>
        <v>2</v>
      </c>
      <c r="B3" s="80" t="s">
        <v>150</v>
      </c>
      <c r="C3" s="75" t="s">
        <v>36</v>
      </c>
    </row>
    <row r="4" spans="1:3" ht="16.5" x14ac:dyDescent="0.25">
      <c r="A4" s="64">
        <f t="shared" ref="A4:A18" si="0">A3+1</f>
        <v>3</v>
      </c>
      <c r="B4" s="80" t="s">
        <v>134</v>
      </c>
      <c r="C4" s="66" t="s">
        <v>83</v>
      </c>
    </row>
    <row r="5" spans="1:3" ht="16.5" x14ac:dyDescent="0.25">
      <c r="A5" s="64">
        <f t="shared" si="0"/>
        <v>4</v>
      </c>
      <c r="B5" s="69" t="s">
        <v>135</v>
      </c>
      <c r="C5" s="127" t="s">
        <v>73</v>
      </c>
    </row>
    <row r="6" spans="1:3" ht="16.5" x14ac:dyDescent="0.25">
      <c r="A6" s="64">
        <f t="shared" si="0"/>
        <v>5</v>
      </c>
      <c r="B6" s="151" t="s">
        <v>40</v>
      </c>
      <c r="C6" s="152" t="s">
        <v>14</v>
      </c>
    </row>
    <row r="7" spans="1:3" ht="16.5" x14ac:dyDescent="0.25">
      <c r="A7" s="64">
        <f t="shared" si="0"/>
        <v>6</v>
      </c>
      <c r="B7" s="69" t="s">
        <v>67</v>
      </c>
      <c r="C7" s="73" t="s">
        <v>48</v>
      </c>
    </row>
    <row r="8" spans="1:3" ht="16.5" x14ac:dyDescent="0.25">
      <c r="A8" s="64">
        <f t="shared" si="0"/>
        <v>7</v>
      </c>
      <c r="B8" s="80" t="s">
        <v>43</v>
      </c>
      <c r="C8" s="75" t="s">
        <v>22</v>
      </c>
    </row>
    <row r="9" spans="1:3" ht="16.5" x14ac:dyDescent="0.25">
      <c r="A9" s="64">
        <f t="shared" si="0"/>
        <v>8</v>
      </c>
      <c r="B9" s="80" t="s">
        <v>44</v>
      </c>
      <c r="C9" s="75" t="s">
        <v>32</v>
      </c>
    </row>
    <row r="10" spans="1:3" ht="16.5" x14ac:dyDescent="0.25">
      <c r="A10" s="64">
        <f t="shared" si="0"/>
        <v>9</v>
      </c>
      <c r="B10" s="80" t="s">
        <v>79</v>
      </c>
      <c r="C10" s="75" t="s">
        <v>27</v>
      </c>
    </row>
    <row r="11" spans="1:3" ht="16.5" x14ac:dyDescent="0.25">
      <c r="A11" s="64">
        <f t="shared" si="0"/>
        <v>10</v>
      </c>
      <c r="B11" s="151" t="s">
        <v>98</v>
      </c>
      <c r="C11" s="142" t="s">
        <v>57</v>
      </c>
    </row>
    <row r="12" spans="1:3" ht="16.5" x14ac:dyDescent="0.25">
      <c r="A12" s="64">
        <f t="shared" si="0"/>
        <v>11</v>
      </c>
      <c r="B12" s="80" t="s">
        <v>52</v>
      </c>
      <c r="C12" s="64" t="s">
        <v>35</v>
      </c>
    </row>
    <row r="13" spans="1:3" ht="16.5" x14ac:dyDescent="0.25">
      <c r="A13" s="64">
        <f t="shared" si="0"/>
        <v>12</v>
      </c>
      <c r="B13" s="69" t="s">
        <v>92</v>
      </c>
      <c r="C13" s="64" t="s">
        <v>137</v>
      </c>
    </row>
    <row r="14" spans="1:3" ht="16.5" x14ac:dyDescent="0.25">
      <c r="A14" s="64">
        <f t="shared" si="0"/>
        <v>13</v>
      </c>
      <c r="B14" s="69" t="s">
        <v>131</v>
      </c>
      <c r="C14" s="122" t="s">
        <v>93</v>
      </c>
    </row>
    <row r="15" spans="1:3" ht="16.5" x14ac:dyDescent="0.25">
      <c r="A15" s="64">
        <f t="shared" si="0"/>
        <v>14</v>
      </c>
      <c r="B15" s="80" t="s">
        <v>139</v>
      </c>
      <c r="C15" s="75" t="s">
        <v>25</v>
      </c>
    </row>
    <row r="16" spans="1:3" ht="16.5" x14ac:dyDescent="0.25">
      <c r="A16" s="64">
        <f t="shared" si="0"/>
        <v>15</v>
      </c>
      <c r="B16" s="80" t="s">
        <v>138</v>
      </c>
      <c r="C16" s="64" t="s">
        <v>19</v>
      </c>
    </row>
    <row r="17" spans="1:3" ht="16.5" x14ac:dyDescent="0.25">
      <c r="A17" s="64">
        <f t="shared" si="0"/>
        <v>16</v>
      </c>
      <c r="B17" s="80" t="s">
        <v>148</v>
      </c>
      <c r="C17" s="75" t="s">
        <v>56</v>
      </c>
    </row>
    <row r="18" spans="1:3" ht="16.5" x14ac:dyDescent="0.25">
      <c r="A18" s="64">
        <f t="shared" si="0"/>
        <v>17</v>
      </c>
      <c r="B18" s="151" t="s">
        <v>41</v>
      </c>
      <c r="C18" s="15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55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59" t="s">
        <v>29</v>
      </c>
      <c r="I25" s="159"/>
      <c r="J25" s="9">
        <f>SUM(H7:H1000)</f>
        <v>24820000</v>
      </c>
    </row>
    <row r="26" spans="2:13" ht="22.5" x14ac:dyDescent="0.3">
      <c r="H26" s="159" t="s">
        <v>30</v>
      </c>
      <c r="I26" s="159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77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29135000</v>
      </c>
    </row>
    <row r="27" spans="1:13" ht="22.5" x14ac:dyDescent="0.3">
      <c r="H27" s="159" t="s">
        <v>30</v>
      </c>
      <c r="I27" s="159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85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32170000</v>
      </c>
    </row>
    <row r="27" spans="1:13" ht="22.5" x14ac:dyDescent="0.3">
      <c r="H27" s="159" t="s">
        <v>30</v>
      </c>
      <c r="I27" s="159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87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30806000</v>
      </c>
    </row>
    <row r="27" spans="1:13" ht="22.5" x14ac:dyDescent="0.3">
      <c r="H27" s="159" t="s">
        <v>30</v>
      </c>
      <c r="I27" s="159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95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30762000</v>
      </c>
    </row>
    <row r="27" spans="1:13" ht="22.5" x14ac:dyDescent="0.3">
      <c r="H27" s="159" t="s">
        <v>30</v>
      </c>
      <c r="I27" s="159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97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31566000</v>
      </c>
    </row>
    <row r="27" spans="1:13" ht="22.5" x14ac:dyDescent="0.3">
      <c r="H27" s="159" t="s">
        <v>30</v>
      </c>
      <c r="I27" s="159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99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31500000</v>
      </c>
    </row>
    <row r="27" spans="1:13" ht="22.5" x14ac:dyDescent="0.3">
      <c r="H27" s="159" t="s">
        <v>30</v>
      </c>
      <c r="I27" s="159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6" ht="30.75" x14ac:dyDescent="0.25">
      <c r="B3" s="157" t="s">
        <v>100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32130000</v>
      </c>
    </row>
    <row r="27" spans="1:13" ht="22.5" x14ac:dyDescent="0.3">
      <c r="H27" s="159" t="s">
        <v>30</v>
      </c>
      <c r="I27" s="159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6" ht="30.75" x14ac:dyDescent="0.25">
      <c r="B3" s="157" t="s">
        <v>107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28500000</v>
      </c>
    </row>
    <row r="27" spans="1:13" ht="22.5" x14ac:dyDescent="0.3">
      <c r="H27" s="159" t="s">
        <v>30</v>
      </c>
      <c r="I27" s="159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6" ht="30.75" x14ac:dyDescent="0.25">
      <c r="B3" s="157" t="s">
        <v>109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28869000</v>
      </c>
    </row>
    <row r="27" spans="1:13" ht="22.5" x14ac:dyDescent="0.3">
      <c r="H27" s="159" t="s">
        <v>30</v>
      </c>
      <c r="I27" s="159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  <c r="L2" s="1"/>
      <c r="M2" s="1"/>
      <c r="N2" s="1"/>
      <c r="O2" s="1"/>
      <c r="P2" s="1"/>
    </row>
    <row r="3" spans="1:16" ht="30.75" x14ac:dyDescent="0.25">
      <c r="A3" s="1"/>
      <c r="B3" s="157" t="s">
        <v>109</v>
      </c>
      <c r="C3" s="158"/>
      <c r="D3" s="158"/>
      <c r="E3" s="158"/>
      <c r="F3" s="158"/>
      <c r="G3" s="158"/>
      <c r="H3" s="158"/>
      <c r="I3" s="158"/>
      <c r="J3" s="158"/>
      <c r="K3" s="158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62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63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63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63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63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63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63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64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64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64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64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64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64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64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64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64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64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60" t="s">
        <v>29</v>
      </c>
      <c r="I28" s="161"/>
      <c r="J28" s="9">
        <f>SUM(H7:H1001)</f>
        <v>29569000</v>
      </c>
    </row>
    <row r="29" spans="1:16" ht="22.5" x14ac:dyDescent="0.3">
      <c r="H29" s="160" t="s">
        <v>30</v>
      </c>
      <c r="I29" s="161"/>
      <c r="J29" s="9">
        <f>SUM(I7:I1001)</f>
        <v>17731000</v>
      </c>
    </row>
    <row r="30" spans="1:16" ht="22.5" x14ac:dyDescent="0.3">
      <c r="H30" s="160" t="s">
        <v>117</v>
      </c>
      <c r="I30" s="161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6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6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6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6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6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6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6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6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6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6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6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6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6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6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6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6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6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64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60" t="s">
        <v>29</v>
      </c>
      <c r="I28" s="161"/>
      <c r="J28" s="9">
        <f>SUM(H7:H1001)</f>
        <v>29980000</v>
      </c>
    </row>
    <row r="29" spans="1:16" ht="22.5" x14ac:dyDescent="0.3">
      <c r="H29" s="160" t="s">
        <v>30</v>
      </c>
      <c r="I29" s="161"/>
      <c r="J29" s="9">
        <f>SUM(I7:I1001)</f>
        <v>17988000</v>
      </c>
    </row>
    <row r="30" spans="1:16" ht="22.5" x14ac:dyDescent="0.3">
      <c r="H30" s="160" t="s">
        <v>117</v>
      </c>
      <c r="I30" s="161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6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6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6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6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6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6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6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6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6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6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6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6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6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6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6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6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6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64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60" t="s">
        <v>29</v>
      </c>
      <c r="I28" s="161"/>
      <c r="J28" s="9">
        <f>SUM(H7:H1001)</f>
        <v>31650000</v>
      </c>
    </row>
    <row r="29" spans="1:16" ht="22.5" x14ac:dyDescent="0.3">
      <c r="H29" s="160" t="s">
        <v>30</v>
      </c>
      <c r="I29" s="161"/>
      <c r="J29" s="9">
        <f>SUM(I7:I1001)</f>
        <v>18990000</v>
      </c>
    </row>
    <row r="30" spans="1:16" ht="22.5" x14ac:dyDescent="0.3">
      <c r="H30" s="160" t="s">
        <v>117</v>
      </c>
      <c r="I30" s="161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6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6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6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6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6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6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6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6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6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6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6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6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6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6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6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6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6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64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60" t="s">
        <v>29</v>
      </c>
      <c r="I28" s="161"/>
      <c r="J28" s="9">
        <f>SUM(H7:H1001)</f>
        <v>29362000</v>
      </c>
    </row>
    <row r="29" spans="1:16" ht="22.5" x14ac:dyDescent="0.3">
      <c r="H29" s="160" t="s">
        <v>30</v>
      </c>
      <c r="I29" s="161"/>
      <c r="J29" s="9">
        <f>SUM(I7:I1001)</f>
        <v>17617200</v>
      </c>
    </row>
    <row r="30" spans="1:16" ht="22.5" x14ac:dyDescent="0.3">
      <c r="H30" s="160" t="s">
        <v>117</v>
      </c>
      <c r="I30" s="161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71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171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28468000</v>
      </c>
    </row>
    <row r="11" spans="1:18" ht="16.5" customHeight="1" x14ac:dyDescent="0.25">
      <c r="A11" s="172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17080800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16486200</v>
      </c>
    </row>
    <row r="16" spans="1:18" ht="16.5" x14ac:dyDescent="0.25">
      <c r="A16" s="164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64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64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64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64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64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64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66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dimension ref="A1:R40"/>
  <sheetViews>
    <sheetView zoomScale="85" zoomScaleNormal="85" workbookViewId="0">
      <selection activeCell="C8" sqref="C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20755000</v>
      </c>
    </row>
    <row r="11" spans="1:18" ht="16.5" customHeight="1" x14ac:dyDescent="0.25">
      <c r="A11" s="172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12453000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12451000</v>
      </c>
    </row>
    <row r="16" spans="1:18" ht="16.5" x14ac:dyDescent="0.25">
      <c r="A16" s="164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16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dimension ref="A1:R40"/>
  <sheetViews>
    <sheetView zoomScale="85" zoomScaleNormal="85" workbookViewId="0">
      <selection activeCell="J10" activeCellId="1" sqref="H10 J10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29815000</v>
      </c>
    </row>
    <row r="11" spans="1:18" ht="16.5" customHeight="1" x14ac:dyDescent="0.25">
      <c r="A11" s="172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17889000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17728000</v>
      </c>
    </row>
    <row r="16" spans="1:18" ht="16.5" x14ac:dyDescent="0.25">
      <c r="A16" s="164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dimension ref="A1:R40"/>
  <sheetViews>
    <sheetView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customWidth="1"/>
    <col min="5" max="5" width="19.28515625" customWidth="1"/>
    <col min="6" max="6" width="26.42578125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29241000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17544600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17384600</v>
      </c>
    </row>
    <row r="16" spans="1:18" ht="16.5" x14ac:dyDescent="0.25">
      <c r="A16" s="164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dimension ref="A1:R40"/>
  <sheetViews>
    <sheetView topLeftCell="A3" zoomScale="85" zoomScaleNormal="85" workbookViewId="0">
      <selection activeCell="J29" activeCellId="1" sqref="H29 J29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H7*N$4</f>
        <v>870000</v>
      </c>
      <c r="J7" s="68">
        <v>850000</v>
      </c>
      <c r="K7" s="68">
        <f>I7-J7</f>
        <v>20000</v>
      </c>
      <c r="L7" s="88" t="s">
        <v>26</v>
      </c>
      <c r="M7" s="76" t="s">
        <v>153</v>
      </c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1600000</v>
      </c>
      <c r="I8" s="68">
        <f>H8*N$4</f>
        <v>960000</v>
      </c>
      <c r="J8" s="68">
        <v>800000</v>
      </c>
      <c r="K8" s="68">
        <v>0</v>
      </c>
      <c r="L8" s="88" t="s">
        <v>26</v>
      </c>
      <c r="M8" s="76" t="s">
        <v>154</v>
      </c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1250000</v>
      </c>
      <c r="I9" s="68">
        <f>H9*N$4</f>
        <v>750000</v>
      </c>
      <c r="J9" s="74">
        <v>750000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>H10*N$4</f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39465000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23679000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2140000</v>
      </c>
      <c r="I13" s="68">
        <f>H13*N$4</f>
        <v>1284000</v>
      </c>
      <c r="J13" s="68">
        <v>1284000</v>
      </c>
      <c r="K13" s="68">
        <f t="shared" ref="K13:K28" si="2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2470000</v>
      </c>
      <c r="I15" s="68">
        <f t="shared" ref="I15:I29" si="4">H15*N$4</f>
        <v>1482000</v>
      </c>
      <c r="J15" s="74">
        <v>1482000</v>
      </c>
      <c r="K15" s="68">
        <f t="shared" si="2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23501000</v>
      </c>
    </row>
    <row r="16" spans="1:18" ht="16.5" x14ac:dyDescent="0.25">
      <c r="A16" s="164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2100000</v>
      </c>
      <c r="I16" s="68">
        <f t="shared" si="4"/>
        <v>1260000</v>
      </c>
      <c r="J16" s="74">
        <v>1260000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1300000</v>
      </c>
      <c r="I17" s="68">
        <f t="shared" si="4"/>
        <v>780000</v>
      </c>
      <c r="J17" s="68">
        <v>780000</v>
      </c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2350000</v>
      </c>
      <c r="I18" s="68">
        <f t="shared" si="4"/>
        <v>1410000</v>
      </c>
      <c r="J18" s="74">
        <v>1410000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2160000</v>
      </c>
      <c r="I20" s="68">
        <f t="shared" si="4"/>
        <v>1296000</v>
      </c>
      <c r="J20" s="68">
        <v>1296000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3070000</v>
      </c>
      <c r="I21" s="68">
        <f t="shared" si="4"/>
        <v>1842000</v>
      </c>
      <c r="J21" s="68">
        <v>1842000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2095000</v>
      </c>
      <c r="I22" s="68">
        <f t="shared" si="4"/>
        <v>1257000</v>
      </c>
      <c r="J22" s="74">
        <v>1257000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1180000</v>
      </c>
      <c r="I26" s="132">
        <f t="shared" si="4"/>
        <v>708000</v>
      </c>
      <c r="J26" s="132">
        <v>708000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9245000</v>
      </c>
      <c r="I27" s="132">
        <f t="shared" si="4"/>
        <v>5547000</v>
      </c>
      <c r="J27" s="133">
        <v>5547000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1975000</v>
      </c>
      <c r="I28" s="132">
        <f t="shared" si="4"/>
        <v>1185000</v>
      </c>
      <c r="J28" s="68">
        <v>1185000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1980000</v>
      </c>
      <c r="I29" s="132">
        <f t="shared" si="4"/>
        <v>1188000</v>
      </c>
      <c r="J29" s="133">
        <v>1190000</v>
      </c>
      <c r="K29" s="132">
        <v>2000</v>
      </c>
      <c r="L29" s="87" t="s">
        <v>69</v>
      </c>
      <c r="M29" s="76" t="s">
        <v>155</v>
      </c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FC31-E0C9-447A-B96C-300969C53F45}">
  <dimension ref="A1:R40"/>
  <sheetViews>
    <sheetView zoomScale="68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H7*N$4</f>
        <v>900000</v>
      </c>
      <c r="J7" s="68">
        <v>900000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157</v>
      </c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 t="shared" si="1"/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28993000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17395800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1800000</v>
      </c>
      <c r="I13" s="68">
        <f>H13*N$4</f>
        <v>1080000</v>
      </c>
      <c r="J13" s="68">
        <v>1080000</v>
      </c>
      <c r="K13" s="68">
        <f t="shared" ref="K13:K29" si="2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1205000</v>
      </c>
      <c r="I15" s="68">
        <f t="shared" ref="I15:I29" si="4">H15*N$4</f>
        <v>723000</v>
      </c>
      <c r="J15" s="74">
        <v>723000</v>
      </c>
      <c r="K15" s="68">
        <f t="shared" si="2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17285000</v>
      </c>
    </row>
    <row r="16" spans="1:18" ht="16.5" x14ac:dyDescent="0.25">
      <c r="A16" s="164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1600000</v>
      </c>
      <c r="I16" s="68">
        <f t="shared" si="4"/>
        <v>960000</v>
      </c>
      <c r="J16" s="74">
        <v>960000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1588000</v>
      </c>
      <c r="I17" s="68">
        <f t="shared" si="4"/>
        <v>952800</v>
      </c>
      <c r="J17" s="68">
        <v>952000</v>
      </c>
      <c r="K17" s="68">
        <f t="shared" si="2"/>
        <v>800</v>
      </c>
      <c r="L17" s="87" t="s">
        <v>69</v>
      </c>
      <c r="M17" s="76" t="s">
        <v>158</v>
      </c>
      <c r="N17" s="76"/>
      <c r="O17" s="1"/>
      <c r="P17" s="1"/>
    </row>
    <row r="18" spans="1:16" ht="16.5" x14ac:dyDescent="0.25">
      <c r="A18" s="16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1600000</v>
      </c>
      <c r="I18" s="68">
        <f t="shared" si="4"/>
        <v>960000</v>
      </c>
      <c r="J18" s="74">
        <v>960000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1760000</v>
      </c>
      <c r="I19" s="68">
        <f t="shared" si="4"/>
        <v>1056000</v>
      </c>
      <c r="J19" s="74">
        <v>1056000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1650000</v>
      </c>
      <c r="I20" s="68">
        <f t="shared" si="4"/>
        <v>990000</v>
      </c>
      <c r="J20" s="68">
        <v>990000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3890000</v>
      </c>
      <c r="I21" s="68">
        <f t="shared" si="4"/>
        <v>2334000</v>
      </c>
      <c r="J21" s="68">
        <v>2334000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1750000</v>
      </c>
      <c r="I22" s="68">
        <f t="shared" si="4"/>
        <v>1050000</v>
      </c>
      <c r="J22" s="74">
        <v>1050000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1750000</v>
      </c>
      <c r="I26" s="132">
        <f t="shared" si="4"/>
        <v>1050000</v>
      </c>
      <c r="J26" s="132">
        <v>1050000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1740000</v>
      </c>
      <c r="I27" s="132">
        <f t="shared" si="4"/>
        <v>1044000</v>
      </c>
      <c r="J27" s="133">
        <v>1044000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1850000</v>
      </c>
      <c r="I28" s="132">
        <f t="shared" si="4"/>
        <v>1110000</v>
      </c>
      <c r="J28" s="68">
        <v>1110000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1860000</v>
      </c>
      <c r="I29" s="132">
        <f t="shared" si="4"/>
        <v>1116000</v>
      </c>
      <c r="J29" s="133">
        <v>1116000</v>
      </c>
      <c r="K29" s="132">
        <f t="shared" si="2"/>
        <v>0</v>
      </c>
      <c r="L29" s="87" t="s">
        <v>69</v>
      </c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6E6F5-653E-4196-A463-641220AB1E22}">
  <dimension ref="A1:R40"/>
  <sheetViews>
    <sheetView zoomScale="85" zoomScaleNormal="85" workbookViewId="0">
      <selection activeCell="C20" sqref="C20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162</v>
      </c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1300000</v>
      </c>
      <c r="I9" s="68">
        <f>H9*N$4</f>
        <v>780000</v>
      </c>
      <c r="J9" s="74">
        <v>780000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23968000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14380800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2279000</v>
      </c>
      <c r="I13" s="68">
        <f t="shared" ref="I13:I21" si="2">H13*N$4</f>
        <v>1367400</v>
      </c>
      <c r="J13" s="68">
        <v>1360000</v>
      </c>
      <c r="K13" s="68">
        <f t="shared" ref="K13:K29" si="3">I13-J13</f>
        <v>7400</v>
      </c>
      <c r="L13" s="87" t="s">
        <v>69</v>
      </c>
      <c r="M13" s="76" t="s">
        <v>164</v>
      </c>
      <c r="N13" s="76"/>
      <c r="O13" s="1"/>
      <c r="P13" s="167"/>
      <c r="Q13" s="167"/>
      <c r="R13" s="168"/>
    </row>
    <row r="14" spans="1:18" ht="16.5" customHeight="1" x14ac:dyDescent="0.25">
      <c r="A14" s="17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720000</v>
      </c>
      <c r="I14" s="68">
        <f t="shared" si="2"/>
        <v>432000</v>
      </c>
      <c r="J14" s="74">
        <v>720000</v>
      </c>
      <c r="K14" s="68">
        <v>0</v>
      </c>
      <c r="L14" s="87" t="s">
        <v>69</v>
      </c>
      <c r="M14" s="79" t="s">
        <v>161</v>
      </c>
      <c r="N14" s="79"/>
      <c r="O14" s="1"/>
      <c r="P14" s="167"/>
      <c r="Q14" s="167"/>
      <c r="R14" s="168"/>
    </row>
    <row r="15" spans="1:18" ht="22.5" customHeight="1" x14ac:dyDescent="0.3">
      <c r="A15" s="175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1300000</v>
      </c>
      <c r="I15" s="68">
        <f t="shared" si="2"/>
        <v>780000</v>
      </c>
      <c r="J15" s="74">
        <v>780000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169" t="s">
        <v>117</v>
      </c>
      <c r="Q15" s="169"/>
      <c r="R15" s="130">
        <f>SUM(J7:J98)</f>
        <v>14555400</v>
      </c>
    </row>
    <row r="16" spans="1:18" ht="16.5" customHeight="1" x14ac:dyDescent="0.25">
      <c r="A16" s="175"/>
      <c r="B16" s="64">
        <f t="shared" si="4"/>
        <v>4</v>
      </c>
      <c r="C16" s="77" t="s">
        <v>44</v>
      </c>
      <c r="D16" s="75" t="s">
        <v>33</v>
      </c>
      <c r="E16" s="75">
        <v>49202008987</v>
      </c>
      <c r="F16" s="75" t="s">
        <v>15</v>
      </c>
      <c r="G16" s="75" t="s">
        <v>32</v>
      </c>
      <c r="H16" s="68">
        <v>1240000</v>
      </c>
      <c r="I16" s="68">
        <f t="shared" si="2"/>
        <v>744000</v>
      </c>
      <c r="J16" s="68">
        <v>744000</v>
      </c>
      <c r="K16" s="68">
        <f t="shared" si="5"/>
        <v>0</v>
      </c>
      <c r="L16" s="87" t="s">
        <v>69</v>
      </c>
      <c r="M16" s="76"/>
      <c r="N16" s="76"/>
      <c r="O16" s="1"/>
      <c r="P16" s="1"/>
    </row>
    <row r="17" spans="1:16" ht="16.5" customHeight="1" x14ac:dyDescent="0.25">
      <c r="A17" s="175"/>
      <c r="B17" s="64">
        <f t="shared" si="4"/>
        <v>5</v>
      </c>
      <c r="C17" s="141" t="s">
        <v>79</v>
      </c>
      <c r="D17" s="142" t="s">
        <v>61</v>
      </c>
      <c r="E17" s="142">
        <v>95095009661</v>
      </c>
      <c r="F17" s="142" t="s">
        <v>62</v>
      </c>
      <c r="G17" s="142" t="s">
        <v>27</v>
      </c>
      <c r="H17" s="143"/>
      <c r="I17" s="143">
        <f t="shared" si="2"/>
        <v>0</v>
      </c>
      <c r="J17" s="144"/>
      <c r="K17" s="143">
        <f t="shared" si="5"/>
        <v>0</v>
      </c>
      <c r="L17" s="150"/>
      <c r="M17" s="151" t="s">
        <v>160</v>
      </c>
      <c r="N17" s="85"/>
      <c r="O17" s="1"/>
      <c r="P17" s="1"/>
    </row>
    <row r="18" spans="1:16" ht="16.5" customHeight="1" x14ac:dyDescent="0.25">
      <c r="A18" s="175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1810000</v>
      </c>
      <c r="I18" s="68">
        <f t="shared" si="2"/>
        <v>1086000</v>
      </c>
      <c r="J18" s="74">
        <v>1086000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175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1400000</v>
      </c>
      <c r="I19" s="68">
        <f t="shared" si="2"/>
        <v>840000</v>
      </c>
      <c r="J19" s="68">
        <v>840000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175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4064000</v>
      </c>
      <c r="I20" s="68">
        <f t="shared" si="2"/>
        <v>2438400</v>
      </c>
      <c r="J20" s="68">
        <v>2438400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75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1370000</v>
      </c>
      <c r="I21" s="68">
        <f t="shared" si="2"/>
        <v>822000</v>
      </c>
      <c r="J21" s="74">
        <v>822000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75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75"/>
      <c r="B23" s="64">
        <f t="shared" si="4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customHeight="1" x14ac:dyDescent="0.25">
      <c r="A24" s="175"/>
      <c r="B24" s="64">
        <f t="shared" si="4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ht="16.5" x14ac:dyDescent="0.25">
      <c r="A25" s="175"/>
      <c r="B25" s="64">
        <f t="shared" si="4"/>
        <v>13</v>
      </c>
      <c r="C25" s="145"/>
      <c r="D25" s="145"/>
      <c r="E25" s="145"/>
      <c r="F25" s="145"/>
      <c r="G25" s="145"/>
      <c r="H25" s="148"/>
      <c r="I25" s="148"/>
      <c r="J25" s="148"/>
      <c r="K25" s="148"/>
      <c r="L25" s="145"/>
      <c r="M25" s="145"/>
      <c r="N25" s="105"/>
      <c r="O25" s="1"/>
      <c r="P25" s="1"/>
    </row>
    <row r="26" spans="1:16" ht="22.15" customHeight="1" x14ac:dyDescent="0.25">
      <c r="A26" s="175"/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1185000</v>
      </c>
      <c r="I26" s="132">
        <f t="shared" ref="I26:I29" si="6">H26*N$4</f>
        <v>711000</v>
      </c>
      <c r="J26" s="132">
        <v>715000</v>
      </c>
      <c r="K26" s="132">
        <f t="shared" si="3"/>
        <v>-4000</v>
      </c>
      <c r="L26" s="87" t="s">
        <v>69</v>
      </c>
      <c r="M26" s="136" t="s">
        <v>163</v>
      </c>
      <c r="N26" s="76"/>
      <c r="O26" s="1"/>
      <c r="P26" s="1"/>
    </row>
    <row r="27" spans="1:16" ht="20.45" customHeight="1" x14ac:dyDescent="0.25">
      <c r="A27" s="175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910000</v>
      </c>
      <c r="I27" s="132">
        <f t="shared" si="6"/>
        <v>546000</v>
      </c>
      <c r="J27" s="133">
        <v>546000</v>
      </c>
      <c r="K27" s="132">
        <f t="shared" si="3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75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670000</v>
      </c>
      <c r="I28" s="132">
        <f t="shared" si="6"/>
        <v>402000</v>
      </c>
      <c r="J28" s="68">
        <v>402000</v>
      </c>
      <c r="K28" s="132">
        <f t="shared" si="3"/>
        <v>0</v>
      </c>
      <c r="L28" s="87" t="s">
        <v>69</v>
      </c>
      <c r="M28" s="115"/>
      <c r="N28" s="79"/>
    </row>
    <row r="29" spans="1:16" ht="16.5" customHeight="1" x14ac:dyDescent="0.25">
      <c r="A29" s="175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2220000</v>
      </c>
      <c r="I29" s="132">
        <f t="shared" si="6"/>
        <v>1332000</v>
      </c>
      <c r="J29" s="133">
        <v>1332000</v>
      </c>
      <c r="K29" s="132">
        <f t="shared" si="3"/>
        <v>0</v>
      </c>
      <c r="L29" s="87" t="s">
        <v>69</v>
      </c>
      <c r="M29" s="76"/>
      <c r="N29" s="76"/>
    </row>
    <row r="30" spans="1:16" ht="16.5" customHeight="1" x14ac:dyDescent="0.25">
      <c r="A30" s="175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P15:Q15"/>
    <mergeCell ref="A13:A30"/>
    <mergeCell ref="B3:K3"/>
    <mergeCell ref="A7:A11"/>
    <mergeCell ref="P10:Q11"/>
    <mergeCell ref="R10:R11"/>
    <mergeCell ref="P12:Q14"/>
    <mergeCell ref="R12:R14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B595-8DC6-4074-96B9-558EFD8C2F96}">
  <dimension ref="A1:R40"/>
  <sheetViews>
    <sheetView tabSelected="1" topLeftCell="A2" zoomScale="85" zoomScaleNormal="85" workbookViewId="0">
      <selection activeCell="G28" sqref="G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165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170" t="s">
        <v>119</v>
      </c>
      <c r="B7" s="64">
        <v>1</v>
      </c>
      <c r="C7" s="153" t="s">
        <v>132</v>
      </c>
      <c r="D7" s="152" t="s">
        <v>9</v>
      </c>
      <c r="E7" s="154">
        <v>91203011680</v>
      </c>
      <c r="F7" s="152" t="s">
        <v>15</v>
      </c>
      <c r="G7" s="152" t="s">
        <v>16</v>
      </c>
      <c r="H7" s="143"/>
      <c r="I7" s="143">
        <f>H7*N$4</f>
        <v>0</v>
      </c>
      <c r="J7" s="143"/>
      <c r="K7" s="143">
        <f>I7-J7</f>
        <v>0</v>
      </c>
      <c r="L7" s="155"/>
      <c r="M7" s="136" t="s">
        <v>167</v>
      </c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H8*N$4</f>
        <v>720000</v>
      </c>
      <c r="J8" s="68">
        <v>600000</v>
      </c>
      <c r="K8" s="68">
        <v>0</v>
      </c>
      <c r="L8" s="88" t="s">
        <v>26</v>
      </c>
      <c r="M8" s="76" t="s">
        <v>166</v>
      </c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700000</v>
      </c>
      <c r="I9" s="68">
        <f>H9*N$4</f>
        <v>420000</v>
      </c>
      <c r="J9" s="74">
        <v>420000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25750000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15450000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1500000</v>
      </c>
      <c r="I13" s="68">
        <f t="shared" ref="I13:I21" si="2">H13*N$4</f>
        <v>900000</v>
      </c>
      <c r="J13" s="68">
        <v>900000</v>
      </c>
      <c r="K13" s="68">
        <f t="shared" ref="K13:K14" si="3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7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1450000</v>
      </c>
      <c r="I14" s="68">
        <f t="shared" si="2"/>
        <v>870000</v>
      </c>
      <c r="J14" s="74">
        <v>870000</v>
      </c>
      <c r="K14" s="68">
        <f t="shared" si="3"/>
        <v>0</v>
      </c>
      <c r="L14" s="87" t="s">
        <v>69</v>
      </c>
      <c r="M14" s="79"/>
      <c r="N14" s="79"/>
      <c r="O14" s="1"/>
      <c r="P14" s="167"/>
      <c r="Q14" s="167"/>
      <c r="R14" s="168"/>
    </row>
    <row r="15" spans="1:18" ht="22.5" customHeight="1" x14ac:dyDescent="0.3">
      <c r="A15" s="175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1360000</v>
      </c>
      <c r="I15" s="68">
        <f t="shared" si="2"/>
        <v>816000</v>
      </c>
      <c r="J15" s="74">
        <v>816000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169" t="s">
        <v>117</v>
      </c>
      <c r="Q15" s="169"/>
      <c r="R15" s="130">
        <f>SUM(J7:J98)</f>
        <v>15330000</v>
      </c>
    </row>
    <row r="16" spans="1:18" ht="16.5" customHeight="1" x14ac:dyDescent="0.25">
      <c r="A16" s="175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87"/>
      <c r="M16" s="76"/>
      <c r="N16" s="76"/>
      <c r="O16" s="1"/>
      <c r="P16" s="1"/>
    </row>
    <row r="17" spans="1:16" ht="16.5" customHeight="1" x14ac:dyDescent="0.25">
      <c r="A17" s="175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1450000</v>
      </c>
      <c r="I17" s="68">
        <f t="shared" si="2"/>
        <v>870000</v>
      </c>
      <c r="J17" s="74">
        <v>870000</v>
      </c>
      <c r="K17" s="68">
        <f t="shared" si="5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175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1800000</v>
      </c>
      <c r="I18" s="68">
        <f t="shared" si="2"/>
        <v>1080000</v>
      </c>
      <c r="J18" s="74">
        <v>1080000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175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1880000</v>
      </c>
      <c r="I19" s="68">
        <f t="shared" si="2"/>
        <v>1128000</v>
      </c>
      <c r="J19" s="68">
        <v>1128000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175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3150000</v>
      </c>
      <c r="I20" s="68">
        <f t="shared" si="2"/>
        <v>1890000</v>
      </c>
      <c r="J20" s="68">
        <v>1890000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75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1440000</v>
      </c>
      <c r="I21" s="68">
        <f t="shared" si="2"/>
        <v>864000</v>
      </c>
      <c r="J21" s="74">
        <v>864000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75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75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1330000</v>
      </c>
      <c r="I23" s="132">
        <f>H23*N$4</f>
        <v>798000</v>
      </c>
      <c r="J23" s="132">
        <v>798000</v>
      </c>
      <c r="K23" s="132">
        <f>I23-J23</f>
        <v>0</v>
      </c>
      <c r="L23" s="87" t="s">
        <v>69</v>
      </c>
      <c r="M23" s="145"/>
      <c r="N23" s="79"/>
      <c r="O23" s="1"/>
      <c r="P23" s="1"/>
    </row>
    <row r="24" spans="1:16" ht="16.5" customHeight="1" x14ac:dyDescent="0.25">
      <c r="A24" s="175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650000</v>
      </c>
      <c r="I24" s="132">
        <f>H24*N$4</f>
        <v>390000</v>
      </c>
      <c r="J24" s="133">
        <v>390000</v>
      </c>
      <c r="K24" s="132">
        <f>I24-J24</f>
        <v>0</v>
      </c>
      <c r="L24" s="87" t="s">
        <v>69</v>
      </c>
      <c r="M24" s="145"/>
      <c r="N24" s="105"/>
      <c r="O24" s="1"/>
      <c r="P24" s="1"/>
    </row>
    <row r="25" spans="1:16" ht="16.5" x14ac:dyDescent="0.25">
      <c r="A25" s="175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3570000</v>
      </c>
      <c r="I25" s="132">
        <f>H25*N$4</f>
        <v>2142000</v>
      </c>
      <c r="J25" s="68">
        <v>2142000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175"/>
      <c r="B26" s="64">
        <v>1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3270000</v>
      </c>
      <c r="I26" s="132">
        <f>H26*N$4</f>
        <v>1962000</v>
      </c>
      <c r="J26" s="133">
        <v>1962000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75"/>
      <c r="B27" s="64">
        <f>B26+1</f>
        <v>2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175"/>
      <c r="B28" s="70">
        <f>B27+1</f>
        <v>3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175"/>
      <c r="B29" s="64">
        <f>B28+1</f>
        <v>4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175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biển số xe</vt:lpstr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  <vt:lpstr>19-01</vt:lpstr>
      <vt:lpstr>20-01</vt:lpstr>
      <vt:lpstr>21-01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2026-01-22T13:38:22Z</dcterms:modified>
</cp:coreProperties>
</file>