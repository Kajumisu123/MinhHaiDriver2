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3CD3BFD4-452E-401C-8A24-D6B2569E3486}" xr6:coauthVersionLast="47" xr6:coauthVersionMax="47" xr10:uidLastSave="{00000000-0000-0000-0000-000000000000}"/>
  <bookViews>
    <workbookView xWindow="-120" yWindow="-120" windowWidth="29040" windowHeight="15840" tabRatio="579" firstSheet="3" activeTab="18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  <sheet name="06-01" sheetId="10" r:id="rId6"/>
    <sheet name="07-01" sheetId="11" r:id="rId7"/>
    <sheet name="08-01" sheetId="12" r:id="rId8"/>
    <sheet name="09-01" sheetId="13" r:id="rId9"/>
    <sheet name="10-01" sheetId="14" state="hidden" r:id="rId10"/>
    <sheet name="10-01 (1)" sheetId="15" r:id="rId11"/>
    <sheet name="11-01 " sheetId="16" r:id="rId12"/>
    <sheet name="12-01" sheetId="17" r:id="rId13"/>
    <sheet name="13-01" sheetId="18" r:id="rId14"/>
    <sheet name="14-01" sheetId="19" r:id="rId15"/>
    <sheet name="15-01" sheetId="20" r:id="rId16"/>
    <sheet name="16-01" sheetId="21" r:id="rId17"/>
    <sheet name="17-01" sheetId="22" r:id="rId18"/>
    <sheet name="18-01" sheetId="23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0" i="23" l="1"/>
  <c r="K9" i="23"/>
  <c r="K27" i="23"/>
  <c r="K28" i="23"/>
  <c r="K29" i="23"/>
  <c r="K14" i="23"/>
  <c r="K15" i="23"/>
  <c r="K16" i="23"/>
  <c r="K17" i="23"/>
  <c r="K18" i="23"/>
  <c r="K19" i="23"/>
  <c r="K20" i="23"/>
  <c r="K21" i="23"/>
  <c r="K22" i="23"/>
  <c r="I29" i="23"/>
  <c r="I28" i="23"/>
  <c r="I27" i="23"/>
  <c r="B27" i="23"/>
  <c r="B28" i="23" s="1"/>
  <c r="B29" i="23" s="1"/>
  <c r="B30" i="23" s="1"/>
  <c r="I26" i="23"/>
  <c r="K26" i="23" s="1"/>
  <c r="I22" i="23"/>
  <c r="I21" i="23"/>
  <c r="I20" i="23"/>
  <c r="I19" i="23"/>
  <c r="I18" i="23"/>
  <c r="I17" i="23"/>
  <c r="I16" i="23"/>
  <c r="R15" i="23"/>
  <c r="I15" i="23"/>
  <c r="B14" i="23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I13" i="23"/>
  <c r="K13" i="23" s="1"/>
  <c r="R10" i="23"/>
  <c r="I10" i="23"/>
  <c r="I9" i="23"/>
  <c r="B9" i="23"/>
  <c r="B10" i="23" s="1"/>
  <c r="I8" i="23"/>
  <c r="B8" i="23"/>
  <c r="I7" i="23"/>
  <c r="K7" i="23" s="1"/>
  <c r="R12" i="23" l="1"/>
  <c r="K18" i="22"/>
  <c r="K20" i="22"/>
  <c r="K21" i="22"/>
  <c r="K22" i="22"/>
  <c r="I29" i="22"/>
  <c r="K29" i="22" s="1"/>
  <c r="I28" i="22"/>
  <c r="I27" i="22"/>
  <c r="K27" i="22" s="1"/>
  <c r="B27" i="22"/>
  <c r="B28" i="22" s="1"/>
  <c r="B29" i="22" s="1"/>
  <c r="B30" i="22" s="1"/>
  <c r="I26" i="22"/>
  <c r="K26" i="22" s="1"/>
  <c r="I22" i="22"/>
  <c r="I21" i="22"/>
  <c r="I20" i="22"/>
  <c r="I19" i="22"/>
  <c r="K19" i="22" s="1"/>
  <c r="I18" i="22"/>
  <c r="I17" i="22"/>
  <c r="K17" i="22" s="1"/>
  <c r="I16" i="22"/>
  <c r="K16" i="22" s="1"/>
  <c r="R15" i="22"/>
  <c r="I15" i="22"/>
  <c r="K15" i="22" s="1"/>
  <c r="B15" i="22"/>
  <c r="B16" i="22" s="1"/>
  <c r="B17" i="22" s="1"/>
  <c r="B18" i="22" s="1"/>
  <c r="B19" i="22" s="1"/>
  <c r="B20" i="22" s="1"/>
  <c r="B21" i="22" s="1"/>
  <c r="B22" i="22" s="1"/>
  <c r="B23" i="22" s="1"/>
  <c r="B24" i="22" s="1"/>
  <c r="B14" i="22"/>
  <c r="I13" i="22"/>
  <c r="K13" i="22" s="1"/>
  <c r="R10" i="22"/>
  <c r="I10" i="22"/>
  <c r="K10" i="22" s="1"/>
  <c r="K9" i="22"/>
  <c r="I9" i="22"/>
  <c r="B9" i="22"/>
  <c r="B10" i="22" s="1"/>
  <c r="I8" i="22"/>
  <c r="B8" i="22"/>
  <c r="I7" i="22"/>
  <c r="R12" i="22" l="1"/>
  <c r="K7" i="22"/>
  <c r="I8" i="21" l="1"/>
  <c r="K20" i="21"/>
  <c r="K19" i="21" l="1"/>
  <c r="I28" i="21"/>
  <c r="K28" i="21" s="1"/>
  <c r="I29" i="21"/>
  <c r="K29" i="21" s="1"/>
  <c r="I27" i="21"/>
  <c r="K27" i="21" s="1"/>
  <c r="B27" i="21"/>
  <c r="B28" i="21" s="1"/>
  <c r="B29" i="21" s="1"/>
  <c r="B30" i="21" s="1"/>
  <c r="I26" i="21"/>
  <c r="I22" i="21"/>
  <c r="K22" i="21" s="1"/>
  <c r="I21" i="21"/>
  <c r="K21" i="21" s="1"/>
  <c r="I20" i="21"/>
  <c r="I19" i="21"/>
  <c r="I18" i="21"/>
  <c r="K18" i="21" s="1"/>
  <c r="I17" i="21"/>
  <c r="K17" i="21" s="1"/>
  <c r="I16" i="21"/>
  <c r="K16" i="21" s="1"/>
  <c r="R15" i="21"/>
  <c r="I15" i="21"/>
  <c r="K15" i="21" s="1"/>
  <c r="B14" i="2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I13" i="21"/>
  <c r="K13" i="21" s="1"/>
  <c r="R10" i="21"/>
  <c r="I10" i="21"/>
  <c r="K10" i="21" s="1"/>
  <c r="K9" i="21"/>
  <c r="I9" i="21"/>
  <c r="B8" i="21"/>
  <c r="B9" i="21" s="1"/>
  <c r="B10" i="21" s="1"/>
  <c r="I7" i="21"/>
  <c r="K7" i="21" s="1"/>
  <c r="B23" i="20"/>
  <c r="B24" i="20" s="1"/>
  <c r="B16" i="20"/>
  <c r="B17" i="20" s="1"/>
  <c r="B18" i="20" s="1"/>
  <c r="B19" i="20" s="1"/>
  <c r="B20" i="20" s="1"/>
  <c r="B21" i="20" s="1"/>
  <c r="B22" i="20" s="1"/>
  <c r="B9" i="20"/>
  <c r="B10" i="20" s="1"/>
  <c r="I27" i="20"/>
  <c r="K27" i="20" s="1"/>
  <c r="B27" i="20"/>
  <c r="B28" i="20" s="1"/>
  <c r="B29" i="20" s="1"/>
  <c r="B30" i="20" s="1"/>
  <c r="I26" i="20"/>
  <c r="I22" i="20"/>
  <c r="K22" i="20" s="1"/>
  <c r="I21" i="20"/>
  <c r="K21" i="20" s="1"/>
  <c r="I20" i="20"/>
  <c r="I19" i="20"/>
  <c r="K19" i="20" s="1"/>
  <c r="I18" i="20"/>
  <c r="K18" i="20" s="1"/>
  <c r="I17" i="20"/>
  <c r="K17" i="20" s="1"/>
  <c r="I16" i="20"/>
  <c r="K16" i="20" s="1"/>
  <c r="R15" i="20"/>
  <c r="I15" i="20"/>
  <c r="K15" i="20" s="1"/>
  <c r="I14" i="20"/>
  <c r="K14" i="20" s="1"/>
  <c r="B14" i="20"/>
  <c r="B15" i="20" s="1"/>
  <c r="I13" i="20"/>
  <c r="K13" i="20" s="1"/>
  <c r="I10" i="20"/>
  <c r="K10" i="20" s="1"/>
  <c r="R10" i="20"/>
  <c r="I9" i="20"/>
  <c r="K9" i="20" s="1"/>
  <c r="B8" i="20"/>
  <c r="I7" i="20"/>
  <c r="R15" i="19"/>
  <c r="I27" i="19"/>
  <c r="K27" i="19" s="1"/>
  <c r="I26" i="19"/>
  <c r="B27" i="19"/>
  <c r="B28" i="19" s="1"/>
  <c r="B29" i="19" s="1"/>
  <c r="B30" i="19" s="1"/>
  <c r="I19" i="19"/>
  <c r="K19" i="19" s="1"/>
  <c r="R12" i="21" l="1"/>
  <c r="R12" i="20"/>
  <c r="K7" i="20"/>
  <c r="I24" i="19"/>
  <c r="I23" i="19"/>
  <c r="K23" i="19" s="1"/>
  <c r="I22" i="19"/>
  <c r="I21" i="19"/>
  <c r="K21" i="19" s="1"/>
  <c r="I20" i="19"/>
  <c r="K20" i="19" s="1"/>
  <c r="I18" i="19"/>
  <c r="K18" i="19" s="1"/>
  <c r="I17" i="19"/>
  <c r="K17" i="19" s="1"/>
  <c r="I16" i="19"/>
  <c r="K16" i="19" s="1"/>
  <c r="I15" i="19"/>
  <c r="K15" i="19" s="1"/>
  <c r="I14" i="19"/>
  <c r="K14" i="19" s="1"/>
  <c r="B14" i="19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I13" i="19"/>
  <c r="K13" i="19" s="1"/>
  <c r="I11" i="19"/>
  <c r="K11" i="19" s="1"/>
  <c r="I10" i="19"/>
  <c r="K10" i="19" s="1"/>
  <c r="I8" i="19"/>
  <c r="K8" i="19" s="1"/>
  <c r="B8" i="19"/>
  <c r="B9" i="19" s="1"/>
  <c r="B10" i="19" s="1"/>
  <c r="B11" i="19" s="1"/>
  <c r="I7" i="19"/>
  <c r="K7" i="19" s="1"/>
  <c r="R10" i="19" l="1"/>
  <c r="R12" i="19"/>
  <c r="J30" i="18"/>
  <c r="I15" i="18" l="1"/>
  <c r="J28" i="18"/>
  <c r="I26" i="18"/>
  <c r="K26" i="18" s="1"/>
  <c r="I25" i="18"/>
  <c r="K25" i="18" s="1"/>
  <c r="I24" i="18"/>
  <c r="I23" i="18"/>
  <c r="K23" i="18" s="1"/>
  <c r="I22" i="18"/>
  <c r="I21" i="18"/>
  <c r="K21" i="18" s="1"/>
  <c r="I20" i="18"/>
  <c r="K20" i="18" s="1"/>
  <c r="I19" i="18"/>
  <c r="K19" i="18" s="1"/>
  <c r="I18" i="18"/>
  <c r="K18" i="18" s="1"/>
  <c r="I17" i="18"/>
  <c r="K17" i="18" s="1"/>
  <c r="I16" i="18"/>
  <c r="K16" i="18" s="1"/>
  <c r="B16" i="18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I11" i="18"/>
  <c r="K11" i="18" s="1"/>
  <c r="I10" i="18"/>
  <c r="K10" i="18" s="1"/>
  <c r="I9" i="18"/>
  <c r="K9" i="18" s="1"/>
  <c r="I8" i="18"/>
  <c r="K8" i="18" s="1"/>
  <c r="B8" i="18"/>
  <c r="B9" i="18" s="1"/>
  <c r="B10" i="18" s="1"/>
  <c r="B11" i="18" s="1"/>
  <c r="I7" i="18"/>
  <c r="I25" i="17"/>
  <c r="K25" i="17" s="1"/>
  <c r="I26" i="17"/>
  <c r="K26" i="17" s="1"/>
  <c r="I9" i="17"/>
  <c r="K9" i="17" s="1"/>
  <c r="J30" i="17"/>
  <c r="J28" i="17"/>
  <c r="I24" i="17"/>
  <c r="K24" i="17" s="1"/>
  <c r="I23" i="17"/>
  <c r="K23" i="17" s="1"/>
  <c r="I22" i="17"/>
  <c r="K22" i="17" s="1"/>
  <c r="I21" i="17"/>
  <c r="K21" i="17" s="1"/>
  <c r="I20" i="17"/>
  <c r="K20" i="17" s="1"/>
  <c r="I19" i="17"/>
  <c r="K19" i="17" s="1"/>
  <c r="I18" i="17"/>
  <c r="K18" i="17" s="1"/>
  <c r="I17" i="17"/>
  <c r="K17" i="17" s="1"/>
  <c r="I16" i="17"/>
  <c r="K16" i="17" s="1"/>
  <c r="B16" i="17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I15" i="17"/>
  <c r="K15" i="17" s="1"/>
  <c r="I11" i="17"/>
  <c r="K11" i="17" s="1"/>
  <c r="I10" i="17"/>
  <c r="K10" i="17" s="1"/>
  <c r="I8" i="17"/>
  <c r="K8" i="17" s="1"/>
  <c r="B8" i="17"/>
  <c r="B9" i="17" s="1"/>
  <c r="B10" i="17" s="1"/>
  <c r="B11" i="17" s="1"/>
  <c r="I7" i="17"/>
  <c r="B26" i="16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I22" i="16"/>
  <c r="K22" i="16" s="1"/>
  <c r="I23" i="16"/>
  <c r="K23" i="16" s="1"/>
  <c r="I24" i="16"/>
  <c r="I25" i="16"/>
  <c r="K25" i="16" s="1"/>
  <c r="I15" i="16"/>
  <c r="K15" i="16" s="1"/>
  <c r="I8" i="16"/>
  <c r="I9" i="16"/>
  <c r="K9" i="16" s="1"/>
  <c r="I10" i="16"/>
  <c r="I11" i="16"/>
  <c r="K11" i="16" s="1"/>
  <c r="I7" i="16"/>
  <c r="B8" i="16"/>
  <c r="B9" i="16" s="1"/>
  <c r="B10" i="16" s="1"/>
  <c r="B11" i="16" s="1"/>
  <c r="J30" i="16"/>
  <c r="J28" i="16"/>
  <c r="B16" i="16"/>
  <c r="B17" i="16" s="1"/>
  <c r="B18" i="16" s="1"/>
  <c r="B19" i="16" s="1"/>
  <c r="B20" i="16" s="1"/>
  <c r="B21" i="16" s="1"/>
  <c r="B22" i="16" s="1"/>
  <c r="B23" i="16" s="1"/>
  <c r="B24" i="16" s="1"/>
  <c r="B25" i="16" s="1"/>
  <c r="K10" i="16"/>
  <c r="K8" i="16"/>
  <c r="I10" i="15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K24" i="18" l="1"/>
  <c r="J29" i="18"/>
  <c r="K7" i="18"/>
  <c r="J29" i="17"/>
  <c r="K7" i="17"/>
  <c r="J29" i="16"/>
  <c r="K7" i="16"/>
  <c r="K26" i="15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<sst xmlns="http://schemas.openxmlformats.org/spreadsheetml/2006/main" count="2281" uniqueCount="153">
  <si>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</si>
  <si>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</si>
  <si>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</si>
  <si>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</si>
  <si>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</si>
  <si>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</si>
  <si>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</si>
  <si>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</si>
  <si>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</si>
  <si>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</si>
  <si>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</si>
  <si>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</si>
  <si>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</si>
  <si>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</si>
  <si>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</si>
  <si>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</si>
  <si>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</si>
  <si>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</si>
  <si>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</si>
  <si>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</si>
  <si>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</si>
  <si>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</si>
  <si>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</si>
  <si>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</si>
  <si>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</si>
  <si>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</si>
  <si>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</si>
  <si>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</si>
  <si>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</si>
  <si>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</si>
  <si>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</si>
  <si>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</si>
  <si>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</si>
  <si>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</si>
  <si>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</si>
  <si>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</si>
  <si>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</si>
  <si>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</si>
  <si>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</si>
  <si>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</si>
  <si>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</si>
  <si>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</si>
  <si>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</si>
  <si>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</si>
  <si>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</si>
  <si>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</si>
  <si>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</si>
  <si>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</si>
  <si>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</si>
  <si>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</si>
  <si>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</si>
  <si>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</si>
  <si>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</si>
  <si>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</si>
  <si>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</si>
  <si>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</si>
  <si>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</si>
  <si>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</si>
  <si>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</si>
  <si>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</si>
  <si>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</si>
  <si>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</si>
  <si>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</si>
  <si>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</si>
  <si>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</si>
  <si>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</si>
  <si>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</si>
  <si>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</si>
  <si>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</si>
  <si>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</si>
  <si>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</si>
  <si>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</si>
  <si>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</si>
  <si>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</si>
  <si>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</si>
  <si>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</si>
  <si>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</si>
  <si>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</si>
  <si>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</si>
  <si>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</si>
  <si>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</si>
  <si>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</si>
  <si>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</si>
  <si>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</si>
  <si>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</si>
  <si>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</si>
  <si>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</si>
  <si>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</si>
  <si>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</si>
  <si>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</si>
  <si>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</si>
  <si>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</si>
  <si>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</si>
  <si>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</si>
  <si>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</si>
  <si>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</si>
  <si>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</si>
  <si>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</si>
  <si>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</si>
  <si>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</si>
  <si>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</si>
  <si>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</si>
  <si>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</si>
  <si>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</si>
  <si>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</si>
  <si>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</si>
  <si>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</si>
  <si>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</si>
  <si>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</si>
  <si>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</si>
  <si>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</si>
  <si>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</si>
  <si>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</si>
  <si>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</si>
  <si>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</si>
  <si>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</si>
  <si>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</si>
  <si>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</si>
  <si>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</si>
  <si>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</si>
  <si>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</si>
  <si>
    <t>DOANH THU 11/01/2026</t>
  </si>
  <si>
    <t>Nghỉ luôn sau 11-01</t>
  </si>
  <si>
    <t>DOANH THU 12/01/2026</t>
  </si>
  <si>
    <t>094</t>
  </si>
  <si>
    <t>thay 4 bóng đèn</t>
  </si>
  <si>
    <t>DOANH THU 13/01/2026</t>
  </si>
  <si>
    <t>HOÀNG</t>
  </si>
  <si>
    <t>CHUYỂN CHO BÁC KIM</t>
  </si>
  <si>
    <t>bác kim nhận</t>
  </si>
  <si>
    <t>DOANH THU 14/01/2026</t>
  </si>
  <si>
    <t>PHAN HOÀNG EM (Sun)</t>
  </si>
  <si>
    <t xml:space="preserve">TRƯƠNG VŨ CA (VŨ LINH) </t>
  </si>
  <si>
    <t xml:space="preserve">QUANG HÀ </t>
  </si>
  <si>
    <t>MAI BÁ ĐẠT</t>
  </si>
  <si>
    <t xml:space="preserve">NGUYỄN VĂN THẠO </t>
  </si>
  <si>
    <t>DƯƠNG ĐÔNG</t>
  </si>
  <si>
    <t xml:space="preserve">68HC 001.91 </t>
  </si>
  <si>
    <t>HOÀNG ANH TUẤN</t>
  </si>
  <si>
    <t>VŨ ĐỨC HẠNH (HUY)</t>
  </si>
  <si>
    <t>Xe 189.doanh thu 1828-731 tài =1097-600 sửa tăng tốc =497k</t>
  </si>
  <si>
    <t>Xe 171 doanh thu 1540-616 tiền tài=924</t>
  </si>
  <si>
    <t>DỰ KIẾN CTY NHẬN</t>
  </si>
  <si>
    <t>TỔNG DỰ KIẾN CTY NHẬN</t>
  </si>
  <si>
    <t>DOANH THU 15/01/2026</t>
  </si>
  <si>
    <t>nhận thêm 100k ngày 15</t>
  </si>
  <si>
    <t>Nghỉ chịu tang</t>
  </si>
  <si>
    <t>-</t>
  </si>
  <si>
    <t>NGUYỄN ĐĂNG KHÁNH</t>
  </si>
  <si>
    <t>DOANH THU 16/01/2026</t>
  </si>
  <si>
    <t>Anh Thành</t>
  </si>
  <si>
    <t>DOANH THU 17/01/2026</t>
  </si>
  <si>
    <t>DOANH THU 18/01/2026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</si>
</sst>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2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68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3" fontId="14" fillId="14" borderId="8" xfId="0" applyNumberFormat="1" applyFont="1" applyFill="1" applyBorder="1" applyAlignment="1">
      <alignment horizontal="center" vertical="center"/>
    </xf>
    <xf numFmtId="0" fontId="5" fillId="0" borderId="8" xfId="0" applyFont="1" applyBorder="1"/>
    <xf numFmtId="49" fontId="4" fillId="0" borderId="8" xfId="0" applyNumberFormat="1" applyFont="1" applyBorder="1"/>
    <xf numFmtId="0" fontId="20" fillId="11" borderId="8" xfId="0" applyFont="1" applyFill="1" applyBorder="1" applyAlignment="1">
      <alignment horizontal="center" vertical="center"/>
    </xf>
    <xf numFmtId="3" fontId="14" fillId="16" borderId="8" xfId="0" applyNumberFormat="1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4" fillId="0" borderId="8" xfId="0" applyFont="1" applyBorder="1" applyAlignment="1">
      <alignment horizontal="left" vertical="center"/>
    </xf>
    <xf numFmtId="3" fontId="14" fillId="0" borderId="8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0" fontId="4" fillId="13" borderId="0" xfId="0" applyFont="1" applyFill="1"/>
    <xf numFmtId="0" fontId="0" fillId="13" borderId="0" xfId="0" applyFill="1"/>
    <xf numFmtId="3" fontId="13" fillId="3" borderId="8" xfId="2" applyNumberFormat="1" applyFont="1" applyBorder="1" applyAlignment="1">
      <alignment horizontal="right"/>
    </xf>
    <xf numFmtId="0" fontId="24" fillId="12" borderId="8" xfId="0" applyFont="1" applyFill="1" applyBorder="1" applyAlignment="1">
      <alignment horizontal="center" vertical="center"/>
    </xf>
    <xf numFmtId="3" fontId="23" fillId="11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/>
    </xf>
    <xf numFmtId="0" fontId="16" fillId="11" borderId="8" xfId="0" applyFont="1" applyFill="1" applyBorder="1" applyAlignment="1">
      <alignment horizontal="center" vertical="center" wrapText="1"/>
    </xf>
    <xf numFmtId="0" fontId="30" fillId="6" borderId="8" xfId="1" applyFont="1" applyFill="1" applyBorder="1" applyAlignment="1">
      <alignment horizontal="center" vertical="center"/>
    </xf>
    <xf numFmtId="0" fontId="30" fillId="6" borderId="8" xfId="1" applyFont="1" applyFill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3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vertical="center"/>
    </xf>
    <xf numFmtId="49" fontId="10" fillId="19" borderId="8" xfId="0" applyNumberFormat="1" applyFont="1" applyFill="1" applyBorder="1" applyAlignment="1">
      <alignment horizontal="center" vertical="center"/>
    </xf>
    <xf numFmtId="3" fontId="14" fillId="19" borderId="8" xfId="0" applyNumberFormat="1" applyFont="1" applyFill="1" applyBorder="1" applyAlignment="1">
      <alignment horizontal="center" vertical="center"/>
    </xf>
    <xf numFmtId="3" fontId="14" fillId="18" borderId="8" xfId="0" applyNumberFormat="1" applyFont="1" applyFill="1" applyBorder="1" applyAlignment="1">
      <alignment horizontal="center" vertical="center"/>
    </xf>
    <xf numFmtId="0" fontId="0" fillId="0" borderId="8" xfId="0" applyBorder="1"/>
    <xf numFmtId="3" fontId="0" fillId="0" borderId="0" xfId="0" applyNumberFormat="1"/>
    <xf numFmtId="3" fontId="16" fillId="13" borderId="8" xfId="0" applyNumberFormat="1" applyFont="1" applyFill="1" applyBorder="1" applyAlignment="1">
      <alignment horizontal="center" vertical="center"/>
    </xf>
    <xf numFmtId="3" fontId="0" fillId="0" borderId="8" xfId="0" applyNumberFormat="1" applyBorder="1"/>
    <xf numFmtId="3" fontId="0" fillId="13" borderId="0" xfId="0" applyNumberFormat="1" applyFill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  <xf numFmtId="0" fontId="29" fillId="17" borderId="10" xfId="0" applyFont="1" applyFill="1" applyBorder="1" applyAlignment="1">
      <alignment horizontal="center" vertical="center" wrapText="1"/>
    </xf>
    <xf numFmtId="0" fontId="29" fillId="17" borderId="11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 wrapText="1"/>
    </xf>
    <xf numFmtId="3" fontId="13" fillId="3" borderId="8" xfId="2" applyNumberFormat="1" applyFont="1" applyBorder="1" applyAlignment="1">
      <alignment horizontal="right" vertical="center"/>
    </xf>
    <xf numFmtId="0" fontId="12" fillId="3" borderId="8" xfId="3" applyFont="1" applyBorder="1" applyAlignment="1">
      <alignment horizontal="center"/>
    </xf>
    <xf numFmtId="0" fontId="29" fillId="10" borderId="10" xfId="0" applyFont="1" applyFill="1" applyBorder="1" applyAlignment="1">
      <alignment horizontal="center" vertical="center" wrapText="1"/>
    </xf>
    <xf numFmtId="0" fontId="29" fillId="10" borderId="11" xfId="0" applyFont="1" applyFill="1" applyBorder="1" applyAlignment="1">
      <alignment horizontal="center" vertical="center" wrapText="1"/>
    </xf>
    <xf numFmtId="0" fontId="29" fillId="10" borderId="9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7" sqref="I7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55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153" t="s">
        <v>29</v>
      </c>
      <c r="I25" s="153"/>
      <c r="J25" s="9">
        <f>SUM(H7:H1000)</f>
        <v>24820000</v>
      </c>
    </row>
    <row r="26" spans="2:13" ht="22.5" x14ac:dyDescent="0.3">
      <c r="H26" s="153" t="s">
        <v>30</v>
      </c>
      <c r="I26" s="153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77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29135000</v>
      </c>
    </row>
    <row r="27" spans="1:13" ht="22.5" x14ac:dyDescent="0.3">
      <c r="H27" s="153" t="s">
        <v>30</v>
      </c>
      <c r="I27" s="153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85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32170000</v>
      </c>
    </row>
    <row r="27" spans="1:13" ht="22.5" x14ac:dyDescent="0.3">
      <c r="H27" s="153" t="s">
        <v>30</v>
      </c>
      <c r="I27" s="153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87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30806000</v>
      </c>
    </row>
    <row r="27" spans="1:13" ht="22.5" x14ac:dyDescent="0.3">
      <c r="H27" s="153" t="s">
        <v>30</v>
      </c>
      <c r="I27" s="153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95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30762000</v>
      </c>
    </row>
    <row r="27" spans="1:13" ht="22.5" x14ac:dyDescent="0.3">
      <c r="H27" s="153" t="s">
        <v>30</v>
      </c>
      <c r="I27" s="153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97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31566000</v>
      </c>
    </row>
    <row r="27" spans="1:13" ht="22.5" x14ac:dyDescent="0.3">
      <c r="H27" s="153" t="s">
        <v>30</v>
      </c>
      <c r="I27" s="153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99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31500000</v>
      </c>
    </row>
    <row r="27" spans="1:13" ht="22.5" x14ac:dyDescent="0.3">
      <c r="H27" s="153" t="s">
        <v>30</v>
      </c>
      <c r="I27" s="153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6" ht="30.75" x14ac:dyDescent="0.25">
      <c r="B3" s="151" t="s">
        <v>100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32130000</v>
      </c>
    </row>
    <row r="27" spans="1:13" ht="22.5" x14ac:dyDescent="0.3">
      <c r="H27" s="153" t="s">
        <v>30</v>
      </c>
      <c r="I27" s="153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6" ht="30.75" x14ac:dyDescent="0.25">
      <c r="B3" s="151" t="s">
        <v>107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8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28500000</v>
      </c>
    </row>
    <row r="27" spans="1:13" ht="22.5" x14ac:dyDescent="0.3">
      <c r="H27" s="153" t="s">
        <v>30</v>
      </c>
      <c r="I27" s="153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6" ht="30.75" x14ac:dyDescent="0.25">
      <c r="B3" s="151" t="s">
        <v>109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5" x14ac:dyDescent="0.25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C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28869000</v>
      </c>
    </row>
    <row r="27" spans="1:13" ht="22.5" x14ac:dyDescent="0.3">
      <c r="H27" s="153" t="s">
        <v>30</v>
      </c>
      <c r="I27" s="153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  <c r="D46" s="45" t="s">
        <v>72</v>
      </c>
    </row>
    <row r="47" spans="2:4" ht="16.5" x14ac:dyDescent="0.25">
      <c r="B47" s="18" t="s">
        <v>48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sheetPr codeName="Sheet11"/>
  <dimension ref="A1:P42"/>
  <sheetViews>
    <sheetView topLeftCell="A3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2.285156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7.75" x14ac:dyDescent="0.25">
      <c r="A2" s="1"/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  <c r="L2" s="1"/>
      <c r="M2" s="1"/>
      <c r="N2" s="1"/>
      <c r="O2" s="1"/>
      <c r="P2" s="1"/>
    </row>
    <row r="3" spans="1:16" ht="30.75" x14ac:dyDescent="0.25">
      <c r="A3" s="1"/>
      <c r="B3" s="151" t="s">
        <v>109</v>
      </c>
      <c r="C3" s="152"/>
      <c r="D3" s="152"/>
      <c r="E3" s="152"/>
      <c r="F3" s="152"/>
      <c r="G3" s="152"/>
      <c r="H3" s="152"/>
      <c r="I3" s="152"/>
      <c r="J3" s="152"/>
      <c r="K3" s="152"/>
      <c r="L3" s="1"/>
      <c r="M3" s="1"/>
      <c r="N3" s="1"/>
      <c r="O3" s="1"/>
      <c r="P3" s="1"/>
    </row>
    <row r="4" spans="1:16" ht="22.5" x14ac:dyDescent="0.3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6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5" x14ac:dyDescent="0.25">
      <c r="A8" s="157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82" t="s">
        <v>122</v>
      </c>
      <c r="N8" s="79"/>
      <c r="O8" s="1"/>
      <c r="P8" s="82" t="s">
        <v>72</v>
      </c>
    </row>
    <row r="9" spans="1:16" ht="16.5" x14ac:dyDescent="0.25">
      <c r="A9" s="157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5" x14ac:dyDescent="0.25">
      <c r="A10" s="157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5" x14ac:dyDescent="0.25">
      <c r="A11" s="157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5" x14ac:dyDescent="0.25">
      <c r="A12" s="157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5" x14ac:dyDescent="0.25">
      <c r="A13" s="157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5" x14ac:dyDescent="0.25">
      <c r="A15" s="158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5" x14ac:dyDescent="0.25">
      <c r="A16" s="158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58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5" x14ac:dyDescent="0.25">
      <c r="A19" s="158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5" x14ac:dyDescent="0.25">
      <c r="A20" s="158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5" x14ac:dyDescent="0.25">
      <c r="A21" s="158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5" x14ac:dyDescent="0.25">
      <c r="A22" s="158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5" x14ac:dyDescent="0.25">
      <c r="A23" s="158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5" x14ac:dyDescent="0.25">
      <c r="A24" s="158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5" x14ac:dyDescent="0.25">
      <c r="A25" s="158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5" x14ac:dyDescent="0.25">
      <c r="A26" s="158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4" t="s">
        <v>29</v>
      </c>
      <c r="I28" s="155"/>
      <c r="J28" s="9">
        <f>SUM(H7:H1001)</f>
        <v>29569000</v>
      </c>
    </row>
    <row r="29" spans="1:16" ht="22.5" x14ac:dyDescent="0.3">
      <c r="H29" s="154" t="s">
        <v>30</v>
      </c>
      <c r="I29" s="155"/>
      <c r="J29" s="9">
        <f>SUM(I7:I1001)</f>
        <v>17731000</v>
      </c>
    </row>
    <row r="30" spans="1:16" ht="22.5" x14ac:dyDescent="0.3">
      <c r="H30" s="154" t="s">
        <v>117</v>
      </c>
      <c r="I30" s="155"/>
      <c r="J30" s="63">
        <f>SUM(J7:J26)</f>
        <v>17731000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0DAD-28C5-4E7E-A3E5-3D266A1857D5}">
  <sheetPr codeName="Sheet12"/>
  <dimension ref="A1:P42"/>
  <sheetViews>
    <sheetView topLeftCell="B1"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38.85546875" bestFit="1" customWidth="1"/>
    <col min="4" max="4" width="15.42578125" bestFit="1" customWidth="1"/>
    <col min="5" max="5" width="15.5703125" bestFit="1" customWidth="1"/>
    <col min="6" max="6" width="16.42578125" bestFit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5.42578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6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57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1860000</v>
      </c>
      <c r="I8" s="68">
        <f t="shared" ref="I8:I11" si="0">H8*N$4</f>
        <v>1116000</v>
      </c>
      <c r="J8" s="74">
        <v>1116000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57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57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1500000</v>
      </c>
      <c r="I10" s="68">
        <f t="shared" si="0"/>
        <v>900000</v>
      </c>
      <c r="J10" s="74">
        <v>900000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57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1650000</v>
      </c>
      <c r="I11" s="68">
        <f t="shared" si="0"/>
        <v>990000</v>
      </c>
      <c r="J11" s="74">
        <v>990000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57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57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58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1800000</v>
      </c>
      <c r="I15" s="68">
        <f t="shared" ref="I15:I25" si="1">H15*N$4</f>
        <v>1080000</v>
      </c>
      <c r="J15" s="68">
        <v>1080000</v>
      </c>
      <c r="K15" s="68">
        <f t="shared" ref="K15:K23" si="2">I15-J15</f>
        <v>0</v>
      </c>
      <c r="L15" s="76" t="s">
        <v>69</v>
      </c>
      <c r="M15" s="76"/>
      <c r="N15" s="76"/>
      <c r="O15" s="1"/>
      <c r="P15" s="1"/>
    </row>
    <row r="16" spans="1:16" ht="16.5" x14ac:dyDescent="0.25">
      <c r="A16" s="158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2400000</v>
      </c>
      <c r="I16" s="68">
        <f t="shared" si="1"/>
        <v>1440000</v>
      </c>
      <c r="J16" s="68">
        <v>1440000</v>
      </c>
      <c r="K16" s="68">
        <f t="shared" si="2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58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2910000</v>
      </c>
      <c r="I17" s="68">
        <f t="shared" si="1"/>
        <v>1746000</v>
      </c>
      <c r="J17" s="74">
        <v>1746000</v>
      </c>
      <c r="K17" s="68">
        <f t="shared" si="2"/>
        <v>0</v>
      </c>
      <c r="L17" s="76" t="s">
        <v>69</v>
      </c>
      <c r="M17" s="79"/>
      <c r="N17" s="79"/>
      <c r="O17" s="1"/>
      <c r="P17" s="1"/>
    </row>
    <row r="18" spans="1:16" ht="16.5" x14ac:dyDescent="0.25">
      <c r="A18" s="158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2050000</v>
      </c>
      <c r="I18" s="68">
        <f t="shared" si="1"/>
        <v>1230000</v>
      </c>
      <c r="J18" s="74">
        <v>1230000</v>
      </c>
      <c r="K18" s="68">
        <f t="shared" si="2"/>
        <v>0</v>
      </c>
      <c r="L18" s="76" t="s">
        <v>69</v>
      </c>
      <c r="M18" s="76"/>
      <c r="N18" s="85"/>
      <c r="O18" s="1"/>
      <c r="P18" s="1"/>
    </row>
    <row r="19" spans="1:16" ht="16.5" x14ac:dyDescent="0.25">
      <c r="A19" s="158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1950000</v>
      </c>
      <c r="I19" s="68">
        <f t="shared" si="1"/>
        <v>1170000</v>
      </c>
      <c r="J19" s="74">
        <v>1170000</v>
      </c>
      <c r="K19" s="68">
        <f t="shared" si="2"/>
        <v>0</v>
      </c>
      <c r="L19" s="76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1710000</v>
      </c>
      <c r="I20" s="68">
        <f t="shared" si="1"/>
        <v>1026000</v>
      </c>
      <c r="J20" s="68">
        <v>1026000</v>
      </c>
      <c r="K20" s="68">
        <f t="shared" si="2"/>
        <v>0</v>
      </c>
      <c r="L20" s="76" t="s">
        <v>69</v>
      </c>
      <c r="M20" s="76"/>
      <c r="N20" s="85"/>
      <c r="O20" s="1"/>
      <c r="P20" s="1"/>
    </row>
    <row r="21" spans="1:16" ht="16.5" x14ac:dyDescent="0.25">
      <c r="A21" s="158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1830000</v>
      </c>
      <c r="I21" s="68">
        <f t="shared" si="1"/>
        <v>1098000</v>
      </c>
      <c r="J21" s="74">
        <v>1100000</v>
      </c>
      <c r="K21" s="68">
        <v>0</v>
      </c>
      <c r="L21" s="76" t="s">
        <v>69</v>
      </c>
      <c r="M21" s="76" t="s">
        <v>128</v>
      </c>
      <c r="N21" s="76"/>
      <c r="O21" s="1"/>
      <c r="P21" s="1"/>
    </row>
    <row r="22" spans="1:16" ht="16.5" x14ac:dyDescent="0.25">
      <c r="A22" s="158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1830000</v>
      </c>
      <c r="I22" s="68">
        <f t="shared" si="1"/>
        <v>1098000</v>
      </c>
      <c r="J22" s="74">
        <v>1098000</v>
      </c>
      <c r="K22" s="68">
        <f t="shared" si="2"/>
        <v>0</v>
      </c>
      <c r="L22" s="76" t="s">
        <v>69</v>
      </c>
      <c r="M22" s="80"/>
      <c r="N22" s="76"/>
      <c r="O22" s="1"/>
      <c r="P22" s="1"/>
    </row>
    <row r="23" spans="1:16" ht="16.5" x14ac:dyDescent="0.25">
      <c r="A23" s="158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1700000</v>
      </c>
      <c r="I23" s="68">
        <f t="shared" si="1"/>
        <v>1020000</v>
      </c>
      <c r="J23" s="74">
        <v>1020000</v>
      </c>
      <c r="K23" s="68">
        <f t="shared" si="2"/>
        <v>0</v>
      </c>
      <c r="L23" s="80" t="s">
        <v>69</v>
      </c>
      <c r="M23" s="76"/>
      <c r="N23" s="76"/>
      <c r="O23" s="1"/>
      <c r="P23" s="1"/>
    </row>
    <row r="24" spans="1:16" ht="16.5" x14ac:dyDescent="0.25">
      <c r="A24" s="158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2090000</v>
      </c>
      <c r="I24" s="68">
        <f t="shared" si="1"/>
        <v>1254000</v>
      </c>
      <c r="J24" s="68">
        <v>1260000</v>
      </c>
      <c r="K24" s="68">
        <v>0</v>
      </c>
      <c r="L24" s="80" t="s">
        <v>69</v>
      </c>
      <c r="M24" s="76"/>
      <c r="N24" s="76"/>
      <c r="O24" s="1"/>
      <c r="P24" s="1"/>
    </row>
    <row r="25" spans="1:16" ht="16.5" x14ac:dyDescent="0.25">
      <c r="A25" s="158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2750000</v>
      </c>
      <c r="I25" s="68">
        <f t="shared" si="1"/>
        <v>1650000</v>
      </c>
      <c r="J25" s="74">
        <v>1650000</v>
      </c>
      <c r="K25" s="68">
        <f>I25-J25</f>
        <v>0</v>
      </c>
      <c r="L25" s="80" t="s">
        <v>69</v>
      </c>
      <c r="M25" s="79"/>
      <c r="N25" s="79"/>
      <c r="O25" s="1"/>
      <c r="P25" s="1"/>
    </row>
    <row r="26" spans="1:16" ht="16.5" x14ac:dyDescent="0.25">
      <c r="A26" s="158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4" t="s">
        <v>29</v>
      </c>
      <c r="I28" s="155"/>
      <c r="J28" s="9">
        <f>SUM(H7:H1001)</f>
        <v>29980000</v>
      </c>
    </row>
    <row r="29" spans="1:16" ht="22.5" x14ac:dyDescent="0.3">
      <c r="H29" s="154" t="s">
        <v>30</v>
      </c>
      <c r="I29" s="155"/>
      <c r="J29" s="9">
        <f>SUM(I7:I1001)</f>
        <v>17988000</v>
      </c>
    </row>
    <row r="30" spans="1:16" ht="22.5" x14ac:dyDescent="0.3">
      <c r="H30" s="154" t="s">
        <v>117</v>
      </c>
      <c r="I30" s="155"/>
      <c r="J30" s="63">
        <f>SUM(J7:J25)</f>
        <v>17996000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0563F-BA9E-4000-9267-941A5F5EE0B2}">
  <sheetPr codeName="Sheet13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123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6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2050000</v>
      </c>
      <c r="I7" s="68">
        <f>H7*N$4</f>
        <v>1230000</v>
      </c>
      <c r="J7" s="68">
        <v>1230000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57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1850000</v>
      </c>
      <c r="I8" s="68">
        <f t="shared" ref="I8:I11" si="0">H8*N$4</f>
        <v>1110000</v>
      </c>
      <c r="J8" s="74">
        <v>1110000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57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57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1250000</v>
      </c>
      <c r="I10" s="68">
        <f t="shared" si="0"/>
        <v>750000</v>
      </c>
      <c r="J10" s="74">
        <v>750000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57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1450000</v>
      </c>
      <c r="I11" s="68">
        <f t="shared" si="0"/>
        <v>870000</v>
      </c>
      <c r="J11" s="74">
        <v>870000</v>
      </c>
      <c r="K11" s="68">
        <f>I11-J11</f>
        <v>0</v>
      </c>
      <c r="L11" s="88" t="s">
        <v>26</v>
      </c>
      <c r="M11" s="79" t="s">
        <v>125</v>
      </c>
      <c r="N11" s="79"/>
      <c r="O11" s="1"/>
      <c r="P11" s="1"/>
    </row>
    <row r="12" spans="1:16" ht="16.5" x14ac:dyDescent="0.25">
      <c r="A12" s="157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57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58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3000000</v>
      </c>
      <c r="I15" s="68">
        <f t="shared" ref="I15:I26" si="1">H15*N$4</f>
        <v>1800000</v>
      </c>
      <c r="J15" s="68">
        <v>1800000</v>
      </c>
      <c r="K15" s="68">
        <f t="shared" ref="K15:K26" si="2">I15-J15</f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58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1940000</v>
      </c>
      <c r="I16" s="68">
        <f t="shared" si="1"/>
        <v>1164000</v>
      </c>
      <c r="J16" s="68">
        <v>1164000</v>
      </c>
      <c r="K16" s="68">
        <f t="shared" si="2"/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58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2770000</v>
      </c>
      <c r="I17" s="68">
        <f t="shared" si="1"/>
        <v>1662000</v>
      </c>
      <c r="J17" s="74">
        <v>1662000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58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2140000</v>
      </c>
      <c r="I18" s="68">
        <f t="shared" si="1"/>
        <v>1284000</v>
      </c>
      <c r="J18" s="74">
        <v>1284000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58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2520000</v>
      </c>
      <c r="I19" s="68">
        <f t="shared" si="1"/>
        <v>1512000</v>
      </c>
      <c r="J19" s="74">
        <v>1512000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2360000</v>
      </c>
      <c r="I20" s="68">
        <f t="shared" si="1"/>
        <v>1416000</v>
      </c>
      <c r="J20" s="68">
        <v>1416000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58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1780000</v>
      </c>
      <c r="I21" s="68">
        <f t="shared" si="1"/>
        <v>1068000</v>
      </c>
      <c r="J21" s="74">
        <v>1068000</v>
      </c>
      <c r="K21" s="68">
        <f>I21-J21</f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58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1990000</v>
      </c>
      <c r="I22" s="68">
        <f t="shared" si="1"/>
        <v>1194000</v>
      </c>
      <c r="J22" s="74">
        <v>1194000</v>
      </c>
      <c r="K22" s="68">
        <f t="shared" si="2"/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58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1000000</v>
      </c>
      <c r="I23" s="68">
        <f t="shared" si="1"/>
        <v>600000</v>
      </c>
      <c r="J23" s="74">
        <v>600000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58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2050000</v>
      </c>
      <c r="I24" s="68">
        <f t="shared" si="1"/>
        <v>1230000</v>
      </c>
      <c r="J24" s="68">
        <v>1230000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58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3500000</v>
      </c>
      <c r="I25" s="68">
        <f t="shared" si="1"/>
        <v>2100000</v>
      </c>
      <c r="J25" s="74">
        <v>2100000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58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68">
        <f t="shared" si="1"/>
        <v>0</v>
      </c>
      <c r="J26" s="105"/>
      <c r="K26" s="68">
        <f t="shared" si="2"/>
        <v>0</v>
      </c>
      <c r="L26" s="105"/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4" t="s">
        <v>29</v>
      </c>
      <c r="I28" s="155"/>
      <c r="J28" s="9">
        <f>SUM(H7:H1001)</f>
        <v>31650000</v>
      </c>
    </row>
    <row r="29" spans="1:16" ht="22.5" x14ac:dyDescent="0.3">
      <c r="H29" s="154" t="s">
        <v>30</v>
      </c>
      <c r="I29" s="155"/>
      <c r="J29" s="9">
        <f>SUM(I7:I1001)</f>
        <v>18990000</v>
      </c>
    </row>
    <row r="30" spans="1:16" ht="22.5" x14ac:dyDescent="0.3">
      <c r="H30" s="154" t="s">
        <v>117</v>
      </c>
      <c r="I30" s="155"/>
      <c r="J30" s="63">
        <f>SUM(J7:J25)</f>
        <v>18990000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DF3-4F46-4E80-BC67-B215736C9FA5}">
  <sheetPr codeName="Sheet14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6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57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11" si="0">H8*N$4</f>
        <v>720000</v>
      </c>
      <c r="J8" s="74">
        <v>720000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57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57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57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1350000</v>
      </c>
      <c r="I11" s="68">
        <f t="shared" si="0"/>
        <v>810000</v>
      </c>
      <c r="J11" s="74">
        <v>810000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57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57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58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2230000</v>
      </c>
      <c r="I15" s="68">
        <f t="shared" ref="I15:I26" si="1">H15*N$4</f>
        <v>1338000</v>
      </c>
      <c r="J15" s="68">
        <v>1340000</v>
      </c>
      <c r="K15" s="68"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58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1460000</v>
      </c>
      <c r="I16" s="68">
        <f t="shared" si="1"/>
        <v>876000</v>
      </c>
      <c r="J16" s="68">
        <v>876000</v>
      </c>
      <c r="K16" s="68">
        <f t="shared" ref="K16:K26" si="2">I16-J16</f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58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2075000</v>
      </c>
      <c r="I17" s="68">
        <f t="shared" si="1"/>
        <v>1245000</v>
      </c>
      <c r="J17" s="74">
        <v>1245000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58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2020000</v>
      </c>
      <c r="I18" s="68">
        <f t="shared" si="1"/>
        <v>1212000</v>
      </c>
      <c r="J18" s="74">
        <v>1212000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58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1910000</v>
      </c>
      <c r="I19" s="68">
        <f t="shared" si="1"/>
        <v>1146000</v>
      </c>
      <c r="J19" s="74">
        <v>1146000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1250000</v>
      </c>
      <c r="I20" s="68">
        <f t="shared" si="1"/>
        <v>750000</v>
      </c>
      <c r="J20" s="68">
        <v>750000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58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2280000</v>
      </c>
      <c r="I21" s="68">
        <f t="shared" si="1"/>
        <v>1368000</v>
      </c>
      <c r="J21" s="74">
        <v>1368000</v>
      </c>
      <c r="K21" s="68">
        <f>I21-J21</f>
        <v>0</v>
      </c>
      <c r="L21" s="87" t="s">
        <v>69</v>
      </c>
      <c r="M21" s="76" t="s">
        <v>129</v>
      </c>
      <c r="N21" s="76"/>
      <c r="O21" s="1"/>
      <c r="P21" s="1"/>
    </row>
    <row r="22" spans="1:16" ht="16.5" x14ac:dyDescent="0.25">
      <c r="A22" s="158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1942000</v>
      </c>
      <c r="I22" s="68">
        <f t="shared" si="1"/>
        <v>1165200</v>
      </c>
      <c r="J22" s="74">
        <v>1165000</v>
      </c>
      <c r="K22" s="68"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58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1935000</v>
      </c>
      <c r="I23" s="68">
        <f t="shared" si="1"/>
        <v>1161000</v>
      </c>
      <c r="J23" s="74">
        <v>1161000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58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1900000</v>
      </c>
      <c r="I24" s="68">
        <f t="shared" si="1"/>
        <v>1140000</v>
      </c>
      <c r="J24" s="68">
        <v>1140000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58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64" t="s">
        <v>19</v>
      </c>
      <c r="H25" s="74">
        <v>2970000</v>
      </c>
      <c r="I25" s="68">
        <f t="shared" si="1"/>
        <v>1782000</v>
      </c>
      <c r="J25" s="74">
        <v>1782000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58"/>
      <c r="B26" s="64">
        <f t="shared" si="3"/>
        <v>12</v>
      </c>
      <c r="C26" s="78" t="s">
        <v>127</v>
      </c>
      <c r="D26" s="105"/>
      <c r="E26" s="105"/>
      <c r="F26" s="105"/>
      <c r="G26" s="122" t="s">
        <v>93</v>
      </c>
      <c r="H26" s="74">
        <v>1890000</v>
      </c>
      <c r="I26" s="68">
        <f t="shared" si="1"/>
        <v>1134000</v>
      </c>
      <c r="J26" s="74">
        <v>1134000</v>
      </c>
      <c r="K26" s="68">
        <f t="shared" si="2"/>
        <v>0</v>
      </c>
      <c r="L26" s="87" t="s">
        <v>69</v>
      </c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4" t="s">
        <v>29</v>
      </c>
      <c r="I28" s="155"/>
      <c r="J28" s="9">
        <f>SUM(H7:H1001)</f>
        <v>29362000</v>
      </c>
    </row>
    <row r="29" spans="1:16" ht="22.5" x14ac:dyDescent="0.3">
      <c r="H29" s="154" t="s">
        <v>30</v>
      </c>
      <c r="I29" s="155"/>
      <c r="J29" s="9">
        <f>SUM(I7:I1001)</f>
        <v>17617200</v>
      </c>
    </row>
    <row r="30" spans="1:16" ht="22.5" x14ac:dyDescent="0.3">
      <c r="H30" s="154" t="s">
        <v>117</v>
      </c>
      <c r="I30" s="155"/>
      <c r="J30" s="63">
        <f>SUM(J7:J26)</f>
        <v>17619000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39B4-5C0D-4EFA-A7E5-D8070A5BFD8F}">
  <sheetPr codeName="Sheet15"/>
  <dimension ref="A1:R40"/>
  <sheetViews>
    <sheetView zoomScaleNormal="100" workbookViewId="0">
      <selection activeCell="Q26" sqref="Q26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130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H7*N$4</f>
        <v>780000</v>
      </c>
      <c r="J7" s="68">
        <v>780000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5"/>
      <c r="B8" s="64">
        <f>B7+1</f>
        <v>2</v>
      </c>
      <c r="C8" s="65" t="s">
        <v>133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2400000</v>
      </c>
      <c r="I8" s="68">
        <f t="shared" ref="I8:I11" si="0">H8*N$4</f>
        <v>1440000</v>
      </c>
      <c r="J8" s="74">
        <v>1440000</v>
      </c>
      <c r="K8" s="68">
        <f>I8-J8</f>
        <v>0</v>
      </c>
      <c r="L8" s="88" t="s">
        <v>26</v>
      </c>
      <c r="M8" s="136" t="s">
        <v>145</v>
      </c>
      <c r="N8" s="76"/>
      <c r="O8" s="1"/>
      <c r="P8" s="82" t="s">
        <v>72</v>
      </c>
    </row>
    <row r="9" spans="1:18" ht="16.5" customHeight="1" x14ac:dyDescent="0.25">
      <c r="A9" s="165"/>
      <c r="B9" s="70">
        <f>B8+1</f>
        <v>3</v>
      </c>
      <c r="C9" s="125"/>
      <c r="D9" s="110" t="s">
        <v>75</v>
      </c>
      <c r="E9" s="111">
        <v>38085004911</v>
      </c>
      <c r="F9" s="111" t="s">
        <v>13</v>
      </c>
      <c r="G9" s="127"/>
      <c r="H9" s="126"/>
      <c r="I9" s="126"/>
      <c r="J9" s="126"/>
      <c r="K9" s="126"/>
      <c r="L9" s="124"/>
      <c r="M9" s="139"/>
      <c r="N9" s="79"/>
      <c r="O9" s="1"/>
      <c r="P9" s="1"/>
    </row>
    <row r="10" spans="1:18" ht="16.5" customHeight="1" x14ac:dyDescent="0.25">
      <c r="A10" s="165"/>
      <c r="B10" s="64">
        <f>B9+1</f>
        <v>4</v>
      </c>
      <c r="C10" s="65" t="s">
        <v>134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28468000</v>
      </c>
    </row>
    <row r="11" spans="1:18" ht="16.5" customHeight="1" x14ac:dyDescent="0.25">
      <c r="A11" s="166"/>
      <c r="B11" s="70">
        <f>B10+1</f>
        <v>5</v>
      </c>
      <c r="C11" s="71" t="s">
        <v>135</v>
      </c>
      <c r="D11" s="73" t="s">
        <v>106</v>
      </c>
      <c r="E11" s="73">
        <v>27068001194</v>
      </c>
      <c r="F11" s="73" t="s">
        <v>105</v>
      </c>
      <c r="G11" s="127" t="s">
        <v>73</v>
      </c>
      <c r="H11" s="74">
        <v>500000</v>
      </c>
      <c r="I11" s="68">
        <f t="shared" si="0"/>
        <v>300000</v>
      </c>
      <c r="J11" s="74">
        <v>300000</v>
      </c>
      <c r="K11" s="68">
        <f>I11-J11</f>
        <v>0</v>
      </c>
      <c r="L11" s="88" t="s">
        <v>26</v>
      </c>
      <c r="M11" s="79"/>
      <c r="N11" s="79"/>
      <c r="O11" s="1"/>
      <c r="P11" s="167"/>
      <c r="Q11" s="167"/>
      <c r="R11" s="1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17080800</v>
      </c>
    </row>
    <row r="13" spans="1:18" ht="22.5" customHeight="1" x14ac:dyDescent="0.25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1850000</v>
      </c>
      <c r="I13" s="68">
        <f>H13*N$4</f>
        <v>1110000</v>
      </c>
      <c r="J13" s="68">
        <v>1110000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25">
      <c r="A14" s="158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2490000</v>
      </c>
      <c r="I14" s="68">
        <f t="shared" ref="I14:I27" si="2">H14*N$4</f>
        <v>1494000</v>
      </c>
      <c r="J14" s="68">
        <v>1494000</v>
      </c>
      <c r="K14" s="68">
        <f t="shared" si="1"/>
        <v>0</v>
      </c>
      <c r="L14" s="87" t="s">
        <v>69</v>
      </c>
      <c r="M14" s="76"/>
      <c r="N14" s="76"/>
      <c r="O14" s="1"/>
      <c r="P14" s="161"/>
      <c r="Q14" s="161"/>
      <c r="R14" s="162"/>
    </row>
    <row r="15" spans="1:18" ht="22.5" x14ac:dyDescent="0.3">
      <c r="A15" s="15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1410000</v>
      </c>
      <c r="I15" s="68">
        <f t="shared" si="2"/>
        <v>846000</v>
      </c>
      <c r="J15" s="74">
        <v>846000</v>
      </c>
      <c r="K15" s="68">
        <f t="shared" si="1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16486200</v>
      </c>
    </row>
    <row r="16" spans="1:18" ht="16.5" x14ac:dyDescent="0.25">
      <c r="A16" s="158"/>
      <c r="B16" s="64">
        <f t="shared" si="3"/>
        <v>4</v>
      </c>
      <c r="C16" s="77" t="s">
        <v>42</v>
      </c>
      <c r="D16" s="75" t="s">
        <v>59</v>
      </c>
      <c r="E16" s="75">
        <v>89082022656</v>
      </c>
      <c r="F16" s="75" t="s">
        <v>18</v>
      </c>
      <c r="G16" s="75" t="s">
        <v>56</v>
      </c>
      <c r="H16" s="68">
        <v>1740000</v>
      </c>
      <c r="I16" s="68">
        <f t="shared" si="2"/>
        <v>1044000</v>
      </c>
      <c r="J16" s="74">
        <v>1044000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58"/>
      <c r="B17" s="64">
        <f t="shared" si="3"/>
        <v>5</v>
      </c>
      <c r="C17" s="77" t="s">
        <v>43</v>
      </c>
      <c r="D17" s="75" t="s">
        <v>23</v>
      </c>
      <c r="E17" s="75">
        <v>42088019031</v>
      </c>
      <c r="F17" s="75" t="s">
        <v>21</v>
      </c>
      <c r="G17" s="75" t="s">
        <v>22</v>
      </c>
      <c r="H17" s="68">
        <v>1710000</v>
      </c>
      <c r="I17" s="68">
        <f t="shared" si="2"/>
        <v>1026000</v>
      </c>
      <c r="J17" s="74">
        <v>1026000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si="3"/>
        <v>6</v>
      </c>
      <c r="C18" s="77" t="s">
        <v>44</v>
      </c>
      <c r="D18" s="75" t="s">
        <v>33</v>
      </c>
      <c r="E18" s="75">
        <v>49202008987</v>
      </c>
      <c r="F18" s="75" t="s">
        <v>15</v>
      </c>
      <c r="G18" s="75" t="s">
        <v>32</v>
      </c>
      <c r="H18" s="68">
        <v>1460000</v>
      </c>
      <c r="I18" s="68">
        <f t="shared" si="2"/>
        <v>876000</v>
      </c>
      <c r="J18" s="68">
        <v>876000</v>
      </c>
      <c r="K18" s="68">
        <f t="shared" si="1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58"/>
      <c r="B19" s="64">
        <f t="shared" si="3"/>
        <v>7</v>
      </c>
      <c r="C19" s="77"/>
      <c r="D19" s="75" t="s">
        <v>24</v>
      </c>
      <c r="E19" s="75">
        <v>93097001330</v>
      </c>
      <c r="F19" s="75" t="s">
        <v>60</v>
      </c>
      <c r="G19" s="75"/>
      <c r="H19" s="68"/>
      <c r="I19" s="68">
        <f t="shared" si="2"/>
        <v>0</v>
      </c>
      <c r="J19" s="74"/>
      <c r="K19" s="68">
        <f t="shared" si="1"/>
        <v>0</v>
      </c>
      <c r="L19" s="76"/>
      <c r="M19" s="76"/>
      <c r="N19" s="76"/>
      <c r="O19" s="1"/>
      <c r="P19" s="1"/>
    </row>
    <row r="20" spans="1:16" ht="16.5" x14ac:dyDescent="0.25">
      <c r="A20" s="158"/>
      <c r="B20" s="64">
        <f t="shared" si="3"/>
        <v>8</v>
      </c>
      <c r="C20" s="77" t="s">
        <v>79</v>
      </c>
      <c r="D20" s="75" t="s">
        <v>61</v>
      </c>
      <c r="E20" s="75">
        <v>95095009661</v>
      </c>
      <c r="F20" s="75" t="s">
        <v>62</v>
      </c>
      <c r="G20" s="75" t="s">
        <v>27</v>
      </c>
      <c r="H20" s="68">
        <v>1720000</v>
      </c>
      <c r="I20" s="68">
        <f t="shared" si="2"/>
        <v>1032000</v>
      </c>
      <c r="J20" s="74">
        <v>1032000</v>
      </c>
      <c r="K20" s="68">
        <f t="shared" si="1"/>
        <v>0</v>
      </c>
      <c r="L20" s="87" t="s">
        <v>69</v>
      </c>
      <c r="M20" s="80"/>
      <c r="N20" s="76"/>
      <c r="O20" s="1"/>
      <c r="P20" s="1"/>
    </row>
    <row r="21" spans="1:16" ht="16.5" x14ac:dyDescent="0.25">
      <c r="A21" s="158"/>
      <c r="B21" s="64">
        <f t="shared" si="3"/>
        <v>9</v>
      </c>
      <c r="C21" s="77" t="s">
        <v>98</v>
      </c>
      <c r="D21" s="75" t="s">
        <v>63</v>
      </c>
      <c r="E21" s="81">
        <v>91085001515</v>
      </c>
      <c r="F21" s="66" t="s">
        <v>18</v>
      </c>
      <c r="G21" s="75" t="s">
        <v>57</v>
      </c>
      <c r="H21" s="68">
        <v>1910000</v>
      </c>
      <c r="I21" s="68">
        <f t="shared" si="2"/>
        <v>1146000</v>
      </c>
      <c r="J21" s="74">
        <v>1146000</v>
      </c>
      <c r="K21" s="68">
        <f t="shared" si="1"/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58"/>
      <c r="B22" s="64">
        <f t="shared" si="3"/>
        <v>10</v>
      </c>
      <c r="C22" s="77" t="s">
        <v>52</v>
      </c>
      <c r="D22" s="64" t="s">
        <v>54</v>
      </c>
      <c r="E22" s="64" t="s">
        <v>94</v>
      </c>
      <c r="F22" s="64" t="s">
        <v>53</v>
      </c>
      <c r="G22" s="64" t="s">
        <v>35</v>
      </c>
      <c r="H22" s="68">
        <v>1990000</v>
      </c>
      <c r="I22" s="68">
        <f t="shared" si="2"/>
        <v>1194000</v>
      </c>
      <c r="J22" s="68">
        <v>1200000</v>
      </c>
      <c r="K22" s="68">
        <v>0</v>
      </c>
      <c r="L22" s="87" t="s">
        <v>69</v>
      </c>
      <c r="M22" s="76"/>
      <c r="N22" s="76"/>
      <c r="O22" s="1"/>
      <c r="P22" s="1"/>
    </row>
    <row r="23" spans="1:16" ht="16.5" x14ac:dyDescent="0.25">
      <c r="A23" s="158"/>
      <c r="B23" s="64">
        <f t="shared" si="3"/>
        <v>11</v>
      </c>
      <c r="C23" s="78" t="s">
        <v>92</v>
      </c>
      <c r="D23" s="70" t="s">
        <v>88</v>
      </c>
      <c r="E23" s="70" t="s">
        <v>89</v>
      </c>
      <c r="F23" s="70" t="s">
        <v>90</v>
      </c>
      <c r="G23" s="64" t="s">
        <v>137</v>
      </c>
      <c r="H23" s="74">
        <v>1752000</v>
      </c>
      <c r="I23" s="68">
        <f t="shared" si="2"/>
        <v>1051200</v>
      </c>
      <c r="J23" s="68">
        <v>1051200</v>
      </c>
      <c r="K23" s="68">
        <f t="shared" si="1"/>
        <v>0</v>
      </c>
      <c r="L23" s="87" t="s">
        <v>69</v>
      </c>
      <c r="M23" s="79"/>
      <c r="N23" s="79"/>
      <c r="O23" s="1"/>
      <c r="P23" s="1"/>
    </row>
    <row r="24" spans="1:16" ht="16.5" x14ac:dyDescent="0.25">
      <c r="A24" s="158"/>
      <c r="B24" s="64">
        <f t="shared" si="3"/>
        <v>12</v>
      </c>
      <c r="C24" s="78" t="s">
        <v>131</v>
      </c>
      <c r="D24" s="105"/>
      <c r="E24" s="105"/>
      <c r="F24" s="105"/>
      <c r="G24" s="122" t="s">
        <v>93</v>
      </c>
      <c r="H24" s="74">
        <v>1868000</v>
      </c>
      <c r="I24" s="68">
        <f t="shared" si="2"/>
        <v>1120800</v>
      </c>
      <c r="J24" s="74">
        <v>1120000</v>
      </c>
      <c r="K24" s="68">
        <v>0</v>
      </c>
      <c r="L24" s="87" t="s">
        <v>69</v>
      </c>
      <c r="M24" s="121" t="s">
        <v>124</v>
      </c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61.5" customHeight="1" x14ac:dyDescent="0.25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1828000</v>
      </c>
      <c r="I26" s="132">
        <f t="shared" si="2"/>
        <v>1096800</v>
      </c>
      <c r="J26" s="132">
        <v>497000</v>
      </c>
      <c r="K26" s="132">
        <v>0</v>
      </c>
      <c r="L26" s="87" t="s">
        <v>69</v>
      </c>
      <c r="M26" s="136" t="s">
        <v>140</v>
      </c>
      <c r="N26" s="76"/>
      <c r="O26" s="1"/>
      <c r="P26" s="1"/>
    </row>
    <row r="27" spans="1:16" ht="46.5" customHeight="1" x14ac:dyDescent="0.25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1540000</v>
      </c>
      <c r="I27" s="132">
        <f t="shared" si="2"/>
        <v>924000</v>
      </c>
      <c r="J27" s="133">
        <v>924000</v>
      </c>
      <c r="K27" s="132">
        <f t="shared" si="1"/>
        <v>0</v>
      </c>
      <c r="L27" s="87" t="s">
        <v>69</v>
      </c>
      <c r="M27" s="136" t="s">
        <v>141</v>
      </c>
      <c r="N27" s="76"/>
      <c r="O27" s="1"/>
      <c r="P27" s="1"/>
    </row>
    <row r="28" spans="1:16" ht="16.5" customHeight="1" x14ac:dyDescent="0.25">
      <c r="A28" s="160"/>
      <c r="B28" s="70">
        <f>B27+1</f>
        <v>3</v>
      </c>
      <c r="C28" s="125"/>
      <c r="D28" s="110"/>
      <c r="E28" s="111"/>
      <c r="F28" s="111"/>
      <c r="G28" s="127"/>
      <c r="H28" s="135"/>
      <c r="I28" s="134"/>
      <c r="J28" s="134"/>
      <c r="K28" s="134"/>
      <c r="L28" s="131"/>
      <c r="M28" s="115"/>
      <c r="N28" s="79"/>
    </row>
    <row r="29" spans="1:16" ht="16.5" customHeight="1" x14ac:dyDescent="0.25">
      <c r="A29" s="160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B3:K3"/>
    <mergeCell ref="A13:A24"/>
    <mergeCell ref="A26:A30"/>
    <mergeCell ref="P12:Q14"/>
    <mergeCell ref="R12:R14"/>
    <mergeCell ref="P15:Q15"/>
    <mergeCell ref="A7:A11"/>
    <mergeCell ref="P10:Q11"/>
    <mergeCell ref="R10:R1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E20F8-2946-4A89-B604-2D931ED8F90F}">
  <dimension ref="A1:R40"/>
  <sheetViews>
    <sheetView zoomScale="85" zoomScaleNormal="85" workbookViewId="0">
      <selection activeCell="C8" sqref="C8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144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1900000</v>
      </c>
      <c r="I7" s="68">
        <f>H7*N$4</f>
        <v>1140000</v>
      </c>
      <c r="J7" s="68">
        <v>1140000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5"/>
      <c r="B8" s="64">
        <f>B7+1</f>
        <v>2</v>
      </c>
      <c r="C8" s="80" t="s">
        <v>147</v>
      </c>
      <c r="D8" s="75" t="s">
        <v>28</v>
      </c>
      <c r="E8" s="75">
        <v>42094001136</v>
      </c>
      <c r="F8" s="75" t="s">
        <v>15</v>
      </c>
      <c r="G8" s="75" t="s">
        <v>36</v>
      </c>
      <c r="H8" s="80" t="s">
        <v>147</v>
      </c>
      <c r="I8" s="80" t="s">
        <v>147</v>
      </c>
      <c r="J8" s="80" t="s">
        <v>147</v>
      </c>
      <c r="K8" s="80" t="s">
        <v>147</v>
      </c>
      <c r="L8" s="80" t="s">
        <v>147</v>
      </c>
      <c r="M8" s="76"/>
      <c r="N8" s="76"/>
      <c r="O8" s="1"/>
      <c r="P8" s="82" t="s">
        <v>72</v>
      </c>
    </row>
    <row r="9" spans="1:18" ht="16.5" customHeight="1" x14ac:dyDescent="0.25">
      <c r="A9" s="16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1150000</v>
      </c>
      <c r="I9" s="68">
        <f>H9*N$4</f>
        <v>690000</v>
      </c>
      <c r="J9" s="74">
        <v>690000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6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1050000</v>
      </c>
      <c r="I10" s="68">
        <f>H10*N$4</f>
        <v>630000</v>
      </c>
      <c r="J10" s="74">
        <v>630000</v>
      </c>
      <c r="K10" s="68">
        <f>I10-J10</f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20755000</v>
      </c>
    </row>
    <row r="11" spans="1:18" ht="16.5" customHeight="1" x14ac:dyDescent="0.25">
      <c r="A11" s="166"/>
      <c r="M11" s="79"/>
      <c r="N11" s="79"/>
      <c r="O11" s="1"/>
      <c r="P11" s="167"/>
      <c r="Q11" s="167"/>
      <c r="R11" s="1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12453000</v>
      </c>
    </row>
    <row r="13" spans="1:18" ht="22.5" customHeight="1" x14ac:dyDescent="0.25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2060000</v>
      </c>
      <c r="I13" s="68">
        <f>H13*N$4</f>
        <v>1236000</v>
      </c>
      <c r="J13" s="68">
        <v>1236000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25">
      <c r="A14" s="158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1630000</v>
      </c>
      <c r="I14" s="68">
        <f t="shared" ref="I14:I27" si="2">H14*N$4</f>
        <v>978000</v>
      </c>
      <c r="J14" s="68">
        <v>978000</v>
      </c>
      <c r="K14" s="68">
        <f t="shared" si="1"/>
        <v>0</v>
      </c>
      <c r="L14" s="87" t="s">
        <v>69</v>
      </c>
      <c r="M14" s="76"/>
      <c r="N14" s="76"/>
      <c r="O14" s="1"/>
      <c r="P14" s="161"/>
      <c r="Q14" s="161"/>
      <c r="R14" s="162"/>
    </row>
    <row r="15" spans="1:18" ht="22.5" x14ac:dyDescent="0.3">
      <c r="A15" s="15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1490000</v>
      </c>
      <c r="I15" s="68">
        <f t="shared" si="2"/>
        <v>894000</v>
      </c>
      <c r="J15" s="74">
        <v>894000</v>
      </c>
      <c r="K15" s="68">
        <f t="shared" si="1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12451000</v>
      </c>
    </row>
    <row r="16" spans="1:18" ht="16.5" x14ac:dyDescent="0.25">
      <c r="A16" s="158"/>
      <c r="B16" s="64">
        <f t="shared" si="3"/>
        <v>4</v>
      </c>
      <c r="C16" s="141" t="s">
        <v>43</v>
      </c>
      <c r="D16" s="142" t="s">
        <v>23</v>
      </c>
      <c r="E16" s="142">
        <v>42088019031</v>
      </c>
      <c r="F16" s="142" t="s">
        <v>21</v>
      </c>
      <c r="G16" s="142" t="s">
        <v>22</v>
      </c>
      <c r="H16" s="143"/>
      <c r="I16" s="143">
        <f t="shared" ref="I16:I22" si="4">H16*N$4</f>
        <v>0</v>
      </c>
      <c r="J16" s="144"/>
      <c r="K16" s="143">
        <f>I16-J16</f>
        <v>0</v>
      </c>
      <c r="L16" s="140" t="s">
        <v>146</v>
      </c>
      <c r="M16" s="76"/>
      <c r="N16" s="85"/>
      <c r="O16" s="1"/>
      <c r="P16" s="1"/>
    </row>
    <row r="17" spans="1:16" ht="16.5" x14ac:dyDescent="0.25">
      <c r="A17" s="158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1280000</v>
      </c>
      <c r="I17" s="68">
        <f t="shared" si="4"/>
        <v>768000</v>
      </c>
      <c r="J17" s="68">
        <v>768000</v>
      </c>
      <c r="K17" s="68">
        <f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1650000</v>
      </c>
      <c r="I18" s="68">
        <f t="shared" si="4"/>
        <v>990000</v>
      </c>
      <c r="J18" s="74">
        <v>990000</v>
      </c>
      <c r="K18" s="68">
        <f>I18-J18</f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58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>I19-J19</f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920000</v>
      </c>
      <c r="I20" s="68">
        <f t="shared" si="4"/>
        <v>552000</v>
      </c>
      <c r="J20" s="68">
        <v>550000</v>
      </c>
      <c r="K20" s="68"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58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1700000</v>
      </c>
      <c r="I21" s="68">
        <f t="shared" si="4"/>
        <v>1020000</v>
      </c>
      <c r="J21" s="68">
        <v>1020000</v>
      </c>
      <c r="K21" s="68">
        <f>I21-J21</f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58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1370000</v>
      </c>
      <c r="I22" s="68">
        <f t="shared" si="4"/>
        <v>822000</v>
      </c>
      <c r="J22" s="74">
        <v>822000</v>
      </c>
      <c r="K22" s="68">
        <f>I22-J22</f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58"/>
      <c r="B23" s="64">
        <f t="shared" si="3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58"/>
      <c r="B24" s="64">
        <f t="shared" si="3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1130000</v>
      </c>
      <c r="I26" s="132">
        <f t="shared" si="2"/>
        <v>678000</v>
      </c>
      <c r="J26" s="132">
        <v>678000</v>
      </c>
      <c r="K26" s="132"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2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0"/>
      <c r="B28" s="70">
        <f>B27+1</f>
        <v>3</v>
      </c>
      <c r="C28" s="80" t="s">
        <v>147</v>
      </c>
      <c r="D28" s="110"/>
      <c r="E28" s="111"/>
      <c r="F28" s="111"/>
      <c r="G28" s="75" t="s">
        <v>56</v>
      </c>
      <c r="H28" s="80" t="s">
        <v>147</v>
      </c>
      <c r="I28" s="80" t="s">
        <v>147</v>
      </c>
      <c r="J28" s="80" t="s">
        <v>147</v>
      </c>
      <c r="K28" s="80" t="s">
        <v>147</v>
      </c>
      <c r="L28" s="80" t="s">
        <v>147</v>
      </c>
      <c r="M28" s="115"/>
      <c r="N28" s="79"/>
    </row>
    <row r="29" spans="1:16" ht="16.5" customHeight="1" x14ac:dyDescent="0.25">
      <c r="A29" s="160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56B5-660E-4D44-A6A1-DA5AA95CAC2A}">
  <dimension ref="A1:R40"/>
  <sheetViews>
    <sheetView zoomScale="85" zoomScaleNormal="85" workbookViewId="0">
      <selection activeCell="R17" sqref="R17:R18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1700000</v>
      </c>
      <c r="I7" s="68">
        <f>H7*N$4</f>
        <v>1020000</v>
      </c>
      <c r="J7" s="68">
        <v>1020000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5"/>
      <c r="B8" s="64">
        <f>B7+1</f>
        <v>2</v>
      </c>
      <c r="C8" s="80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1500000</v>
      </c>
      <c r="I8" s="68">
        <f>H8*N$4</f>
        <v>900000</v>
      </c>
      <c r="J8" s="68">
        <v>750000</v>
      </c>
      <c r="K8" s="80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6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1600000</v>
      </c>
      <c r="I9" s="68">
        <f>H9*N$4</f>
        <v>960000</v>
      </c>
      <c r="J9" s="74">
        <v>960000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6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1300000</v>
      </c>
      <c r="I10" s="68">
        <f>H10*N$4</f>
        <v>780000</v>
      </c>
      <c r="J10" s="74">
        <v>780000</v>
      </c>
      <c r="K10" s="68">
        <f>I10-J10</f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29815000</v>
      </c>
    </row>
    <row r="11" spans="1:18" ht="16.5" customHeight="1" x14ac:dyDescent="0.25">
      <c r="A11" s="166"/>
      <c r="M11" s="79"/>
      <c r="N11" s="79"/>
      <c r="O11" s="1"/>
      <c r="P11" s="167"/>
      <c r="Q11" s="167"/>
      <c r="R11" s="1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17889000</v>
      </c>
    </row>
    <row r="13" spans="1:18" ht="22.5" customHeight="1" x14ac:dyDescent="0.25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1630000</v>
      </c>
      <c r="I13" s="68">
        <f>H13*N$4</f>
        <v>978000</v>
      </c>
      <c r="J13" s="68">
        <v>978000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25">
      <c r="A14" s="158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61"/>
      <c r="Q14" s="161"/>
      <c r="R14" s="162"/>
    </row>
    <row r="15" spans="1:18" ht="22.5" x14ac:dyDescent="0.3">
      <c r="A15" s="158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1610000</v>
      </c>
      <c r="I15" s="68">
        <f t="shared" ref="I15:I29" si="3">H15*N$4</f>
        <v>966000</v>
      </c>
      <c r="J15" s="74">
        <v>966000</v>
      </c>
      <c r="K15" s="68">
        <f t="shared" si="1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17728000</v>
      </c>
    </row>
    <row r="16" spans="1:18" ht="16.5" x14ac:dyDescent="0.25">
      <c r="A16" s="158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1790000</v>
      </c>
      <c r="I16" s="68">
        <f t="shared" si="3"/>
        <v>1074000</v>
      </c>
      <c r="J16" s="74">
        <v>1074000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58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1010000</v>
      </c>
      <c r="I17" s="68">
        <f t="shared" si="3"/>
        <v>606000</v>
      </c>
      <c r="J17" s="68">
        <v>606000</v>
      </c>
      <c r="K17" s="68">
        <f t="shared" ref="K17:K22" si="4"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1750000</v>
      </c>
      <c r="I18" s="68">
        <f t="shared" si="3"/>
        <v>1050000</v>
      </c>
      <c r="J18" s="74">
        <v>1050000</v>
      </c>
      <c r="K18" s="68">
        <f t="shared" si="4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58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4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1870000</v>
      </c>
      <c r="I20" s="68">
        <f t="shared" si="3"/>
        <v>1122000</v>
      </c>
      <c r="J20" s="68">
        <v>1120000</v>
      </c>
      <c r="K20" s="68">
        <f t="shared" si="4"/>
        <v>2000</v>
      </c>
      <c r="L20" s="87" t="s">
        <v>69</v>
      </c>
      <c r="M20" s="76"/>
      <c r="N20" s="76"/>
      <c r="O20" s="1"/>
      <c r="P20" s="1"/>
    </row>
    <row r="21" spans="1:16" ht="16.5" x14ac:dyDescent="0.25">
      <c r="A21" s="158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3430000</v>
      </c>
      <c r="I21" s="68">
        <f t="shared" si="3"/>
        <v>2058000</v>
      </c>
      <c r="J21" s="68">
        <v>2058000</v>
      </c>
      <c r="K21" s="68">
        <f t="shared" si="4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58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1745000</v>
      </c>
      <c r="I22" s="68">
        <f t="shared" si="3"/>
        <v>1047000</v>
      </c>
      <c r="J22" s="74">
        <v>1047000</v>
      </c>
      <c r="K22" s="68">
        <f t="shared" si="4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58"/>
      <c r="B23" s="64">
        <f t="shared" si="2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58"/>
      <c r="B24" s="64">
        <f t="shared" si="2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1830000</v>
      </c>
      <c r="I26" s="132">
        <f t="shared" si="3"/>
        <v>1098000</v>
      </c>
      <c r="J26" s="132">
        <v>1089000</v>
      </c>
      <c r="K26" s="132">
        <v>9000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1960000</v>
      </c>
      <c r="I27" s="132">
        <f t="shared" si="3"/>
        <v>1176000</v>
      </c>
      <c r="J27" s="133">
        <v>1176000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1520000</v>
      </c>
      <c r="I28" s="132">
        <f t="shared" si="3"/>
        <v>912000</v>
      </c>
      <c r="J28" s="68">
        <v>912000</v>
      </c>
      <c r="K28" s="132">
        <f t="shared" si="1"/>
        <v>0</v>
      </c>
      <c r="L28" s="87" t="s">
        <v>69</v>
      </c>
      <c r="M28" s="115"/>
      <c r="N28" s="79"/>
    </row>
    <row r="29" spans="1:16" ht="16.5" customHeight="1" x14ac:dyDescent="0.25">
      <c r="A29" s="16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1770000</v>
      </c>
      <c r="I29" s="132">
        <f t="shared" si="3"/>
        <v>1062000</v>
      </c>
      <c r="J29" s="133">
        <v>1062000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2A59-A917-4AB1-8764-D9870B6B2836}">
  <dimension ref="A1:R40"/>
  <sheetViews>
    <sheetView zoomScale="85" zoomScaleNormal="85" workbookViewId="0">
      <selection activeCell="I21" sqref="I21"/>
    </sheetView>
  </sheetViews>
  <sheetFormatPr defaultRowHeight="15" x14ac:dyDescent="0.25"/>
  <cols>
    <col min="1" max="1" width="23.140625" customWidth="1"/>
    <col min="3" max="3" width="35.28515625" customWidth="1"/>
    <col min="4" max="4" width="19.85546875" customWidth="1"/>
    <col min="5" max="5" width="19.28515625" customWidth="1"/>
    <col min="6" max="6" width="26.42578125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6" t="s">
        <v>151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5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1800000</v>
      </c>
      <c r="I8" s="68">
        <f>H8*N$4</f>
        <v>1080000</v>
      </c>
      <c r="J8" s="68">
        <v>900000</v>
      </c>
      <c r="K8" s="68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6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6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>I10-J10</f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29241000</v>
      </c>
    </row>
    <row r="11" spans="1:18" ht="16.5" customHeight="1" x14ac:dyDescent="0.25">
      <c r="A11" s="166"/>
      <c r="H11" s="146"/>
      <c r="I11" s="146"/>
      <c r="J11" s="146"/>
      <c r="K11" s="146"/>
      <c r="M11" s="79"/>
      <c r="N11" s="79"/>
      <c r="O11" s="1"/>
      <c r="P11" s="167"/>
      <c r="Q11" s="167"/>
      <c r="R11" s="1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17544600</v>
      </c>
    </row>
    <row r="13" spans="1:18" ht="22.5" customHeight="1" x14ac:dyDescent="0.25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900000</v>
      </c>
      <c r="I13" s="68">
        <f>H13*N$4</f>
        <v>540000</v>
      </c>
      <c r="J13" s="68">
        <v>540000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25">
      <c r="A14" s="158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61"/>
      <c r="Q14" s="161"/>
      <c r="R14" s="162"/>
    </row>
    <row r="15" spans="1:18" ht="22.5" x14ac:dyDescent="0.3">
      <c r="A15" s="158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1480000</v>
      </c>
      <c r="I15" s="68">
        <f t="shared" ref="I15:I29" si="3">H15*N$4</f>
        <v>888000</v>
      </c>
      <c r="J15" s="74">
        <v>888000</v>
      </c>
      <c r="K15" s="68">
        <f t="shared" si="1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17384600</v>
      </c>
    </row>
    <row r="16" spans="1:18" ht="16.5" x14ac:dyDescent="0.25">
      <c r="A16" s="158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1850000</v>
      </c>
      <c r="I16" s="68">
        <f t="shared" si="3"/>
        <v>1110000</v>
      </c>
      <c r="J16" s="74">
        <v>1110000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58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1440000</v>
      </c>
      <c r="I17" s="68">
        <f t="shared" si="3"/>
        <v>864000</v>
      </c>
      <c r="J17" s="68">
        <v>864000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1890000</v>
      </c>
      <c r="I18" s="68">
        <f t="shared" si="3"/>
        <v>1134000</v>
      </c>
      <c r="J18" s="74">
        <v>1134000</v>
      </c>
      <c r="K18" s="68">
        <f t="shared" si="1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58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1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1940000</v>
      </c>
      <c r="I20" s="68">
        <f t="shared" si="3"/>
        <v>1164000</v>
      </c>
      <c r="J20" s="68">
        <v>1164000</v>
      </c>
      <c r="K20" s="68">
        <f t="shared" si="1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58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4201000</v>
      </c>
      <c r="I21" s="68">
        <f t="shared" si="3"/>
        <v>2520600</v>
      </c>
      <c r="J21" s="68">
        <v>2520600</v>
      </c>
      <c r="K21" s="68">
        <f t="shared" si="1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58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1445000</v>
      </c>
      <c r="I22" s="68">
        <f t="shared" si="3"/>
        <v>867000</v>
      </c>
      <c r="J22" s="74">
        <v>867000</v>
      </c>
      <c r="K22" s="68">
        <f t="shared" si="1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58"/>
      <c r="B23" s="64">
        <f t="shared" si="2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58"/>
      <c r="B24" s="64">
        <f t="shared" si="2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1435000</v>
      </c>
      <c r="I26" s="132">
        <f t="shared" si="3"/>
        <v>861000</v>
      </c>
      <c r="J26" s="132">
        <v>861000</v>
      </c>
      <c r="K26" s="132">
        <f t="shared" si="1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3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1445000</v>
      </c>
      <c r="I28" s="132">
        <f t="shared" si="3"/>
        <v>867000</v>
      </c>
      <c r="J28" s="68">
        <v>887000</v>
      </c>
      <c r="K28" s="132">
        <v>0</v>
      </c>
      <c r="L28" s="87" t="s">
        <v>69</v>
      </c>
      <c r="M28" s="115"/>
      <c r="N28" s="79"/>
    </row>
    <row r="29" spans="1:16" ht="16.5" customHeight="1" x14ac:dyDescent="0.25">
      <c r="A29" s="16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2140000</v>
      </c>
      <c r="I29" s="132">
        <f t="shared" si="3"/>
        <v>1284000</v>
      </c>
      <c r="J29" s="133">
        <v>1284000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0B2E1-7667-41FC-8D33-F9E95D5AE19F}">
  <dimension ref="A1:R40"/>
  <sheetViews>
    <sheetView tabSelected="1" zoomScale="85" zoomScaleNormal="85" workbookViewId="0">
      <selection activeCell="L20" sqref="L20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152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/>
      <c r="I7" s="68">
        <f>H7*N$4</f>
        <v>0</v>
      </c>
      <c r="J7" s="68"/>
      <c r="K7" s="68">
        <f>I7-J7</f>
        <v>0</v>
      </c>
      <c r="L7" s="82" t="s">
        <v>72</v>
      </c>
      <c r="M7" s="76"/>
      <c r="N7" s="76"/>
      <c r="O7" s="1"/>
      <c r="P7" s="88" t="s">
        <v>26</v>
      </c>
    </row>
    <row r="8" spans="1:18" ht="16.5" customHeight="1" x14ac:dyDescent="0.25">
      <c r="A8" s="165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1600000</v>
      </c>
      <c r="I8" s="68">
        <f>H8*N$4</f>
        <v>960000</v>
      </c>
      <c r="J8" s="68">
        <v>800000</v>
      </c>
      <c r="K8" s="68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6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/>
      <c r="I9" s="68">
        <f>H9*N$4</f>
        <v>0</v>
      </c>
      <c r="J9" s="74"/>
      <c r="K9" s="68">
        <f t="shared" ref="K8:K10" si="1">I9-J9</f>
        <v>0</v>
      </c>
      <c r="L9" s="82" t="s">
        <v>72</v>
      </c>
      <c r="M9" s="115"/>
      <c r="N9" s="79"/>
      <c r="O9" s="1"/>
      <c r="P9" s="1"/>
    </row>
    <row r="10" spans="1:18" ht="16.5" customHeight="1" x14ac:dyDescent="0.25">
      <c r="A10" s="16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/>
      <c r="I10" s="68">
        <f>H10*N$4</f>
        <v>0</v>
      </c>
      <c r="J10" s="74"/>
      <c r="K10" s="68">
        <f t="shared" si="1"/>
        <v>0</v>
      </c>
      <c r="L10" s="82" t="s">
        <v>72</v>
      </c>
      <c r="M10" s="76"/>
      <c r="N10" s="76"/>
      <c r="O10" s="1"/>
      <c r="P10" s="167" t="s">
        <v>29</v>
      </c>
      <c r="Q10" s="167"/>
      <c r="R10" s="162">
        <f>SUM(H7:H999)</f>
        <v>1600000</v>
      </c>
    </row>
    <row r="11" spans="1:18" ht="16.5" customHeight="1" x14ac:dyDescent="0.25">
      <c r="A11" s="166"/>
      <c r="H11" s="146"/>
      <c r="I11" s="146"/>
      <c r="J11" s="146"/>
      <c r="K11" s="146"/>
      <c r="M11" s="79"/>
      <c r="N11" s="79"/>
      <c r="O11" s="1"/>
      <c r="P11" s="167"/>
      <c r="Q11" s="167"/>
      <c r="R11" s="1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960000</v>
      </c>
    </row>
    <row r="13" spans="1:18" ht="22.5" customHeight="1" x14ac:dyDescent="0.25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/>
      <c r="I13" s="68">
        <f>H13*N$4</f>
        <v>0</v>
      </c>
      <c r="J13" s="68"/>
      <c r="K13" s="68">
        <f t="shared" ref="K13:K29" si="2">I13-J13</f>
        <v>0</v>
      </c>
      <c r="L13" s="82" t="s">
        <v>72</v>
      </c>
      <c r="M13" s="76"/>
      <c r="N13" s="76"/>
      <c r="O13" s="1"/>
      <c r="P13" s="161"/>
      <c r="Q13" s="161"/>
      <c r="R13" s="162"/>
    </row>
    <row r="14" spans="1:18" ht="16.5" customHeight="1" x14ac:dyDescent="0.25">
      <c r="A14" s="158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161"/>
      <c r="Q14" s="161"/>
      <c r="R14" s="162"/>
    </row>
    <row r="15" spans="1:18" ht="22.5" x14ac:dyDescent="0.3">
      <c r="A15" s="15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/>
      <c r="I15" s="68">
        <f t="shared" ref="I15:I29" si="4">H15*N$4</f>
        <v>0</v>
      </c>
      <c r="J15" s="74"/>
      <c r="K15" s="68">
        <f t="shared" si="2"/>
        <v>0</v>
      </c>
      <c r="L15" s="82" t="s">
        <v>72</v>
      </c>
      <c r="M15" s="79"/>
      <c r="N15" s="79"/>
      <c r="O15" s="1"/>
      <c r="P15" s="163" t="s">
        <v>117</v>
      </c>
      <c r="Q15" s="163"/>
      <c r="R15" s="130">
        <f>SUM(J7:J98)</f>
        <v>800000</v>
      </c>
    </row>
    <row r="16" spans="1:18" ht="16.5" x14ac:dyDescent="0.25">
      <c r="A16" s="158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/>
      <c r="I16" s="68">
        <f t="shared" si="4"/>
        <v>0</v>
      </c>
      <c r="J16" s="74"/>
      <c r="K16" s="68">
        <f t="shared" si="2"/>
        <v>0</v>
      </c>
      <c r="L16" s="82" t="s">
        <v>72</v>
      </c>
      <c r="M16" s="76"/>
      <c r="N16" s="85"/>
      <c r="O16" s="1"/>
      <c r="P16" s="1"/>
    </row>
    <row r="17" spans="1:16" ht="16.5" x14ac:dyDescent="0.25">
      <c r="A17" s="158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/>
      <c r="I17" s="68">
        <f t="shared" si="4"/>
        <v>0</v>
      </c>
      <c r="J17" s="68"/>
      <c r="K17" s="68">
        <f t="shared" si="2"/>
        <v>0</v>
      </c>
      <c r="L17" s="82" t="s">
        <v>72</v>
      </c>
      <c r="M17" s="76"/>
      <c r="N17" s="76"/>
      <c r="O17" s="1"/>
      <c r="P17" s="1"/>
    </row>
    <row r="18" spans="1:16" ht="16.5" x14ac:dyDescent="0.25">
      <c r="A18" s="158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/>
      <c r="I18" s="68">
        <f t="shared" si="4"/>
        <v>0</v>
      </c>
      <c r="J18" s="74"/>
      <c r="K18" s="68">
        <f t="shared" si="2"/>
        <v>0</v>
      </c>
      <c r="L18" s="82" t="s">
        <v>72</v>
      </c>
      <c r="M18" s="80"/>
      <c r="N18" s="85"/>
      <c r="O18" s="1"/>
      <c r="P18" s="1"/>
    </row>
    <row r="19" spans="1:16" ht="16.5" x14ac:dyDescent="0.25">
      <c r="A19" s="158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/>
      <c r="I19" s="68">
        <f t="shared" si="4"/>
        <v>0</v>
      </c>
      <c r="J19" s="74"/>
      <c r="K19" s="68">
        <f t="shared" si="2"/>
        <v>0</v>
      </c>
      <c r="L19" s="82" t="s">
        <v>72</v>
      </c>
      <c r="M19" s="76"/>
      <c r="N19" s="76"/>
      <c r="O19" s="1"/>
      <c r="P19" s="1"/>
    </row>
    <row r="20" spans="1:16" ht="16.5" x14ac:dyDescent="0.25">
      <c r="A20" s="158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/>
      <c r="I20" s="68">
        <f t="shared" si="4"/>
        <v>0</v>
      </c>
      <c r="J20" s="68"/>
      <c r="K20" s="68">
        <f t="shared" si="2"/>
        <v>0</v>
      </c>
      <c r="L20" s="82" t="s">
        <v>72</v>
      </c>
      <c r="M20" s="76"/>
      <c r="N20" s="76"/>
      <c r="O20" s="1"/>
      <c r="P20" s="1"/>
    </row>
    <row r="21" spans="1:16" ht="16.5" x14ac:dyDescent="0.25">
      <c r="A21" s="158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/>
      <c r="I21" s="68">
        <f t="shared" si="4"/>
        <v>0</v>
      </c>
      <c r="J21" s="68"/>
      <c r="K21" s="68">
        <f t="shared" si="2"/>
        <v>0</v>
      </c>
      <c r="L21" s="82" t="s">
        <v>72</v>
      </c>
      <c r="M21" s="79"/>
      <c r="N21" s="76"/>
      <c r="O21" s="1"/>
      <c r="P21" s="1"/>
    </row>
    <row r="22" spans="1:16" ht="16.5" x14ac:dyDescent="0.25">
      <c r="A22" s="158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/>
      <c r="I22" s="68">
        <f t="shared" si="4"/>
        <v>0</v>
      </c>
      <c r="J22" s="74"/>
      <c r="K22" s="68">
        <f t="shared" si="2"/>
        <v>0</v>
      </c>
      <c r="L22" s="82" t="s">
        <v>72</v>
      </c>
      <c r="M22" s="121" t="s">
        <v>124</v>
      </c>
      <c r="N22" s="76"/>
      <c r="O22" s="1"/>
      <c r="P22" s="1"/>
    </row>
    <row r="23" spans="1:16" ht="16.5" x14ac:dyDescent="0.25">
      <c r="A23" s="158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58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/>
      <c r="I26" s="132">
        <f t="shared" si="4"/>
        <v>0</v>
      </c>
      <c r="J26" s="132"/>
      <c r="K26" s="132">
        <f t="shared" si="2"/>
        <v>0</v>
      </c>
      <c r="L26" s="82" t="s">
        <v>72</v>
      </c>
      <c r="M26" s="136"/>
      <c r="N26" s="76"/>
      <c r="O26" s="1"/>
      <c r="P26" s="1"/>
    </row>
    <row r="27" spans="1:16" ht="20.45" customHeight="1" x14ac:dyDescent="0.25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/>
      <c r="I27" s="132">
        <f t="shared" si="4"/>
        <v>0</v>
      </c>
      <c r="J27" s="133"/>
      <c r="K27" s="132">
        <f t="shared" si="2"/>
        <v>0</v>
      </c>
      <c r="L27" s="82" t="s">
        <v>72</v>
      </c>
      <c r="M27" s="136"/>
      <c r="N27" s="76"/>
      <c r="O27" s="1"/>
      <c r="P27" s="1"/>
    </row>
    <row r="28" spans="1:16" ht="16.5" customHeight="1" x14ac:dyDescent="0.25">
      <c r="A28" s="16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/>
      <c r="I28" s="132">
        <f t="shared" si="4"/>
        <v>0</v>
      </c>
      <c r="J28" s="68"/>
      <c r="K28" s="132">
        <f t="shared" si="2"/>
        <v>0</v>
      </c>
      <c r="L28" s="82" t="s">
        <v>72</v>
      </c>
      <c r="M28" s="115"/>
      <c r="N28" s="79"/>
    </row>
    <row r="29" spans="1:16" ht="16.5" customHeight="1" x14ac:dyDescent="0.25">
      <c r="A29" s="16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/>
      <c r="I29" s="132">
        <f t="shared" si="4"/>
        <v>0</v>
      </c>
      <c r="J29" s="133"/>
      <c r="K29" s="132">
        <f t="shared" si="2"/>
        <v>0</v>
      </c>
      <c r="L29" s="82" t="s">
        <v>72</v>
      </c>
      <c r="M29" s="76"/>
      <c r="N29" s="76"/>
    </row>
    <row r="30" spans="1:16" ht="16.5" customHeight="1" x14ac:dyDescent="0.25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  <vt:lpstr>11-01 </vt:lpstr>
      <vt:lpstr>12-01</vt:lpstr>
      <vt:lpstr>13-01</vt:lpstr>
      <vt:lpstr>14-01</vt:lpstr>
      <vt:lpstr>15-01</vt:lpstr>
      <vt:lpstr>16-01</vt:lpstr>
      <vt:lpstr>17-01</vt:lpstr>
      <vt:lpstr>18-01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2026-01-18T17:24:19Z</dcterms:modified>
</cp:coreProperties>
</file>