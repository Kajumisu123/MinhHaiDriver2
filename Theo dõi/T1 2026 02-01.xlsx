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4DA166D2-2BC8-4751-BC62-86E471F35EF0}" xr6:coauthVersionLast="47" xr6:coauthVersionMax="47" xr10:uidLastSave="{00000000-0000-0000-0000-000000000000}"/>
  <bookViews>
    <workbookView xWindow="-120" yWindow="-120" windowWidth="29040" windowHeight="15840" tabRatio="579" firstSheet="16" activeTab="30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  <sheet name="22-01" sheetId="28" r:id="rId24"/>
    <sheet name="23-01" sheetId="29" r:id="rId25"/>
    <sheet name="24-01" sheetId="30" r:id="rId26"/>
    <sheet name="25-01" sheetId="31" r:id="rId27"/>
    <sheet name="26-01" sheetId="32" r:id="rId28"/>
    <sheet name="27-01" sheetId="33" r:id="rId29"/>
    <sheet name="28-01" sheetId="34" r:id="rId30"/>
    <sheet name="29-01" sheetId="35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35" l="1"/>
  <c r="G8" i="35"/>
  <c r="G9" i="35"/>
  <c r="G10" i="35"/>
  <c r="I10" i="35" s="1"/>
  <c r="G7" i="35"/>
  <c r="I7" i="35" s="1"/>
  <c r="G27" i="35"/>
  <c r="G26" i="35"/>
  <c r="I26" i="35" s="1"/>
  <c r="G25" i="35"/>
  <c r="I25" i="35" s="1"/>
  <c r="G24" i="35"/>
  <c r="I24" i="35" s="1"/>
  <c r="G23" i="35"/>
  <c r="G22" i="35"/>
  <c r="I22" i="35" s="1"/>
  <c r="G21" i="35"/>
  <c r="I21" i="35" s="1"/>
  <c r="G20" i="35"/>
  <c r="I20" i="35" s="1"/>
  <c r="G19" i="35"/>
  <c r="I19" i="35" s="1"/>
  <c r="G18" i="35"/>
  <c r="I18" i="35" s="1"/>
  <c r="G17" i="35"/>
  <c r="I17" i="35" s="1"/>
  <c r="G16" i="35"/>
  <c r="I16" i="35" s="1"/>
  <c r="P15" i="35"/>
  <c r="G15" i="35"/>
  <c r="I15" i="35" s="1"/>
  <c r="B15" i="35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G14" i="35"/>
  <c r="I14" i="35" s="1"/>
  <c r="B14" i="35"/>
  <c r="G13" i="35"/>
  <c r="I13" i="35" s="1"/>
  <c r="P10" i="35"/>
  <c r="B8" i="35"/>
  <c r="B9" i="35" s="1"/>
  <c r="B10" i="35" s="1"/>
  <c r="I27" i="34"/>
  <c r="I26" i="34"/>
  <c r="K26" i="34" s="1"/>
  <c r="I25" i="34"/>
  <c r="K25" i="34" s="1"/>
  <c r="I24" i="34"/>
  <c r="K24" i="34" s="1"/>
  <c r="I23" i="34"/>
  <c r="I22" i="34"/>
  <c r="K22" i="34" s="1"/>
  <c r="I21" i="34"/>
  <c r="K21" i="34" s="1"/>
  <c r="I20" i="34"/>
  <c r="K20" i="34" s="1"/>
  <c r="I19" i="34"/>
  <c r="K19" i="34" s="1"/>
  <c r="I18" i="34"/>
  <c r="K18" i="34" s="1"/>
  <c r="I17" i="34"/>
  <c r="K17" i="34" s="1"/>
  <c r="I16" i="34"/>
  <c r="K16" i="34" s="1"/>
  <c r="R15" i="34"/>
  <c r="I15" i="34"/>
  <c r="K15" i="34" s="1"/>
  <c r="B15" i="34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I14" i="34"/>
  <c r="K14" i="34" s="1"/>
  <c r="B14" i="34"/>
  <c r="I13" i="34"/>
  <c r="K13" i="34" s="1"/>
  <c r="R10" i="34"/>
  <c r="I10" i="34"/>
  <c r="K10" i="34" s="1"/>
  <c r="I9" i="34"/>
  <c r="I8" i="34"/>
  <c r="K8" i="34" s="1"/>
  <c r="B8" i="34"/>
  <c r="B9" i="34" s="1"/>
  <c r="B10" i="34" s="1"/>
  <c r="I7" i="34"/>
  <c r="K7" i="34" s="1"/>
  <c r="I22" i="33"/>
  <c r="I23" i="33"/>
  <c r="I24" i="33"/>
  <c r="I25" i="33"/>
  <c r="I26" i="33"/>
  <c r="I27" i="33"/>
  <c r="I18" i="33"/>
  <c r="I19" i="33"/>
  <c r="I20" i="33"/>
  <c r="I21" i="33"/>
  <c r="I16" i="33"/>
  <c r="I17" i="33"/>
  <c r="I14" i="33"/>
  <c r="I15" i="33"/>
  <c r="I13" i="33"/>
  <c r="I8" i="33"/>
  <c r="I9" i="33"/>
  <c r="I10" i="33"/>
  <c r="I7" i="33"/>
  <c r="I8" i="35" l="1"/>
  <c r="P12" i="35" s="1"/>
  <c r="R12" i="34"/>
  <c r="K26" i="33"/>
  <c r="K25" i="33"/>
  <c r="K24" i="33"/>
  <c r="K23" i="33"/>
  <c r="K22" i="33"/>
  <c r="K21" i="33"/>
  <c r="K20" i="33"/>
  <c r="K19" i="33"/>
  <c r="K18" i="33"/>
  <c r="K17" i="33"/>
  <c r="K16" i="33"/>
  <c r="R15" i="33"/>
  <c r="K15" i="33"/>
  <c r="B15" i="33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K14" i="33"/>
  <c r="B14" i="33"/>
  <c r="K13" i="33"/>
  <c r="R10" i="33"/>
  <c r="K10" i="33"/>
  <c r="B8" i="33"/>
  <c r="B9" i="33" s="1"/>
  <c r="B10" i="33" s="1"/>
  <c r="K7" i="33"/>
  <c r="I27" i="32"/>
  <c r="I26" i="32"/>
  <c r="K26" i="32" s="1"/>
  <c r="I25" i="32"/>
  <c r="K25" i="32" s="1"/>
  <c r="I24" i="32"/>
  <c r="K24" i="32" s="1"/>
  <c r="I23" i="32"/>
  <c r="K23" i="32" s="1"/>
  <c r="K22" i="32"/>
  <c r="I22" i="32"/>
  <c r="I21" i="32"/>
  <c r="K21" i="32" s="1"/>
  <c r="I20" i="32"/>
  <c r="K20" i="32" s="1"/>
  <c r="I19" i="32"/>
  <c r="K19" i="32" s="1"/>
  <c r="I18" i="32"/>
  <c r="K18" i="32" s="1"/>
  <c r="I17" i="32"/>
  <c r="K17" i="32" s="1"/>
  <c r="I16" i="32"/>
  <c r="K16" i="32" s="1"/>
  <c r="R15" i="32"/>
  <c r="I15" i="32"/>
  <c r="K15" i="32" s="1"/>
  <c r="B15" i="32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I14" i="32"/>
  <c r="K14" i="32" s="1"/>
  <c r="B14" i="32"/>
  <c r="I13" i="32"/>
  <c r="K13" i="32" s="1"/>
  <c r="R10" i="32"/>
  <c r="I10" i="32"/>
  <c r="K10" i="32" s="1"/>
  <c r="I9" i="32"/>
  <c r="K9" i="32" s="1"/>
  <c r="I8" i="32"/>
  <c r="K8" i="32" s="1"/>
  <c r="B8" i="32"/>
  <c r="B9" i="32" s="1"/>
  <c r="B10" i="32" s="1"/>
  <c r="I7" i="32"/>
  <c r="K7" i="32" s="1"/>
  <c r="I27" i="31"/>
  <c r="I26" i="31"/>
  <c r="K26" i="31" s="1"/>
  <c r="I25" i="31"/>
  <c r="K25" i="31" s="1"/>
  <c r="I24" i="31"/>
  <c r="K24" i="31" s="1"/>
  <c r="I23" i="31"/>
  <c r="K23" i="31" s="1"/>
  <c r="I22" i="31"/>
  <c r="K22" i="31" s="1"/>
  <c r="I21" i="31"/>
  <c r="K21" i="31" s="1"/>
  <c r="I20" i="31"/>
  <c r="K20" i="31" s="1"/>
  <c r="K19" i="31"/>
  <c r="I19" i="31"/>
  <c r="I18" i="31"/>
  <c r="K18" i="31" s="1"/>
  <c r="I17" i="31"/>
  <c r="K17" i="31" s="1"/>
  <c r="I16" i="31"/>
  <c r="K16" i="31" s="1"/>
  <c r="R15" i="31"/>
  <c r="I15" i="31"/>
  <c r="K15" i="31" s="1"/>
  <c r="B15" i="3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I14" i="31"/>
  <c r="K14" i="31" s="1"/>
  <c r="B14" i="31"/>
  <c r="I13" i="31"/>
  <c r="K13" i="31" s="1"/>
  <c r="R10" i="31"/>
  <c r="I10" i="31"/>
  <c r="K10" i="31" s="1"/>
  <c r="I9" i="31"/>
  <c r="K9" i="31" s="1"/>
  <c r="B9" i="31"/>
  <c r="B10" i="31" s="1"/>
  <c r="I8" i="31"/>
  <c r="K8" i="31" s="1"/>
  <c r="B8" i="31"/>
  <c r="I7" i="31"/>
  <c r="K7" i="31" s="1"/>
  <c r="I8" i="30"/>
  <c r="K8" i="30" s="1"/>
  <c r="I9" i="30"/>
  <c r="K9" i="30" s="1"/>
  <c r="I10" i="30"/>
  <c r="K10" i="30" s="1"/>
  <c r="I13" i="30"/>
  <c r="K13" i="30" s="1"/>
  <c r="I14" i="30"/>
  <c r="K14" i="30" s="1"/>
  <c r="I15" i="30"/>
  <c r="K15" i="30" s="1"/>
  <c r="I16" i="30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K22" i="30" s="1"/>
  <c r="I23" i="30"/>
  <c r="I24" i="30"/>
  <c r="I25" i="30"/>
  <c r="K25" i="30" s="1"/>
  <c r="I26" i="30"/>
  <c r="K26" i="30" s="1"/>
  <c r="I27" i="30"/>
  <c r="I7" i="30"/>
  <c r="K24" i="30"/>
  <c r="K23" i="30"/>
  <c r="K16" i="30"/>
  <c r="R15" i="30"/>
  <c r="B14" i="30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R10" i="30"/>
  <c r="B8" i="30"/>
  <c r="B9" i="30" s="1"/>
  <c r="B10" i="30" s="1"/>
  <c r="I7" i="29"/>
  <c r="I23" i="29"/>
  <c r="K23" i="29" s="1"/>
  <c r="I24" i="29"/>
  <c r="K24" i="29" s="1"/>
  <c r="K16" i="29"/>
  <c r="K18" i="29"/>
  <c r="K22" i="29"/>
  <c r="I26" i="29"/>
  <c r="K26" i="29" s="1"/>
  <c r="I25" i="29"/>
  <c r="K25" i="29" s="1"/>
  <c r="I21" i="29"/>
  <c r="K21" i="29" s="1"/>
  <c r="I20" i="29"/>
  <c r="K20" i="29" s="1"/>
  <c r="I19" i="29"/>
  <c r="K19" i="29" s="1"/>
  <c r="I18" i="29"/>
  <c r="I17" i="29"/>
  <c r="K17" i="29" s="1"/>
  <c r="R15" i="29"/>
  <c r="I15" i="29"/>
  <c r="K15" i="29" s="1"/>
  <c r="I14" i="29"/>
  <c r="K14" i="29" s="1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I13" i="29"/>
  <c r="K13" i="29" s="1"/>
  <c r="R10" i="29"/>
  <c r="I10" i="29"/>
  <c r="K10" i="29" s="1"/>
  <c r="I9" i="29"/>
  <c r="K9" i="29" s="1"/>
  <c r="I8" i="29"/>
  <c r="K8" i="29" s="1"/>
  <c r="B8" i="29"/>
  <c r="B9" i="29" s="1"/>
  <c r="B10" i="29" s="1"/>
  <c r="B15" i="28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R12" i="33" l="1"/>
  <c r="K8" i="33"/>
  <c r="R12" i="32"/>
  <c r="R12" i="31"/>
  <c r="R12" i="30"/>
  <c r="K7" i="30"/>
  <c r="R12" i="29"/>
  <c r="K7" i="29"/>
  <c r="I26" i="28"/>
  <c r="K26" i="28" s="1"/>
  <c r="I25" i="28"/>
  <c r="K25" i="28" s="1"/>
  <c r="I24" i="28"/>
  <c r="K24" i="28" s="1"/>
  <c r="I23" i="28"/>
  <c r="K23" i="28" s="1"/>
  <c r="I21" i="28"/>
  <c r="K21" i="28" s="1"/>
  <c r="I20" i="28"/>
  <c r="K20" i="28" s="1"/>
  <c r="I19" i="28"/>
  <c r="K19" i="28" s="1"/>
  <c r="I18" i="28"/>
  <c r="K18" i="28" s="1"/>
  <c r="I17" i="28"/>
  <c r="K17" i="28" s="1"/>
  <c r="R15" i="28"/>
  <c r="I15" i="28"/>
  <c r="K15" i="28" s="1"/>
  <c r="I14" i="28"/>
  <c r="K14" i="28" s="1"/>
  <c r="B14" i="28"/>
  <c r="I13" i="28"/>
  <c r="K13" i="28" s="1"/>
  <c r="R10" i="28"/>
  <c r="I10" i="28"/>
  <c r="K10" i="28" s="1"/>
  <c r="I9" i="28"/>
  <c r="K9" i="28" s="1"/>
  <c r="I8" i="28"/>
  <c r="B8" i="28"/>
  <c r="B9" i="28" s="1"/>
  <c r="B10" i="28" s="1"/>
  <c r="I7" i="28"/>
  <c r="K14" i="27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8" l="1"/>
  <c r="K7" i="28"/>
  <c r="R12" i="27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<sst xmlns="http://schemas.openxmlformats.org/spreadsheetml/2006/main" count="3416" uniqueCount="205">
  <si>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</si>
  <si>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</si>
  <si>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</si>
  <si>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</si>
  <si>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</si>
  <si>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</si>
  <si>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</si>
  <si>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</si>
  <si>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</si>
  <si>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</si>
  <si>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</si>
  <si>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</si>
  <si>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</si>
  <si>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</si>
  <si>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</si>
  <si>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</si>
  <si>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</si>
  <si>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</si>
  <si>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</si>
  <si>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</si>
  <si>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</si>
  <si>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</si>
  <si>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</si>
  <si>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</si>
  <si>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</si>
  <si>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</si>
  <si>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</si>
  <si>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</si>
  <si>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</si>
  <si>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</si>
  <si>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</si>
  <si>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</si>
  <si>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</si>
  <si>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</si>
  <si>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</si>
  <si>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</si>
  <si>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</si>
  <si>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</si>
  <si>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</si>
  <si>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</si>
  <si>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</si>
  <si>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</si>
  <si>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</si>
  <si>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</si>
  <si>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</si>
  <si>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</si>
  <si>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</si>
  <si>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</si>
  <si>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</si>
  <si>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</si>
  <si>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</si>
  <si>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</si>
  <si>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</si>
  <si>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</si>
  <si>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</si>
  <si>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</si>
  <si>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</si>
  <si>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</si>
  <si>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</si>
  <si>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</si>
  <si>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</si>
  <si>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</si>
  <si>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</si>
  <si>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</si>
  <si>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</si>
  <si>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</si>
  <si>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</si>
  <si>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</si>
  <si>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</si>
  <si>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</si>
  <si>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</si>
  <si>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</si>
  <si>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</si>
  <si>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</si>
  <si>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</si>
  <si>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</si>
  <si>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</si>
  <si>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</si>
  <si>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</si>
  <si>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</si>
  <si>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</si>
  <si>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</si>
  <si>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</si>
  <si>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</si>
  <si>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</si>
  <si>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</si>
  <si>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</si>
  <si>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</si>
  <si>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</si>
  <si>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</si>
  <si>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</si>
  <si>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</si>
  <si>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</si>
  <si>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</si>
  <si>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</si>
  <si>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</si>
  <si>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</si>
  <si>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</si>
  <si>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</si>
  <si>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</si>
  <si>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</si>
  <si>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</si>
  <si>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</si>
  <si>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</si>
  <si>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</si>
  <si>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</si>
  <si>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</si>
  <si>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</si>
  <si>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</si>
  <si>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</si>
  <si>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</si>
  <si>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</si>
  <si>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</si>
  <si>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</si>
  <si>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</si>
  <si>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</si>
  <si>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</si>
  <si>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</si>
  <si>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</si>
  <si>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</si>
  <si>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</si>
  <si>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</si>
  <si>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</si>
  <si>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</si>
  <si>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</si>
  <si>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</si>
  <si>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</si>
  <si>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</si>
  <si>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</si>
  <si>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</si>
  <si>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</si>
  <si>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</si>
  <si>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</si>
  <si>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</si>
  <si>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</si>
  <si>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</si>
  <si>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</si>
  <si>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</si>
  <si>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</si>
  <si>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</si>
  <si>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</si>
  <si>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</si>
  <si>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</si>
  <si>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</si>
  <si>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</si>
  <si>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</si>
  <si>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</si>
  <si>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</si>
  <si>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</si>
  <si>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</si>
  <si>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</si>
  <si>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</si>
  <si>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</si>
  <si>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</si>
  <si>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</si>
  <si>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</si>
  <si>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</si>
  <si>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</si>
  <si>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</si>
  <si>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</si>
  <si>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</si>
  <si>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</si>
  <si>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</si>
  <si>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</si>
  <si>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</si>
  <si>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</si>
  <si>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</si>
  <si>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</si>
  <si>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</si>
  <si>
    <t>DOANH THU 22/01/2026</t>
  </si>
  <si>
    <t>thừa 6k</t>
  </si>
  <si>
    <t xml:space="preserve">thọt 116k </t>
  </si>
  <si>
    <t>DOANH THU 23/01/2026</t>
  </si>
  <si>
    <t>nộp trễ</t>
  </si>
  <si>
    <t>cho nghỉ</t>
  </si>
  <si>
    <t>dư 12k</t>
  </si>
  <si>
    <t>chia 5 5 thọt 120000</t>
  </si>
  <si>
    <t>Dưới 1 triệu 700</t>
  </si>
  <si>
    <t>Trên 1 triệu 700</t>
  </si>
  <si>
    <t>dư 5k</t>
  </si>
  <si>
    <t>DOANH THU 24/01/2026</t>
  </si>
  <si>
    <t>thừa chuyển hết tiền , kh chia tỉ lệ</t>
  </si>
  <si>
    <t xml:space="preserve">đổi qua con 178 </t>
  </si>
  <si>
    <t>DOANH THU 25/01/2026</t>
  </si>
  <si>
    <t>Đã nghỉ và trả xe</t>
  </si>
  <si>
    <t>chia 5 5 thọt 120</t>
  </si>
  <si>
    <t>Sau hôm nay nghỉ</t>
  </si>
  <si>
    <t>DOANH THU 26/01/2026</t>
  </si>
  <si>
    <t>Đức Anh</t>
  </si>
  <si>
    <t>chia 5 5 thọt 70</t>
  </si>
  <si>
    <t>DOANH THU 27/01/2026</t>
  </si>
  <si>
    <t>Nạp tiền trễ</t>
  </si>
  <si>
    <t>nợ bác thạo 160</t>
  </si>
  <si>
    <t>thọt 4k</t>
  </si>
  <si>
    <t>Xin bác Kim nghỉ 1 hôm</t>
  </si>
  <si>
    <t>Trọng Tính</t>
  </si>
  <si>
    <t xml:space="preserve">5 5 </t>
  </si>
  <si>
    <t>DOANH THU 28/01/2026</t>
  </si>
  <si>
    <t>cần bù thêm 50k</t>
  </si>
  <si>
    <t>DOANH THU 29/01/2026</t>
  </si>
  <si>
    <t>Chú thành</t>
  </si>
  <si>
    <t>5 5 thọt 100</t>
  </si>
  <si>
    <t>thọt 5k</t>
  </si>
  <si>
    <t>HUỲNH VIỆT CHƯƠNG</t>
  </si>
  <si>
    <t>TRƯƠNG THANH TÚ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</si>
</sst>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5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</fonts>
  <fills count="2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207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16" fillId="20" borderId="8" xfId="0" applyFont="1" applyFill="1" applyBorder="1" applyAlignment="1">
      <alignment horizontal="center" vertical="center"/>
    </xf>
    <xf numFmtId="0" fontId="32" fillId="3" borderId="1" xfId="3" applyFont="1"/>
    <xf numFmtId="0" fontId="33" fillId="6" borderId="8" xfId="1" applyFont="1" applyFill="1" applyBorder="1" applyAlignment="1">
      <alignment horizontal="center" vertical="center"/>
    </xf>
    <xf numFmtId="0" fontId="33" fillId="6" borderId="8" xfId="1" applyFont="1" applyFill="1" applyBorder="1" applyAlignment="1">
      <alignment horizontal="center" vertical="center" wrapText="1"/>
    </xf>
    <xf numFmtId="3" fontId="34" fillId="3" borderId="8" xfId="2" applyNumberFormat="1" applyFont="1" applyBorder="1" applyAlignment="1">
      <alignment horizontal="right"/>
    </xf>
    <xf numFmtId="0" fontId="21" fillId="8" borderId="8" xfId="0" applyFont="1" applyFill="1" applyBorder="1" applyAlignment="1">
      <alignment horizontal="center"/>
    </xf>
    <xf numFmtId="0" fontId="23" fillId="3" borderId="2" xfId="2" applyFont="1"/>
    <xf numFmtId="0" fontId="23" fillId="3" borderId="1" xfId="3" applyFont="1"/>
    <xf numFmtId="0" fontId="17" fillId="0" borderId="0" xfId="0" applyFont="1"/>
    <xf numFmtId="49" fontId="16" fillId="5" borderId="8" xfId="0" applyNumberFormat="1" applyFont="1" applyFill="1" applyBorder="1" applyAlignment="1">
      <alignment horizontal="center"/>
    </xf>
    <xf numFmtId="3" fontId="23" fillId="18" borderId="8" xfId="0" applyNumberFormat="1" applyFont="1" applyFill="1" applyBorder="1" applyAlignment="1">
      <alignment horizontal="center" vertical="center"/>
    </xf>
    <xf numFmtId="3" fontId="23" fillId="19" borderId="8" xfId="0" applyNumberFormat="1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4" fillId="18" borderId="8" xfId="0" applyFont="1" applyFill="1" applyBorder="1"/>
    <xf numFmtId="49" fontId="26" fillId="19" borderId="8" xfId="0" applyNumberFormat="1" applyFont="1" applyFill="1" applyBorder="1" applyAlignment="1">
      <alignment horizontal="center" vertical="center"/>
    </xf>
    <xf numFmtId="0" fontId="16" fillId="19" borderId="8" xfId="0" applyFont="1" applyFill="1" applyBorder="1" applyAlignment="1">
      <alignment horizontal="center" vertical="center"/>
    </xf>
    <xf numFmtId="0" fontId="25" fillId="18" borderId="8" xfId="0" applyFont="1" applyFill="1" applyBorder="1" applyAlignment="1">
      <alignment horizontal="center" vertical="center"/>
    </xf>
    <xf numFmtId="49" fontId="16" fillId="12" borderId="8" xfId="0" applyNumberFormat="1" applyFont="1" applyFill="1" applyBorder="1" applyAlignment="1">
      <alignment horizontal="center"/>
    </xf>
    <xf numFmtId="0" fontId="16" fillId="21" borderId="8" xfId="0" applyFont="1" applyFill="1" applyBorder="1" applyAlignment="1">
      <alignment horizontal="center" vertical="center"/>
    </xf>
    <xf numFmtId="0" fontId="4" fillId="12" borderId="0" xfId="0" applyFont="1" applyFill="1"/>
    <xf numFmtId="3" fontId="4" fillId="12" borderId="0" xfId="0" applyNumberFormat="1" applyFont="1" applyFill="1"/>
    <xf numFmtId="0" fontId="4" fillId="12" borderId="8" xfId="0" applyFont="1" applyFill="1" applyBorder="1"/>
    <xf numFmtId="49" fontId="10" fillId="12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/>
    </xf>
    <xf numFmtId="0" fontId="14" fillId="18" borderId="8" xfId="0" applyFont="1" applyFill="1" applyBorder="1" applyAlignment="1">
      <alignment vertical="center"/>
    </xf>
    <xf numFmtId="0" fontId="20" fillId="19" borderId="8" xfId="0" applyFont="1" applyFill="1" applyBorder="1" applyAlignment="1">
      <alignment horizontal="center" vertical="center"/>
    </xf>
    <xf numFmtId="49" fontId="16" fillId="18" borderId="8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  <xf numFmtId="0" fontId="32" fillId="3" borderId="8" xfId="3" applyFont="1" applyBorder="1" applyAlignment="1">
      <alignment horizontal="center" vertical="center"/>
    </xf>
    <xf numFmtId="3" fontId="34" fillId="3" borderId="8" xfId="2" applyNumberFormat="1" applyFont="1" applyBorder="1" applyAlignment="1">
      <alignment horizontal="right" vertical="center"/>
    </xf>
    <xf numFmtId="0" fontId="32" fillId="3" borderId="8" xfId="3" applyFont="1" applyBorder="1" applyAlignment="1">
      <alignment horizontal="center" vertical="center" wrapText="1"/>
    </xf>
    <xf numFmtId="0" fontId="32" fillId="3" borderId="8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sheetPr codeName="Sheet16"/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3" ht="30.75" x14ac:dyDescent="0.25">
      <c r="B3" s="184" t="s">
        <v>55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86" t="s">
        <v>29</v>
      </c>
      <c r="I25" s="186"/>
      <c r="J25" s="9">
        <f>SUM(H7:H1000)</f>
        <v>24820000</v>
      </c>
    </row>
    <row r="26" spans="2:13" ht="22.5" x14ac:dyDescent="0.3">
      <c r="H26" s="186" t="s">
        <v>30</v>
      </c>
      <c r="I26" s="186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3" ht="30.75" x14ac:dyDescent="0.25">
      <c r="B3" s="184" t="s">
        <v>77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86" t="s">
        <v>29</v>
      </c>
      <c r="I26" s="186"/>
      <c r="J26" s="9">
        <f>SUM(H7:H1001)</f>
        <v>29135000</v>
      </c>
    </row>
    <row r="27" spans="1:13" ht="22.5" x14ac:dyDescent="0.3">
      <c r="H27" s="186" t="s">
        <v>30</v>
      </c>
      <c r="I27" s="186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3" ht="30.75" x14ac:dyDescent="0.25">
      <c r="B3" s="184" t="s">
        <v>85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86" t="s">
        <v>29</v>
      </c>
      <c r="I26" s="186"/>
      <c r="J26" s="9">
        <f>SUM(H7:H1001)</f>
        <v>32170000</v>
      </c>
    </row>
    <row r="27" spans="1:13" ht="22.5" x14ac:dyDescent="0.3">
      <c r="H27" s="186" t="s">
        <v>30</v>
      </c>
      <c r="I27" s="186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3" ht="30.75" x14ac:dyDescent="0.25">
      <c r="B3" s="184" t="s">
        <v>87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86" t="s">
        <v>29</v>
      </c>
      <c r="I26" s="186"/>
      <c r="J26" s="9">
        <f>SUM(H7:H1001)</f>
        <v>30806000</v>
      </c>
    </row>
    <row r="27" spans="1:13" ht="22.5" x14ac:dyDescent="0.3">
      <c r="H27" s="186" t="s">
        <v>30</v>
      </c>
      <c r="I27" s="186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3" ht="30.75" x14ac:dyDescent="0.25">
      <c r="B3" s="184" t="s">
        <v>95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86" t="s">
        <v>29</v>
      </c>
      <c r="I26" s="186"/>
      <c r="J26" s="9">
        <f>SUM(H7:H1001)</f>
        <v>30762000</v>
      </c>
    </row>
    <row r="27" spans="1:13" ht="22.5" x14ac:dyDescent="0.3">
      <c r="H27" s="186" t="s">
        <v>30</v>
      </c>
      <c r="I27" s="186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3" ht="30.75" x14ac:dyDescent="0.25">
      <c r="B3" s="184" t="s">
        <v>97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86" t="s">
        <v>29</v>
      </c>
      <c r="I26" s="186"/>
      <c r="J26" s="9">
        <f>SUM(H7:H1001)</f>
        <v>31566000</v>
      </c>
    </row>
    <row r="27" spans="1:13" ht="22.5" x14ac:dyDescent="0.3">
      <c r="H27" s="186" t="s">
        <v>30</v>
      </c>
      <c r="I27" s="186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3" ht="30.75" x14ac:dyDescent="0.25">
      <c r="B3" s="184" t="s">
        <v>99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86" t="s">
        <v>29</v>
      </c>
      <c r="I26" s="186"/>
      <c r="J26" s="9">
        <f>SUM(H7:H1001)</f>
        <v>31500000</v>
      </c>
    </row>
    <row r="27" spans="1:13" ht="22.5" x14ac:dyDescent="0.3">
      <c r="H27" s="186" t="s">
        <v>30</v>
      </c>
      <c r="I27" s="186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6" ht="30.75" x14ac:dyDescent="0.25">
      <c r="B3" s="184" t="s">
        <v>100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86" t="s">
        <v>29</v>
      </c>
      <c r="I26" s="186"/>
      <c r="J26" s="9">
        <f>SUM(H7:H1001)</f>
        <v>32130000</v>
      </c>
    </row>
    <row r="27" spans="1:13" ht="22.5" x14ac:dyDescent="0.3">
      <c r="H27" s="186" t="s">
        <v>30</v>
      </c>
      <c r="I27" s="186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6" ht="30.75" x14ac:dyDescent="0.25">
      <c r="B3" s="184" t="s">
        <v>107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86" t="s">
        <v>29</v>
      </c>
      <c r="I26" s="186"/>
      <c r="J26" s="9">
        <f>SUM(H7:H1001)</f>
        <v>28500000</v>
      </c>
    </row>
    <row r="27" spans="1:13" ht="22.5" x14ac:dyDescent="0.3">
      <c r="H27" s="186" t="s">
        <v>30</v>
      </c>
      <c r="I27" s="186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</row>
    <row r="3" spans="2:16" ht="30.75" x14ac:dyDescent="0.25">
      <c r="B3" s="184" t="s">
        <v>109</v>
      </c>
      <c r="C3" s="185"/>
      <c r="D3" s="185"/>
      <c r="E3" s="185"/>
      <c r="F3" s="185"/>
      <c r="G3" s="185"/>
      <c r="H3" s="185"/>
      <c r="I3" s="185"/>
      <c r="J3" s="185"/>
      <c r="K3" s="185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86" t="s">
        <v>29</v>
      </c>
      <c r="I26" s="186"/>
      <c r="J26" s="9">
        <f>SUM(H7:H1001)</f>
        <v>28869000</v>
      </c>
    </row>
    <row r="27" spans="1:13" ht="22.5" x14ac:dyDescent="0.3">
      <c r="H27" s="186" t="s">
        <v>30</v>
      </c>
      <c r="I27" s="186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83" t="s">
        <v>31</v>
      </c>
      <c r="C2" s="183"/>
      <c r="D2" s="183"/>
      <c r="E2" s="183"/>
      <c r="F2" s="183"/>
      <c r="G2" s="183"/>
      <c r="H2" s="183"/>
      <c r="I2" s="183"/>
      <c r="J2" s="183"/>
      <c r="K2" s="183"/>
      <c r="L2" s="1"/>
      <c r="M2" s="1"/>
      <c r="N2" s="1"/>
      <c r="O2" s="1"/>
      <c r="P2" s="1"/>
    </row>
    <row r="3" spans="1:16" ht="30.75" x14ac:dyDescent="0.25">
      <c r="A3" s="1"/>
      <c r="B3" s="184" t="s">
        <v>109</v>
      </c>
      <c r="C3" s="185"/>
      <c r="D3" s="185"/>
      <c r="E3" s="185"/>
      <c r="F3" s="185"/>
      <c r="G3" s="185"/>
      <c r="H3" s="185"/>
      <c r="I3" s="185"/>
      <c r="J3" s="185"/>
      <c r="K3" s="185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89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90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90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90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90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90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90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91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91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91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91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91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91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91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91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91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91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91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91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87" t="s">
        <v>29</v>
      </c>
      <c r="I28" s="188"/>
      <c r="J28" s="9">
        <f>SUM(H7:H1001)</f>
        <v>29569000</v>
      </c>
    </row>
    <row r="29" spans="1:16" ht="22.5" x14ac:dyDescent="0.3">
      <c r="H29" s="187" t="s">
        <v>30</v>
      </c>
      <c r="I29" s="188"/>
      <c r="J29" s="9">
        <f>SUM(I7:I1001)</f>
        <v>17731000</v>
      </c>
    </row>
    <row r="30" spans="1:16" ht="22.5" x14ac:dyDescent="0.3">
      <c r="H30" s="187" t="s">
        <v>117</v>
      </c>
      <c r="I30" s="188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8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9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9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9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9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9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9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9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9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9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9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9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9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9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9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9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9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9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91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87" t="s">
        <v>29</v>
      </c>
      <c r="I28" s="188"/>
      <c r="J28" s="9">
        <f>SUM(H7:H1001)</f>
        <v>29980000</v>
      </c>
    </row>
    <row r="29" spans="1:16" ht="22.5" x14ac:dyDescent="0.3">
      <c r="H29" s="187" t="s">
        <v>30</v>
      </c>
      <c r="I29" s="188"/>
      <c r="J29" s="9">
        <f>SUM(I7:I1001)</f>
        <v>17988000</v>
      </c>
    </row>
    <row r="30" spans="1:16" ht="22.5" x14ac:dyDescent="0.3">
      <c r="H30" s="187" t="s">
        <v>117</v>
      </c>
      <c r="I30" s="188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8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9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9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9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9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9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9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9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9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9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9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9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9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9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9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9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9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9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91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87" t="s">
        <v>29</v>
      </c>
      <c r="I28" s="188"/>
      <c r="J28" s="9">
        <f>SUM(H7:H1001)</f>
        <v>31650000</v>
      </c>
    </row>
    <row r="29" spans="1:16" ht="22.5" x14ac:dyDescent="0.3">
      <c r="H29" s="187" t="s">
        <v>30</v>
      </c>
      <c r="I29" s="188"/>
      <c r="J29" s="9">
        <f>SUM(I7:I1001)</f>
        <v>18990000</v>
      </c>
    </row>
    <row r="30" spans="1:16" ht="22.5" x14ac:dyDescent="0.3">
      <c r="H30" s="187" t="s">
        <v>117</v>
      </c>
      <c r="I30" s="188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8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9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9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9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9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9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9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9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9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9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9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9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9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9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9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9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9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9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91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87" t="s">
        <v>29</v>
      </c>
      <c r="I28" s="188"/>
      <c r="J28" s="9">
        <f>SUM(H7:H1001)</f>
        <v>29362000</v>
      </c>
    </row>
    <row r="29" spans="1:16" ht="22.5" x14ac:dyDescent="0.3">
      <c r="H29" s="187" t="s">
        <v>30</v>
      </c>
      <c r="I29" s="188"/>
      <c r="J29" s="9">
        <f>SUM(I7:I1001)</f>
        <v>17617200</v>
      </c>
    </row>
    <row r="30" spans="1:16" ht="22.5" x14ac:dyDescent="0.3">
      <c r="H30" s="187" t="s">
        <v>117</v>
      </c>
      <c r="I30" s="188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98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98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200" t="s">
        <v>29</v>
      </c>
      <c r="Q10" s="200"/>
      <c r="R10" s="195">
        <f>SUM(H7:H999)</f>
        <v>28468000</v>
      </c>
    </row>
    <row r="11" spans="1:18" ht="16.5" customHeight="1" x14ac:dyDescent="0.25">
      <c r="A11" s="199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200"/>
      <c r="Q11" s="200"/>
      <c r="R11" s="19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94" t="s">
        <v>143</v>
      </c>
      <c r="Q12" s="194"/>
      <c r="R12" s="195">
        <f>SUM(I7:I999)</f>
        <v>17080800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94"/>
      <c r="Q13" s="194"/>
      <c r="R13" s="195"/>
    </row>
    <row r="14" spans="1:18" ht="16.5" customHeight="1" x14ac:dyDescent="0.25">
      <c r="A14" s="191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94"/>
      <c r="Q14" s="194"/>
      <c r="R14" s="195"/>
    </row>
    <row r="15" spans="1:18" ht="22.5" x14ac:dyDescent="0.3">
      <c r="A15" s="191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96" t="s">
        <v>117</v>
      </c>
      <c r="Q15" s="196"/>
      <c r="R15" s="130">
        <f>SUM(J7:J98)</f>
        <v>16486200</v>
      </c>
    </row>
    <row r="16" spans="1:18" ht="16.5" x14ac:dyDescent="0.25">
      <c r="A16" s="191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91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91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91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91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91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91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91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91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9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9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93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93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9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sheetPr codeName="Sheet17"/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98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9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9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200" t="s">
        <v>29</v>
      </c>
      <c r="Q10" s="200"/>
      <c r="R10" s="195">
        <f>SUM(H7:H999)</f>
        <v>20755000</v>
      </c>
    </row>
    <row r="11" spans="1:18" ht="16.5" customHeight="1" x14ac:dyDescent="0.25">
      <c r="A11" s="199"/>
      <c r="M11" s="79"/>
      <c r="N11" s="79"/>
      <c r="O11" s="1"/>
      <c r="P11" s="200"/>
      <c r="Q11" s="200"/>
      <c r="R11" s="19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94" t="s">
        <v>143</v>
      </c>
      <c r="Q12" s="194"/>
      <c r="R12" s="195">
        <f>SUM(I7:I999)</f>
        <v>12453000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94"/>
      <c r="Q13" s="194"/>
      <c r="R13" s="195"/>
    </row>
    <row r="14" spans="1:18" ht="16.5" customHeight="1" x14ac:dyDescent="0.25">
      <c r="A14" s="191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94"/>
      <c r="Q14" s="194"/>
      <c r="R14" s="195"/>
    </row>
    <row r="15" spans="1:18" ht="22.5" x14ac:dyDescent="0.3">
      <c r="A15" s="191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96" t="s">
        <v>117</v>
      </c>
      <c r="Q15" s="196"/>
      <c r="R15" s="130">
        <f>SUM(J7:J98)</f>
        <v>12451000</v>
      </c>
    </row>
    <row r="16" spans="1:18" ht="16.5" x14ac:dyDescent="0.25">
      <c r="A16" s="191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91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91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91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91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91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91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91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91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9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9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93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93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9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sheetPr codeName="Sheet18"/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98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9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9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200" t="s">
        <v>29</v>
      </c>
      <c r="Q10" s="200"/>
      <c r="R10" s="195">
        <f>SUM(H7:H999)</f>
        <v>29815000</v>
      </c>
    </row>
    <row r="11" spans="1:18" ht="16.5" customHeight="1" x14ac:dyDescent="0.25">
      <c r="A11" s="199"/>
      <c r="M11" s="79"/>
      <c r="N11" s="79"/>
      <c r="O11" s="1"/>
      <c r="P11" s="200"/>
      <c r="Q11" s="200"/>
      <c r="R11" s="19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94" t="s">
        <v>143</v>
      </c>
      <c r="Q12" s="194"/>
      <c r="R12" s="195">
        <f>SUM(I7:I999)</f>
        <v>17889000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94"/>
      <c r="Q13" s="194"/>
      <c r="R13" s="195"/>
    </row>
    <row r="14" spans="1:18" ht="16.5" customHeight="1" x14ac:dyDescent="0.25">
      <c r="A14" s="191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94"/>
      <c r="Q14" s="194"/>
      <c r="R14" s="195"/>
    </row>
    <row r="15" spans="1:18" ht="22.5" x14ac:dyDescent="0.3">
      <c r="A15" s="191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96" t="s">
        <v>117</v>
      </c>
      <c r="Q15" s="196"/>
      <c r="R15" s="130">
        <f>SUM(J7:J98)</f>
        <v>17728000</v>
      </c>
    </row>
    <row r="16" spans="1:18" ht="16.5" x14ac:dyDescent="0.25">
      <c r="A16" s="191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91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91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91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91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91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91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91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91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9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9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93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93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9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sheetPr codeName="Sheet19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9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9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200" t="s">
        <v>29</v>
      </c>
      <c r="Q10" s="200"/>
      <c r="R10" s="195">
        <f>SUM(H7:H999)</f>
        <v>29241000</v>
      </c>
    </row>
    <row r="11" spans="1:18" ht="16.5" customHeight="1" x14ac:dyDescent="0.25">
      <c r="A11" s="199"/>
      <c r="H11" s="146"/>
      <c r="I11" s="146"/>
      <c r="J11" s="146"/>
      <c r="K11" s="146"/>
      <c r="M11" s="79"/>
      <c r="N11" s="79"/>
      <c r="O11" s="1"/>
      <c r="P11" s="200"/>
      <c r="Q11" s="200"/>
      <c r="R11" s="19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94" t="s">
        <v>143</v>
      </c>
      <c r="Q12" s="194"/>
      <c r="R12" s="195">
        <f>SUM(I7:I999)</f>
        <v>17544600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94"/>
      <c r="Q13" s="194"/>
      <c r="R13" s="195"/>
    </row>
    <row r="14" spans="1:18" ht="16.5" customHeight="1" x14ac:dyDescent="0.25">
      <c r="A14" s="191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94"/>
      <c r="Q14" s="194"/>
      <c r="R14" s="195"/>
    </row>
    <row r="15" spans="1:18" ht="22.5" x14ac:dyDescent="0.3">
      <c r="A15" s="191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96" t="s">
        <v>117</v>
      </c>
      <c r="Q15" s="196"/>
      <c r="R15" s="130">
        <f>SUM(J7:J98)</f>
        <v>17384600</v>
      </c>
    </row>
    <row r="16" spans="1:18" ht="16.5" x14ac:dyDescent="0.25">
      <c r="A16" s="191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91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91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91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91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91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91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91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91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9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9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93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93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9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sheetPr codeName="Sheet20"/>
  <dimension ref="A1:R40"/>
  <sheetViews>
    <sheetView topLeftCell="A3" zoomScale="85" zoomScaleNormal="85" workbookViewId="0">
      <selection activeCell="J29" activeCellId="1" sqref="H29 J29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19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9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200" t="s">
        <v>29</v>
      </c>
      <c r="Q10" s="200"/>
      <c r="R10" s="195">
        <f>SUM(H7:H999)</f>
        <v>39465000</v>
      </c>
    </row>
    <row r="11" spans="1:18" ht="16.5" customHeight="1" x14ac:dyDescent="0.25">
      <c r="A11" s="199"/>
      <c r="H11" s="146"/>
      <c r="I11" s="146"/>
      <c r="J11" s="146"/>
      <c r="K11" s="146"/>
      <c r="M11" s="79"/>
      <c r="N11" s="79"/>
      <c r="O11" s="1"/>
      <c r="P11" s="200"/>
      <c r="Q11" s="200"/>
      <c r="R11" s="19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94" t="s">
        <v>143</v>
      </c>
      <c r="Q12" s="194"/>
      <c r="R12" s="195">
        <f>SUM(I7:I999)</f>
        <v>23679000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94"/>
      <c r="Q13" s="194"/>
      <c r="R13" s="195"/>
    </row>
    <row r="14" spans="1:18" ht="16.5" customHeight="1" x14ac:dyDescent="0.25">
      <c r="A14" s="191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94"/>
      <c r="Q14" s="194"/>
      <c r="R14" s="195"/>
    </row>
    <row r="15" spans="1:18" ht="22.5" x14ac:dyDescent="0.3">
      <c r="A15" s="191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96" t="s">
        <v>117</v>
      </c>
      <c r="Q15" s="196"/>
      <c r="R15" s="130">
        <f>SUM(J7:J98)</f>
        <v>23501000</v>
      </c>
    </row>
    <row r="16" spans="1:18" ht="16.5" x14ac:dyDescent="0.25">
      <c r="A16" s="191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91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91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91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91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91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91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91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91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9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9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93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93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19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sheetPr codeName="Sheet21"/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19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9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200" t="s">
        <v>29</v>
      </c>
      <c r="Q10" s="200"/>
      <c r="R10" s="195">
        <f>SUM(H7:H999)</f>
        <v>28993000</v>
      </c>
    </row>
    <row r="11" spans="1:18" ht="16.5" customHeight="1" x14ac:dyDescent="0.25">
      <c r="A11" s="199"/>
      <c r="H11" s="146"/>
      <c r="I11" s="146"/>
      <c r="J11" s="146"/>
      <c r="K11" s="146"/>
      <c r="M11" s="79"/>
      <c r="N11" s="79"/>
      <c r="O11" s="1"/>
      <c r="P11" s="200"/>
      <c r="Q11" s="200"/>
      <c r="R11" s="19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94" t="s">
        <v>143</v>
      </c>
      <c r="Q12" s="194"/>
      <c r="R12" s="195">
        <f>SUM(I7:I999)</f>
        <v>17395800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194"/>
      <c r="Q13" s="194"/>
      <c r="R13" s="195"/>
    </row>
    <row r="14" spans="1:18" ht="16.5" customHeight="1" x14ac:dyDescent="0.25">
      <c r="A14" s="191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94"/>
      <c r="Q14" s="194"/>
      <c r="R14" s="195"/>
    </row>
    <row r="15" spans="1:18" ht="22.5" x14ac:dyDescent="0.3">
      <c r="A15" s="191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196" t="s">
        <v>117</v>
      </c>
      <c r="Q15" s="196"/>
      <c r="R15" s="130">
        <f>SUM(J7:J98)</f>
        <v>17285000</v>
      </c>
    </row>
    <row r="16" spans="1:18" ht="16.5" x14ac:dyDescent="0.25">
      <c r="A16" s="191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91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191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91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91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91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91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91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91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9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9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93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93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9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sheetPr codeName="Sheet22"/>
  <dimension ref="A1:R40"/>
  <sheetViews>
    <sheetView zoomScale="85" zoomScaleNormal="85" workbookViewId="0">
      <selection activeCell="J7" sqref="J7:J1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19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9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200" t="s">
        <v>29</v>
      </c>
      <c r="Q10" s="200"/>
      <c r="R10" s="195">
        <f>SUM(H7:H999)</f>
        <v>23968000</v>
      </c>
    </row>
    <row r="11" spans="1:18" ht="16.5" customHeight="1" x14ac:dyDescent="0.25">
      <c r="A11" s="199"/>
      <c r="H11" s="146"/>
      <c r="I11" s="146"/>
      <c r="J11" s="146"/>
      <c r="K11" s="146"/>
      <c r="M11" s="79"/>
      <c r="N11" s="79"/>
      <c r="O11" s="1"/>
      <c r="P11" s="200"/>
      <c r="Q11" s="200"/>
      <c r="R11" s="19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94" t="s">
        <v>143</v>
      </c>
      <c r="Q12" s="194"/>
      <c r="R12" s="195">
        <f>SUM(I7:I999)</f>
        <v>14380800</v>
      </c>
    </row>
    <row r="13" spans="1:18" ht="22.5" customHeight="1" x14ac:dyDescent="0.25">
      <c r="A13" s="20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194"/>
      <c r="Q13" s="194"/>
      <c r="R13" s="195"/>
    </row>
    <row r="14" spans="1:18" ht="16.5" customHeight="1" x14ac:dyDescent="0.25">
      <c r="A14" s="20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194"/>
      <c r="Q14" s="194"/>
      <c r="R14" s="195"/>
    </row>
    <row r="15" spans="1:18" ht="22.5" customHeight="1" x14ac:dyDescent="0.3">
      <c r="A15" s="202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96" t="s">
        <v>117</v>
      </c>
      <c r="Q15" s="196"/>
      <c r="R15" s="130">
        <f>SUM(J7:J98)</f>
        <v>14555400</v>
      </c>
    </row>
    <row r="16" spans="1:18" ht="16.5" customHeight="1" x14ac:dyDescent="0.25">
      <c r="A16" s="202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202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202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20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20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0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02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02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202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202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202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202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02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202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202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R10:R11"/>
    <mergeCell ref="P12:Q14"/>
    <mergeCell ref="R12:R14"/>
    <mergeCell ref="P15:Q15"/>
    <mergeCell ref="A13:A30"/>
    <mergeCell ref="B3:K3"/>
    <mergeCell ref="A7:A11"/>
    <mergeCell ref="P10:Q11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sheetPr codeName="Sheet23"/>
  <dimension ref="A1:R40"/>
  <sheetViews>
    <sheetView topLeftCell="A2" zoomScale="85" zoomScaleNormal="85" workbookViewId="0">
      <selection activeCell="C23" sqref="C23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97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19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9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200" t="s">
        <v>29</v>
      </c>
      <c r="Q10" s="200"/>
      <c r="R10" s="195">
        <f>SUM(H7:H999)</f>
        <v>25750000</v>
      </c>
    </row>
    <row r="11" spans="1:18" ht="16.5" customHeight="1" x14ac:dyDescent="0.25">
      <c r="A11" s="199"/>
      <c r="H11" s="146"/>
      <c r="I11" s="146"/>
      <c r="J11" s="146"/>
      <c r="K11" s="146"/>
      <c r="M11" s="79"/>
      <c r="N11" s="79"/>
      <c r="O11" s="1"/>
      <c r="P11" s="200"/>
      <c r="Q11" s="200"/>
      <c r="R11" s="19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94" t="s">
        <v>143</v>
      </c>
      <c r="Q12" s="194"/>
      <c r="R12" s="195">
        <f>SUM(I7:I999)</f>
        <v>15450000</v>
      </c>
    </row>
    <row r="13" spans="1:18" ht="22.5" customHeight="1" x14ac:dyDescent="0.25">
      <c r="A13" s="20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194"/>
      <c r="Q13" s="194"/>
      <c r="R13" s="195"/>
    </row>
    <row r="14" spans="1:18" ht="16.5" customHeight="1" x14ac:dyDescent="0.25">
      <c r="A14" s="20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194"/>
      <c r="Q14" s="194"/>
      <c r="R14" s="195"/>
    </row>
    <row r="15" spans="1:18" ht="22.5" customHeight="1" x14ac:dyDescent="0.3">
      <c r="A15" s="202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96" t="s">
        <v>117</v>
      </c>
      <c r="Q15" s="196"/>
      <c r="R15" s="130">
        <f>SUM(J7:J98)</f>
        <v>15330000</v>
      </c>
    </row>
    <row r="16" spans="1:18" ht="16.5" customHeight="1" x14ac:dyDescent="0.25">
      <c r="A16" s="202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20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202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20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20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0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02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02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202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20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202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02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202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202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202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5FD-5190-4635-AD12-1012172823DC}">
  <sheetPr codeName="Sheet24"/>
  <dimension ref="A1:R40"/>
  <sheetViews>
    <sheetView topLeftCell="A2" zoomScale="85" zoomScaleNormal="85" workbookViewId="0">
      <selection activeCell="M18" sqref="M1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1200000</v>
      </c>
      <c r="I7" s="68">
        <f>H7*N$4</f>
        <v>720000</v>
      </c>
      <c r="J7" s="68">
        <v>720000</v>
      </c>
      <c r="K7" s="68">
        <f>I7-J7</f>
        <v>0</v>
      </c>
      <c r="L7" s="88" t="s">
        <v>26</v>
      </c>
      <c r="M7" s="136"/>
      <c r="N7" s="76"/>
      <c r="O7" s="1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1160000</v>
      </c>
      <c r="I8" s="68">
        <f>H8*N$4</f>
        <v>696000</v>
      </c>
      <c r="J8" s="68">
        <v>580000</v>
      </c>
      <c r="K8" s="68">
        <v>0</v>
      </c>
      <c r="L8" s="88" t="s">
        <v>26</v>
      </c>
      <c r="M8" s="76" t="s">
        <v>171</v>
      </c>
      <c r="N8" s="76"/>
      <c r="O8" s="1"/>
      <c r="P8" s="82" t="s">
        <v>72</v>
      </c>
    </row>
    <row r="9" spans="1:18" ht="16.5" customHeight="1" x14ac:dyDescent="0.25">
      <c r="A9" s="19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900000</v>
      </c>
      <c r="I9" s="68">
        <f>H9*N$4</f>
        <v>540000</v>
      </c>
      <c r="J9" s="74">
        <v>540000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9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1100000</v>
      </c>
      <c r="I10" s="68">
        <f>H10*N$4</f>
        <v>660000</v>
      </c>
      <c r="J10" s="74">
        <v>660000</v>
      </c>
      <c r="K10" s="68">
        <f t="shared" si="1"/>
        <v>0</v>
      </c>
      <c r="L10" s="88" t="s">
        <v>26</v>
      </c>
      <c r="M10" s="76"/>
      <c r="N10" s="76"/>
      <c r="O10" s="1"/>
      <c r="P10" s="200" t="s">
        <v>29</v>
      </c>
      <c r="Q10" s="200"/>
      <c r="R10" s="195">
        <f>SUM(H7:H999)</f>
        <v>24922000</v>
      </c>
    </row>
    <row r="11" spans="1:18" ht="16.5" customHeight="1" x14ac:dyDescent="0.25">
      <c r="A11" s="199"/>
      <c r="H11" s="146"/>
      <c r="I11" s="146"/>
      <c r="J11" s="146"/>
      <c r="K11" s="146"/>
      <c r="M11" s="79"/>
      <c r="N11" s="79"/>
      <c r="O11" s="1"/>
      <c r="P11" s="200"/>
      <c r="Q11" s="200"/>
      <c r="R11" s="19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94" t="s">
        <v>143</v>
      </c>
      <c r="Q12" s="194"/>
      <c r="R12" s="195">
        <f>SUM(I7:I999)</f>
        <v>14953200</v>
      </c>
    </row>
    <row r="13" spans="1:18" ht="22.5" customHeight="1" x14ac:dyDescent="0.25">
      <c r="A13" s="20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1410000</v>
      </c>
      <c r="I13" s="68">
        <f t="shared" ref="I13:I21" si="2">H13*N$4</f>
        <v>846000</v>
      </c>
      <c r="J13" s="68">
        <v>846000</v>
      </c>
      <c r="K13" s="68">
        <f t="shared" ref="K13:K21" si="3">I13-J13</f>
        <v>0</v>
      </c>
      <c r="L13" s="87" t="s">
        <v>69</v>
      </c>
      <c r="M13" s="76"/>
      <c r="N13" s="76"/>
      <c r="O13" s="1"/>
      <c r="P13" s="194"/>
      <c r="Q13" s="194"/>
      <c r="R13" s="195"/>
    </row>
    <row r="14" spans="1:18" ht="16.5" customHeight="1" x14ac:dyDescent="0.25">
      <c r="A14" s="20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1855000</v>
      </c>
      <c r="I14" s="68">
        <f t="shared" si="2"/>
        <v>1113000</v>
      </c>
      <c r="J14" s="74">
        <v>1113000</v>
      </c>
      <c r="K14" s="68">
        <f t="shared" si="3"/>
        <v>0</v>
      </c>
      <c r="L14" s="87" t="s">
        <v>69</v>
      </c>
      <c r="M14" s="79"/>
      <c r="N14" s="79"/>
      <c r="O14" s="1"/>
      <c r="P14" s="194"/>
      <c r="Q14" s="194"/>
      <c r="R14" s="195"/>
    </row>
    <row r="15" spans="1:18" ht="22.5" customHeight="1" x14ac:dyDescent="0.3">
      <c r="A15" s="202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1670000</v>
      </c>
      <c r="I15" s="68">
        <f t="shared" si="2"/>
        <v>1002000</v>
      </c>
      <c r="J15" s="74">
        <v>1002000</v>
      </c>
      <c r="K15" s="68">
        <f t="shared" si="3"/>
        <v>0</v>
      </c>
      <c r="L15" s="87" t="s">
        <v>69</v>
      </c>
      <c r="M15" s="76"/>
      <c r="N15" s="85"/>
      <c r="O15" s="1"/>
      <c r="P15" s="196" t="s">
        <v>117</v>
      </c>
      <c r="Q15" s="196"/>
      <c r="R15" s="130">
        <f>SUM(J7:J98)</f>
        <v>14843000</v>
      </c>
    </row>
    <row r="16" spans="1:18" ht="16.5" customHeight="1" x14ac:dyDescent="0.25">
      <c r="A16" s="202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145"/>
      <c r="M16" s="76"/>
      <c r="N16" s="76"/>
      <c r="O16" s="1"/>
      <c r="P16" s="1"/>
    </row>
    <row r="17" spans="1:16" ht="16.5" customHeight="1" x14ac:dyDescent="0.25">
      <c r="A17" s="20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1560000</v>
      </c>
      <c r="I17" s="68">
        <f t="shared" si="2"/>
        <v>936000</v>
      </c>
      <c r="J17" s="74">
        <v>936000</v>
      </c>
      <c r="K17" s="68">
        <f t="shared" si="3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202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930000</v>
      </c>
      <c r="I18" s="68">
        <f t="shared" si="2"/>
        <v>558000</v>
      </c>
      <c r="J18" s="74">
        <v>558000</v>
      </c>
      <c r="K18" s="68">
        <f t="shared" si="3"/>
        <v>0</v>
      </c>
      <c r="L18" s="87" t="s">
        <v>69</v>
      </c>
      <c r="M18" s="156" t="s">
        <v>173</v>
      </c>
      <c r="N18" s="76"/>
      <c r="O18" s="1"/>
      <c r="P18" s="1"/>
    </row>
    <row r="19" spans="1:16" ht="16.5" customHeight="1" x14ac:dyDescent="0.25">
      <c r="A19" s="20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1990000</v>
      </c>
      <c r="I19" s="68">
        <f t="shared" si="2"/>
        <v>1194000</v>
      </c>
      <c r="J19" s="68">
        <v>1200000</v>
      </c>
      <c r="K19" s="68">
        <f t="shared" si="3"/>
        <v>-6000</v>
      </c>
      <c r="L19" s="87" t="s">
        <v>69</v>
      </c>
      <c r="M19" s="76" t="s">
        <v>170</v>
      </c>
      <c r="N19" s="76"/>
      <c r="O19" s="1"/>
      <c r="P19" s="1"/>
    </row>
    <row r="20" spans="1:16" ht="16.5" customHeight="1" x14ac:dyDescent="0.25">
      <c r="A20" s="20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3850000</v>
      </c>
      <c r="I20" s="68">
        <f t="shared" si="2"/>
        <v>2310000</v>
      </c>
      <c r="J20" s="68">
        <v>2310000</v>
      </c>
      <c r="K20" s="68">
        <f t="shared" si="3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0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2952000</v>
      </c>
      <c r="I21" s="68">
        <f t="shared" si="2"/>
        <v>1771200</v>
      </c>
      <c r="J21" s="74">
        <v>1771000</v>
      </c>
      <c r="K21" s="68">
        <f t="shared" si="3"/>
        <v>200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02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02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1100000</v>
      </c>
      <c r="I23" s="132">
        <f>H23*N$4</f>
        <v>660000</v>
      </c>
      <c r="J23" s="132">
        <v>660000</v>
      </c>
      <c r="K23" s="132">
        <f>I23-J23</f>
        <v>0</v>
      </c>
      <c r="L23" s="87" t="s">
        <v>69</v>
      </c>
      <c r="M23" s="161" t="s">
        <v>174</v>
      </c>
      <c r="N23" s="79"/>
      <c r="O23" s="1"/>
      <c r="P23" s="1"/>
    </row>
    <row r="24" spans="1:16" ht="16.5" customHeight="1" x14ac:dyDescent="0.25">
      <c r="A24" s="202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510000</v>
      </c>
      <c r="I24" s="132">
        <f>H24*N$4</f>
        <v>306000</v>
      </c>
      <c r="J24" s="133">
        <v>306000</v>
      </c>
      <c r="K24" s="132">
        <f>I24-J24</f>
        <v>0</v>
      </c>
      <c r="L24" s="87" t="s">
        <v>69</v>
      </c>
      <c r="M24" s="161" t="s">
        <v>174</v>
      </c>
      <c r="N24" s="105"/>
      <c r="O24" s="1"/>
      <c r="P24" s="1"/>
    </row>
    <row r="25" spans="1:16" ht="16.5" x14ac:dyDescent="0.25">
      <c r="A25" s="20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1380000</v>
      </c>
      <c r="I25" s="132">
        <f>H25*N$4</f>
        <v>828000</v>
      </c>
      <c r="J25" s="68">
        <v>828000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202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1355000</v>
      </c>
      <c r="I26" s="132">
        <f>H26*N$4</f>
        <v>813000</v>
      </c>
      <c r="J26" s="133">
        <v>813000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02"/>
      <c r="B27" s="64">
        <f t="shared" si="4"/>
        <v>15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202"/>
      <c r="B28" s="64">
        <f t="shared" si="4"/>
        <v>16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202"/>
      <c r="B29" s="64">
        <f t="shared" si="4"/>
        <v>17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202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4D80E-10F6-44E2-9BC1-2E72F9A95066}">
  <sheetPr codeName="Sheet25"/>
  <dimension ref="A3:R39"/>
  <sheetViews>
    <sheetView topLeftCell="B1" zoomScale="85" zoomScaleNormal="85" workbookViewId="0">
      <selection activeCell="I19" sqref="I19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</row>
    <row r="4" spans="1:18" ht="30.75" x14ac:dyDescent="0.25">
      <c r="C4" s="117"/>
      <c r="D4" s="117"/>
      <c r="E4" s="117"/>
      <c r="H4" s="116" t="s">
        <v>172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H7*Q$18</f>
        <v>780000</v>
      </c>
      <c r="J7" s="68">
        <v>780000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H8*Q$18</f>
        <v>720000</v>
      </c>
      <c r="J8" s="68">
        <v>600000</v>
      </c>
      <c r="K8" s="68">
        <f t="shared" ref="K8:K10" si="0">I8-J8</f>
        <v>120000</v>
      </c>
      <c r="L8" s="88" t="s">
        <v>26</v>
      </c>
      <c r="M8" s="76" t="s">
        <v>176</v>
      </c>
      <c r="N8" s="76"/>
      <c r="P8" s="82" t="s">
        <v>72</v>
      </c>
    </row>
    <row r="9" spans="1:18" ht="16.5" customHeight="1" x14ac:dyDescent="0.25">
      <c r="A9" s="198"/>
      <c r="B9" s="64">
        <f t="shared" ref="B9:B10" si="1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>H9*Q$18</f>
        <v>480000</v>
      </c>
      <c r="J9" s="74">
        <v>480000</v>
      </c>
      <c r="K9" s="68">
        <f t="shared" si="0"/>
        <v>0</v>
      </c>
      <c r="L9" s="88" t="s">
        <v>26</v>
      </c>
      <c r="M9" s="115"/>
      <c r="N9" s="79"/>
    </row>
    <row r="10" spans="1:18" ht="16.5" customHeight="1" x14ac:dyDescent="0.25">
      <c r="A10" s="198"/>
      <c r="B10" s="64">
        <f t="shared" si="1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500000</v>
      </c>
      <c r="I10" s="68">
        <f>H10*Q$18</f>
        <v>300000</v>
      </c>
      <c r="J10" s="74">
        <v>300000</v>
      </c>
      <c r="K10" s="68">
        <f t="shared" si="0"/>
        <v>0</v>
      </c>
      <c r="L10" s="88" t="s">
        <v>26</v>
      </c>
      <c r="M10" s="76"/>
      <c r="N10" s="76"/>
      <c r="P10" s="203" t="s">
        <v>29</v>
      </c>
      <c r="Q10" s="203"/>
      <c r="R10" s="204">
        <f>SUM(H7:H999)</f>
        <v>21305000</v>
      </c>
    </row>
    <row r="11" spans="1:18" ht="16.5" customHeight="1" x14ac:dyDescent="0.25">
      <c r="A11" s="199"/>
      <c r="H11" s="26"/>
      <c r="I11" s="26"/>
      <c r="J11" s="26"/>
      <c r="K11" s="26"/>
      <c r="M11" s="79"/>
      <c r="N11" s="79"/>
      <c r="P11" s="203"/>
      <c r="Q11" s="203"/>
      <c r="R11" s="20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05" t="s">
        <v>143</v>
      </c>
      <c r="Q12" s="205"/>
      <c r="R12" s="204">
        <f>SUM(I7:I999)</f>
        <v>12783000</v>
      </c>
    </row>
    <row r="13" spans="1:18" ht="22.5" customHeight="1" x14ac:dyDescent="0.25">
      <c r="A13" s="20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1530000</v>
      </c>
      <c r="I13" s="68">
        <f>H13*Q$18</f>
        <v>918000</v>
      </c>
      <c r="J13" s="68">
        <v>918000</v>
      </c>
      <c r="K13" s="68">
        <f t="shared" ref="K13:K26" si="2">I13-J13</f>
        <v>0</v>
      </c>
      <c r="L13" s="87" t="s">
        <v>69</v>
      </c>
      <c r="M13" s="76"/>
      <c r="N13" s="76"/>
      <c r="P13" s="205"/>
      <c r="Q13" s="205"/>
      <c r="R13" s="204"/>
    </row>
    <row r="14" spans="1:18" ht="16.5" customHeight="1" x14ac:dyDescent="0.25">
      <c r="A14" s="20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1370000</v>
      </c>
      <c r="I14" s="68">
        <f>H14*Q$18</f>
        <v>822000</v>
      </c>
      <c r="J14" s="74">
        <v>822000</v>
      </c>
      <c r="K14" s="68">
        <f t="shared" si="2"/>
        <v>0</v>
      </c>
      <c r="L14" s="87" t="s">
        <v>69</v>
      </c>
      <c r="M14" s="79"/>
      <c r="N14" s="79"/>
      <c r="P14" s="205"/>
      <c r="Q14" s="205"/>
      <c r="R14" s="204"/>
    </row>
    <row r="15" spans="1:18" ht="22.5" customHeight="1" x14ac:dyDescent="0.3">
      <c r="A15" s="202"/>
      <c r="B15" s="64">
        <f t="shared" ref="B15:B30" si="3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2550000</v>
      </c>
      <c r="I15" s="68">
        <f>H15*Q$18</f>
        <v>1530000</v>
      </c>
      <c r="J15" s="74">
        <v>1530000</v>
      </c>
      <c r="K15" s="68">
        <f t="shared" si="2"/>
        <v>0</v>
      </c>
      <c r="L15" s="87" t="s">
        <v>69</v>
      </c>
      <c r="M15" s="76"/>
      <c r="N15" s="85"/>
      <c r="P15" s="206" t="s">
        <v>117</v>
      </c>
      <c r="Q15" s="206"/>
      <c r="R15" s="160">
        <f>SUM(J7:J98)</f>
        <v>12675000</v>
      </c>
    </row>
    <row r="16" spans="1:18" ht="16.5" customHeight="1" x14ac:dyDescent="0.25">
      <c r="A16" s="202"/>
      <c r="B16" s="64">
        <f t="shared" si="3"/>
        <v>4</v>
      </c>
      <c r="C16" s="77"/>
      <c r="D16" s="75"/>
      <c r="E16" s="75"/>
      <c r="F16" s="75"/>
      <c r="G16" s="75"/>
      <c r="H16" s="68"/>
      <c r="I16" s="68"/>
      <c r="J16" s="68"/>
      <c r="K16" s="68">
        <f t="shared" si="2"/>
        <v>0</v>
      </c>
      <c r="L16" s="105"/>
      <c r="M16" s="76"/>
      <c r="N16" s="76"/>
    </row>
    <row r="17" spans="1:17" ht="16.5" customHeight="1" x14ac:dyDescent="0.25">
      <c r="A17" s="202"/>
      <c r="B17" s="64">
        <f t="shared" si="3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1210000</v>
      </c>
      <c r="I17" s="68">
        <f>H17*Q$18</f>
        <v>726000</v>
      </c>
      <c r="J17" s="74">
        <v>726000</v>
      </c>
      <c r="K17" s="68">
        <f t="shared" si="2"/>
        <v>0</v>
      </c>
      <c r="L17" s="87" t="s">
        <v>69</v>
      </c>
      <c r="M17" s="80"/>
      <c r="N17" s="85"/>
    </row>
    <row r="18" spans="1:17" ht="16.5" customHeight="1" x14ac:dyDescent="0.3">
      <c r="A18" s="202"/>
      <c r="B18" s="64">
        <f t="shared" si="3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780000</v>
      </c>
      <c r="I18" s="68">
        <f>H18*Q$18</f>
        <v>468000</v>
      </c>
      <c r="J18" s="74">
        <v>468000</v>
      </c>
      <c r="K18" s="68">
        <f t="shared" si="2"/>
        <v>0</v>
      </c>
      <c r="L18" s="87" t="s">
        <v>69</v>
      </c>
      <c r="M18" s="76"/>
      <c r="N18" s="76"/>
      <c r="P18" s="157" t="s">
        <v>65</v>
      </c>
      <c r="Q18" s="162">
        <v>0.6</v>
      </c>
    </row>
    <row r="19" spans="1:17" ht="16.5" customHeight="1" x14ac:dyDescent="0.3">
      <c r="A19" s="202"/>
      <c r="B19" s="64">
        <f t="shared" si="3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1980000</v>
      </c>
      <c r="I19" s="68">
        <f>H19*Q$18</f>
        <v>1188000</v>
      </c>
      <c r="J19" s="68">
        <v>1200000</v>
      </c>
      <c r="K19" s="68">
        <f t="shared" si="2"/>
        <v>-12000</v>
      </c>
      <c r="L19" s="87" t="s">
        <v>69</v>
      </c>
      <c r="M19" s="76" t="s">
        <v>175</v>
      </c>
      <c r="N19" s="76"/>
      <c r="P19" s="157" t="s">
        <v>65</v>
      </c>
      <c r="Q19" s="163">
        <v>0.5</v>
      </c>
    </row>
    <row r="20" spans="1:17" ht="16.5" customHeight="1" x14ac:dyDescent="0.25">
      <c r="A20" s="202"/>
      <c r="B20" s="64">
        <f t="shared" si="3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3585000</v>
      </c>
      <c r="I20" s="68">
        <f>H20*Q$18</f>
        <v>2151000</v>
      </c>
      <c r="J20" s="68">
        <v>2151000</v>
      </c>
      <c r="K20" s="68">
        <f t="shared" si="2"/>
        <v>0</v>
      </c>
      <c r="L20" s="87" t="s">
        <v>69</v>
      </c>
      <c r="M20" s="79"/>
      <c r="N20" s="76"/>
    </row>
    <row r="21" spans="1:17" ht="16.5" customHeight="1" x14ac:dyDescent="0.25">
      <c r="A21" s="202"/>
      <c r="B21" s="64">
        <f t="shared" si="3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>H21*Q$18</f>
        <v>1086000</v>
      </c>
      <c r="J21" s="74">
        <v>1086000</v>
      </c>
      <c r="K21" s="68">
        <f t="shared" si="2"/>
        <v>0</v>
      </c>
      <c r="L21" s="87" t="s">
        <v>69</v>
      </c>
      <c r="M21" s="121" t="s">
        <v>124</v>
      </c>
      <c r="N21" s="76"/>
    </row>
    <row r="22" spans="1:17" ht="16.5" customHeight="1" x14ac:dyDescent="0.25">
      <c r="A22" s="202"/>
      <c r="B22" s="64">
        <f t="shared" si="3"/>
        <v>10</v>
      </c>
      <c r="C22" s="105"/>
      <c r="D22" s="105"/>
      <c r="E22" s="105"/>
      <c r="F22" s="105"/>
      <c r="G22" s="105"/>
      <c r="H22" s="105"/>
      <c r="I22" s="105"/>
      <c r="J22" s="105"/>
      <c r="K22" s="68">
        <f t="shared" si="2"/>
        <v>0</v>
      </c>
      <c r="L22" s="105"/>
      <c r="M22" s="105"/>
      <c r="N22" s="105"/>
    </row>
    <row r="23" spans="1:17" ht="16.5" customHeight="1" x14ac:dyDescent="0.25">
      <c r="A23" s="202"/>
      <c r="B23" s="64">
        <f t="shared" si="3"/>
        <v>11</v>
      </c>
      <c r="C23" s="65"/>
      <c r="D23" s="66"/>
      <c r="E23" s="66"/>
      <c r="F23" s="66"/>
      <c r="G23" s="75" t="s">
        <v>25</v>
      </c>
      <c r="H23" s="134"/>
      <c r="I23" s="132">
        <f>H23*Q$18</f>
        <v>0</v>
      </c>
      <c r="J23" s="132"/>
      <c r="K23" s="68">
        <f t="shared" si="2"/>
        <v>0</v>
      </c>
      <c r="L23" s="87"/>
      <c r="M23" s="105"/>
      <c r="N23" s="79"/>
    </row>
    <row r="24" spans="1:17" ht="16.5" customHeight="1" x14ac:dyDescent="0.25">
      <c r="A24" s="202"/>
      <c r="B24" s="64">
        <f t="shared" si="3"/>
        <v>12</v>
      </c>
      <c r="C24" s="65"/>
      <c r="D24" s="75"/>
      <c r="E24" s="75"/>
      <c r="F24" s="75"/>
      <c r="G24" s="64" t="s">
        <v>19</v>
      </c>
      <c r="H24" s="134"/>
      <c r="I24" s="132">
        <f>H24*Q$18</f>
        <v>0</v>
      </c>
      <c r="J24" s="133"/>
      <c r="K24" s="68">
        <f t="shared" si="2"/>
        <v>0</v>
      </c>
      <c r="L24" s="87"/>
      <c r="M24" s="105"/>
      <c r="N24" s="105"/>
    </row>
    <row r="25" spans="1:17" ht="16.5" x14ac:dyDescent="0.25">
      <c r="A25" s="202"/>
      <c r="B25" s="64">
        <f t="shared" si="3"/>
        <v>13</v>
      </c>
      <c r="C25" s="65" t="s">
        <v>148</v>
      </c>
      <c r="D25" s="110"/>
      <c r="E25" s="111"/>
      <c r="F25" s="111"/>
      <c r="G25" s="75" t="s">
        <v>56</v>
      </c>
      <c r="H25" s="68">
        <v>1560000</v>
      </c>
      <c r="I25" s="132">
        <f>H25*Q$18</f>
        <v>936000</v>
      </c>
      <c r="J25" s="68">
        <v>936000</v>
      </c>
      <c r="K25" s="68">
        <f t="shared" si="2"/>
        <v>0</v>
      </c>
      <c r="L25" s="87" t="s">
        <v>69</v>
      </c>
      <c r="M25" s="105"/>
      <c r="N25" s="105"/>
    </row>
    <row r="26" spans="1:17" ht="22.15" customHeight="1" x14ac:dyDescent="0.25">
      <c r="A26" s="202"/>
      <c r="B26" s="64">
        <f t="shared" si="3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1130000</v>
      </c>
      <c r="I26" s="132">
        <f>H26*Q$18</f>
        <v>678000</v>
      </c>
      <c r="J26" s="133">
        <v>678000</v>
      </c>
      <c r="K26" s="68">
        <f t="shared" si="2"/>
        <v>0</v>
      </c>
      <c r="L26" s="87" t="s">
        <v>69</v>
      </c>
      <c r="M26" s="136"/>
      <c r="N26" s="76"/>
    </row>
    <row r="27" spans="1:17" ht="20.45" customHeight="1" x14ac:dyDescent="0.25">
      <c r="A27" s="202"/>
      <c r="B27" s="64">
        <f t="shared" si="3"/>
        <v>15</v>
      </c>
      <c r="C27" s="105"/>
      <c r="D27" s="105"/>
      <c r="E27" s="105"/>
      <c r="F27" s="105"/>
      <c r="G27" s="75" t="s">
        <v>168</v>
      </c>
      <c r="H27" s="105"/>
      <c r="I27" s="105"/>
      <c r="J27" s="105"/>
      <c r="K27" s="105"/>
      <c r="L27" s="105"/>
      <c r="M27" s="136"/>
      <c r="N27" s="76"/>
    </row>
    <row r="28" spans="1:17" ht="16.5" customHeight="1" x14ac:dyDescent="0.25">
      <c r="A28" s="202"/>
      <c r="B28" s="64">
        <f t="shared" si="3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7" ht="16.5" customHeight="1" x14ac:dyDescent="0.25">
      <c r="A29" s="202"/>
      <c r="B29" s="64">
        <f t="shared" si="3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7" ht="16.5" customHeight="1" x14ac:dyDescent="0.25">
      <c r="A30" s="202"/>
      <c r="B30" s="64">
        <f t="shared" si="3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F6FAC-86C6-4EE5-A6C7-1B8C2165990C}">
  <dimension ref="A3:S39"/>
  <sheetViews>
    <sheetView zoomScale="85" zoomScaleNormal="85" workbookViewId="0">
      <selection activeCell="K11" sqref="K11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</row>
    <row r="4" spans="1:18" ht="30.75" x14ac:dyDescent="0.25">
      <c r="C4" s="117"/>
      <c r="D4" s="117"/>
      <c r="E4" s="117"/>
      <c r="H4" s="116" t="s">
        <v>180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IF(H7="",0,IF(H7&gt;1700000,H7*Q$19,H7*Q$18))</f>
        <v>870000</v>
      </c>
      <c r="J7" s="68">
        <v>870000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2300000</v>
      </c>
      <c r="I8" s="68">
        <f t="shared" ref="I8:I27" si="0">IF(H8="",0,IF(H8&gt;1700000,H8*Q$19,H8*Q$18))</f>
        <v>1150000</v>
      </c>
      <c r="J8" s="68">
        <v>1150000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198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 t="shared" si="0"/>
        <v>480000</v>
      </c>
      <c r="J9" s="74">
        <v>480000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198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P10" s="203" t="s">
        <v>29</v>
      </c>
      <c r="Q10" s="203"/>
      <c r="R10" s="204">
        <f>SUM(H7:H999)</f>
        <v>25660000</v>
      </c>
    </row>
    <row r="11" spans="1:18" ht="16.5" customHeight="1" x14ac:dyDescent="0.25">
      <c r="A11" s="199"/>
      <c r="H11" s="26"/>
      <c r="I11" s="26"/>
      <c r="J11" s="26"/>
      <c r="K11" s="26"/>
      <c r="M11" s="79"/>
      <c r="N11" s="79"/>
      <c r="P11" s="203"/>
      <c r="Q11" s="203"/>
      <c r="R11" s="20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05" t="s">
        <v>143</v>
      </c>
      <c r="Q12" s="205"/>
      <c r="R12" s="204">
        <f>SUM(I7:I999)</f>
        <v>13375000</v>
      </c>
    </row>
    <row r="13" spans="1:18" ht="22.5" customHeight="1" x14ac:dyDescent="0.25">
      <c r="A13" s="20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2190000</v>
      </c>
      <c r="I13" s="68">
        <f t="shared" si="0"/>
        <v>1095000</v>
      </c>
      <c r="J13" s="68">
        <v>1095000</v>
      </c>
      <c r="K13" s="68">
        <f t="shared" ref="K13:K26" si="3">I13-J13</f>
        <v>0</v>
      </c>
      <c r="L13" s="87" t="s">
        <v>69</v>
      </c>
      <c r="M13" s="76"/>
      <c r="N13" s="76"/>
      <c r="P13" s="205"/>
      <c r="Q13" s="205"/>
      <c r="R13" s="204"/>
    </row>
    <row r="14" spans="1:18" ht="16.5" customHeight="1" x14ac:dyDescent="0.25">
      <c r="A14" s="20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1500000</v>
      </c>
      <c r="I14" s="68">
        <f t="shared" si="0"/>
        <v>900000</v>
      </c>
      <c r="J14" s="74">
        <v>900000</v>
      </c>
      <c r="K14" s="68">
        <f t="shared" si="3"/>
        <v>0</v>
      </c>
      <c r="L14" s="87" t="s">
        <v>69</v>
      </c>
      <c r="M14" s="79"/>
      <c r="N14" s="79"/>
      <c r="P14" s="205"/>
      <c r="Q14" s="205"/>
      <c r="R14" s="204"/>
    </row>
    <row r="15" spans="1:18" ht="22.5" customHeight="1" x14ac:dyDescent="0.3">
      <c r="A15" s="202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1760000</v>
      </c>
      <c r="I15" s="68">
        <f t="shared" si="0"/>
        <v>880000</v>
      </c>
      <c r="J15" s="74">
        <v>880000</v>
      </c>
      <c r="K15" s="68">
        <f t="shared" si="3"/>
        <v>0</v>
      </c>
      <c r="L15" s="87" t="s">
        <v>69</v>
      </c>
      <c r="M15" s="76"/>
      <c r="N15" s="85"/>
      <c r="P15" s="206" t="s">
        <v>117</v>
      </c>
      <c r="Q15" s="206"/>
      <c r="R15" s="160">
        <f>SUM(J7:J98)</f>
        <v>13500000</v>
      </c>
    </row>
    <row r="16" spans="1:18" ht="16.5" customHeight="1" x14ac:dyDescent="0.25">
      <c r="A16" s="202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105"/>
      <c r="M16" s="76"/>
      <c r="N16" s="76"/>
    </row>
    <row r="17" spans="1:19" ht="16.5" customHeight="1" x14ac:dyDescent="0.25">
      <c r="A17" s="20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2440000</v>
      </c>
      <c r="I17" s="68">
        <f t="shared" si="0"/>
        <v>1220000</v>
      </c>
      <c r="J17" s="74">
        <v>1220000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02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300000</v>
      </c>
      <c r="I18" s="68">
        <f t="shared" si="0"/>
        <v>180000</v>
      </c>
      <c r="J18" s="74">
        <v>300000</v>
      </c>
      <c r="K18" s="68">
        <f t="shared" si="3"/>
        <v>-120000</v>
      </c>
      <c r="L18" s="87" t="s">
        <v>69</v>
      </c>
      <c r="M18" s="76" t="s">
        <v>181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0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2370000</v>
      </c>
      <c r="I19" s="68">
        <f t="shared" si="0"/>
        <v>1185000</v>
      </c>
      <c r="J19" s="68">
        <v>1190000</v>
      </c>
      <c r="K19" s="68">
        <f t="shared" si="3"/>
        <v>-5000</v>
      </c>
      <c r="L19" s="87" t="s">
        <v>69</v>
      </c>
      <c r="M19" s="76" t="s">
        <v>179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0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3600000</v>
      </c>
      <c r="I20" s="68">
        <f t="shared" si="0"/>
        <v>1800000</v>
      </c>
      <c r="J20" s="68">
        <v>1800000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0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 t="shared" si="0"/>
        <v>905000</v>
      </c>
      <c r="J21" s="74">
        <v>905000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02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02"/>
      <c r="B23" s="64">
        <f t="shared" si="4"/>
        <v>11</v>
      </c>
      <c r="C23" s="65"/>
      <c r="D23" s="66"/>
      <c r="E23" s="66"/>
      <c r="F23" s="66"/>
      <c r="G23" s="75" t="s">
        <v>25</v>
      </c>
      <c r="H23" s="134"/>
      <c r="I23" s="68">
        <f t="shared" si="0"/>
        <v>0</v>
      </c>
      <c r="J23" s="132"/>
      <c r="K23" s="68">
        <f t="shared" si="3"/>
        <v>0</v>
      </c>
      <c r="L23" s="87"/>
      <c r="M23" s="105"/>
      <c r="N23" s="79"/>
    </row>
    <row r="24" spans="1:19" ht="16.5" customHeight="1" x14ac:dyDescent="0.25">
      <c r="A24" s="202"/>
      <c r="B24" s="64">
        <f t="shared" si="4"/>
        <v>12</v>
      </c>
      <c r="C24" s="65"/>
      <c r="D24" s="75"/>
      <c r="E24" s="75"/>
      <c r="F24" s="75"/>
      <c r="G24" s="64" t="s">
        <v>19</v>
      </c>
      <c r="H24" s="134"/>
      <c r="I24" s="68">
        <f t="shared" si="0"/>
        <v>0</v>
      </c>
      <c r="J24" s="133"/>
      <c r="K24" s="68">
        <f>I24-J24</f>
        <v>0</v>
      </c>
      <c r="L24" s="87"/>
      <c r="M24" s="105"/>
      <c r="N24" s="105"/>
    </row>
    <row r="25" spans="1:19" ht="16.5" x14ac:dyDescent="0.25">
      <c r="A25" s="20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2010000</v>
      </c>
      <c r="I25" s="68">
        <f t="shared" si="0"/>
        <v>1005000</v>
      </c>
      <c r="J25" s="68">
        <v>1005000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02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1730000</v>
      </c>
      <c r="I26" s="68">
        <f t="shared" si="0"/>
        <v>865000</v>
      </c>
      <c r="J26" s="133">
        <v>865000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202"/>
      <c r="B27" s="64">
        <f t="shared" si="4"/>
        <v>15</v>
      </c>
      <c r="C27" s="105"/>
      <c r="D27" s="105"/>
      <c r="E27" s="105"/>
      <c r="F27" s="105"/>
      <c r="G27" s="75" t="s">
        <v>168</v>
      </c>
      <c r="H27" s="105"/>
      <c r="I27" s="68">
        <f t="shared" si="0"/>
        <v>0</v>
      </c>
      <c r="J27" s="105"/>
      <c r="K27" s="105"/>
      <c r="L27" s="105"/>
      <c r="M27" s="136"/>
      <c r="N27" s="76"/>
    </row>
    <row r="28" spans="1:19" ht="16.5" customHeight="1" x14ac:dyDescent="0.25">
      <c r="A28" s="202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02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02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C21C-77CD-43F0-AFA0-F349FDF4E652}">
  <dimension ref="A3:S39"/>
  <sheetViews>
    <sheetView zoomScale="85" zoomScaleNormal="85" workbookViewId="0">
      <selection activeCell="C18" sqref="C18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</row>
    <row r="4" spans="1:18" ht="30.75" x14ac:dyDescent="0.25">
      <c r="C4" s="117"/>
      <c r="D4" s="117"/>
      <c r="E4" s="117"/>
      <c r="H4" s="116" t="s">
        <v>183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1540000</v>
      </c>
      <c r="I7" s="68">
        <f>IF(H7="",0,IF(H7&gt;1700000,H7*Q$19,H7*Q$18))</f>
        <v>924000</v>
      </c>
      <c r="J7" s="68">
        <v>930000</v>
      </c>
      <c r="K7" s="68">
        <f>I7-J7</f>
        <v>-6000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 t="shared" ref="I8:I27" si="0">IF(H8="",0,IF(H8&gt;1700000,H8*Q$19,H8*Q$18))</f>
        <v>900000</v>
      </c>
      <c r="J8" s="68">
        <v>900000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198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1050000</v>
      </c>
      <c r="I9" s="68">
        <f t="shared" si="0"/>
        <v>630000</v>
      </c>
      <c r="J9" s="74">
        <v>630000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198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203" t="s">
        <v>29</v>
      </c>
      <c r="Q10" s="203"/>
      <c r="R10" s="204">
        <f>SUM(H7:H999)</f>
        <v>25245000</v>
      </c>
    </row>
    <row r="11" spans="1:18" ht="16.5" customHeight="1" x14ac:dyDescent="0.25">
      <c r="A11" s="199"/>
      <c r="H11" s="26"/>
      <c r="I11" s="26"/>
      <c r="J11" s="26"/>
      <c r="K11" s="26"/>
      <c r="M11" s="79"/>
      <c r="N11" s="79"/>
      <c r="P11" s="203"/>
      <c r="Q11" s="203"/>
      <c r="R11" s="20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05" t="s">
        <v>143</v>
      </c>
      <c r="Q12" s="205"/>
      <c r="R12" s="204">
        <f>SUM(I7:I999)</f>
        <v>13121500</v>
      </c>
    </row>
    <row r="13" spans="1:18" ht="22.5" customHeight="1" x14ac:dyDescent="0.25">
      <c r="A13" s="20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2440000</v>
      </c>
      <c r="I13" s="68">
        <f t="shared" si="0"/>
        <v>1220000</v>
      </c>
      <c r="J13" s="68">
        <v>1220000</v>
      </c>
      <c r="K13" s="68">
        <f t="shared" ref="K13:K26" si="3">I13-J13</f>
        <v>0</v>
      </c>
      <c r="L13" s="87" t="s">
        <v>69</v>
      </c>
      <c r="M13" s="76"/>
      <c r="N13" s="76"/>
      <c r="P13" s="205"/>
      <c r="Q13" s="205"/>
      <c r="R13" s="204"/>
    </row>
    <row r="14" spans="1:18" ht="16.5" customHeight="1" x14ac:dyDescent="0.25">
      <c r="A14" s="20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1860000</v>
      </c>
      <c r="I14" s="68">
        <f t="shared" si="0"/>
        <v>930000</v>
      </c>
      <c r="J14" s="74">
        <v>930000</v>
      </c>
      <c r="K14" s="68">
        <f t="shared" si="3"/>
        <v>0</v>
      </c>
      <c r="L14" s="87" t="s">
        <v>69</v>
      </c>
      <c r="M14" s="79"/>
      <c r="N14" s="79"/>
      <c r="P14" s="205"/>
      <c r="Q14" s="205"/>
      <c r="R14" s="204"/>
    </row>
    <row r="15" spans="1:18" ht="22.5" customHeight="1" x14ac:dyDescent="0.3">
      <c r="A15" s="202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1850000</v>
      </c>
      <c r="I15" s="68">
        <f t="shared" si="0"/>
        <v>925000</v>
      </c>
      <c r="J15" s="74">
        <v>925000</v>
      </c>
      <c r="K15" s="68">
        <f t="shared" si="3"/>
        <v>0</v>
      </c>
      <c r="L15" s="87" t="s">
        <v>69</v>
      </c>
      <c r="M15" s="76"/>
      <c r="N15" s="85"/>
      <c r="P15" s="206" t="s">
        <v>117</v>
      </c>
      <c r="Q15" s="206"/>
      <c r="R15" s="160">
        <f>SUM(J7:J98)</f>
        <v>13128000</v>
      </c>
    </row>
    <row r="16" spans="1:18" ht="16.5" customHeight="1" x14ac:dyDescent="0.25">
      <c r="A16" s="202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20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1850000</v>
      </c>
      <c r="I17" s="68">
        <f t="shared" si="0"/>
        <v>925000</v>
      </c>
      <c r="J17" s="74">
        <v>925000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02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0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900000</v>
      </c>
      <c r="I19" s="68">
        <f t="shared" si="0"/>
        <v>540000</v>
      </c>
      <c r="J19" s="68">
        <v>540000</v>
      </c>
      <c r="K19" s="68">
        <f t="shared" si="3"/>
        <v>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0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4400000</v>
      </c>
      <c r="I20" s="68">
        <f t="shared" si="0"/>
        <v>2200000</v>
      </c>
      <c r="J20" s="68">
        <v>2200000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0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1710000</v>
      </c>
      <c r="I21" s="68">
        <f t="shared" si="0"/>
        <v>855000</v>
      </c>
      <c r="J21" s="74">
        <v>855000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02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02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202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20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2370000</v>
      </c>
      <c r="I25" s="68">
        <f t="shared" si="0"/>
        <v>1185000</v>
      </c>
      <c r="J25" s="68">
        <v>1185000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02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1975000</v>
      </c>
      <c r="I26" s="68">
        <f t="shared" si="0"/>
        <v>987500</v>
      </c>
      <c r="J26" s="133">
        <v>988000</v>
      </c>
      <c r="K26" s="68">
        <f t="shared" si="3"/>
        <v>-500</v>
      </c>
      <c r="L26" s="87" t="s">
        <v>69</v>
      </c>
      <c r="M26" s="136"/>
      <c r="N26" s="76"/>
    </row>
    <row r="27" spans="1:19" ht="20.45" customHeight="1" x14ac:dyDescent="0.25">
      <c r="A27" s="202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202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02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02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824A-5CD7-422B-BA7A-5CBF215537AD}">
  <dimension ref="A3:S39"/>
  <sheetViews>
    <sheetView zoomScale="85" zoomScaleNormal="85" workbookViewId="0">
      <selection activeCell="Q28" sqref="Q28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</row>
    <row r="4" spans="1:18" ht="30.75" x14ac:dyDescent="0.25">
      <c r="C4" s="117"/>
      <c r="D4" s="117"/>
      <c r="E4" s="117"/>
      <c r="H4" s="116" t="s">
        <v>187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IF(H7="",0,IF(H7&gt;1700000,H7*Q$19,H7*Q$18))</f>
        <v>900000</v>
      </c>
      <c r="J7" s="68">
        <v>900000</v>
      </c>
      <c r="K7" s="68">
        <f>I7-J7</f>
        <v>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19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27" si="0">IF(H8="",0,IF(H8&gt;1700000,H8*Q$19,H8*Q$18))</f>
        <v>720000</v>
      </c>
      <c r="J8" s="68">
        <v>600000</v>
      </c>
      <c r="K8" s="68">
        <f t="shared" ref="K8:K10" si="1">I8-J8</f>
        <v>120000</v>
      </c>
      <c r="L8" s="88" t="s">
        <v>26</v>
      </c>
      <c r="M8" s="76" t="s">
        <v>185</v>
      </c>
      <c r="N8" s="76"/>
      <c r="P8" s="82" t="s">
        <v>72</v>
      </c>
    </row>
    <row r="9" spans="1:18" ht="16.5" customHeight="1" x14ac:dyDescent="0.25">
      <c r="A9" s="198"/>
      <c r="B9" s="64">
        <f t="shared" ref="B9:B10" si="2">B8+1</f>
        <v>3</v>
      </c>
      <c r="C9" s="153" t="s">
        <v>134</v>
      </c>
      <c r="D9" s="152" t="s">
        <v>101</v>
      </c>
      <c r="E9" s="152">
        <v>70081001153</v>
      </c>
      <c r="F9" s="152" t="s">
        <v>102</v>
      </c>
      <c r="G9" s="152" t="s">
        <v>83</v>
      </c>
      <c r="H9" s="143">
        <v>430000</v>
      </c>
      <c r="I9" s="143">
        <f t="shared" si="0"/>
        <v>258000</v>
      </c>
      <c r="J9" s="144">
        <v>260000</v>
      </c>
      <c r="K9" s="143">
        <f t="shared" si="1"/>
        <v>-2000</v>
      </c>
      <c r="L9" s="150" t="s">
        <v>26</v>
      </c>
      <c r="M9" s="172" t="s">
        <v>186</v>
      </c>
      <c r="N9" s="79"/>
    </row>
    <row r="10" spans="1:18" ht="16.5" customHeight="1" x14ac:dyDescent="0.25">
      <c r="A10" s="198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203" t="s">
        <v>29</v>
      </c>
      <c r="Q10" s="203"/>
      <c r="R10" s="204">
        <f>SUM(H7:H999)</f>
        <v>22790000</v>
      </c>
    </row>
    <row r="11" spans="1:18" ht="16.5" customHeight="1" x14ac:dyDescent="0.25">
      <c r="A11" s="199"/>
      <c r="H11" s="26"/>
      <c r="I11" s="26"/>
      <c r="J11" s="26"/>
      <c r="K11" s="26"/>
      <c r="M11" s="79"/>
      <c r="N11" s="79"/>
      <c r="P11" s="203"/>
      <c r="Q11" s="203"/>
      <c r="R11" s="20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05" t="s">
        <v>143</v>
      </c>
      <c r="Q12" s="205"/>
      <c r="R12" s="204">
        <f>SUM(I7:I999)</f>
        <v>12103000</v>
      </c>
    </row>
    <row r="13" spans="1:18" ht="22.5" customHeight="1" x14ac:dyDescent="0.25">
      <c r="A13" s="20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2050000</v>
      </c>
      <c r="I13" s="68">
        <f t="shared" si="0"/>
        <v>1025000</v>
      </c>
      <c r="J13" s="68">
        <v>1025000</v>
      </c>
      <c r="K13" s="68">
        <f t="shared" ref="K13:K26" si="3">I13-J13</f>
        <v>0</v>
      </c>
      <c r="L13" s="87" t="s">
        <v>69</v>
      </c>
      <c r="M13" s="76"/>
      <c r="N13" s="76"/>
      <c r="P13" s="205"/>
      <c r="Q13" s="205"/>
      <c r="R13" s="204"/>
    </row>
    <row r="14" spans="1:18" ht="16.5" customHeight="1" x14ac:dyDescent="0.25">
      <c r="A14" s="20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1270000</v>
      </c>
      <c r="I14" s="68">
        <f t="shared" si="0"/>
        <v>762000</v>
      </c>
      <c r="J14" s="74">
        <v>762000</v>
      </c>
      <c r="K14" s="68">
        <f t="shared" si="3"/>
        <v>0</v>
      </c>
      <c r="L14" s="87" t="s">
        <v>69</v>
      </c>
      <c r="M14" s="79"/>
      <c r="N14" s="79"/>
      <c r="P14" s="205"/>
      <c r="Q14" s="205"/>
      <c r="R14" s="204"/>
    </row>
    <row r="15" spans="1:18" ht="22.5" customHeight="1" x14ac:dyDescent="0.3">
      <c r="A15" s="202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1180000</v>
      </c>
      <c r="I15" s="68">
        <f t="shared" si="0"/>
        <v>708000</v>
      </c>
      <c r="J15" s="74">
        <v>708000</v>
      </c>
      <c r="K15" s="68">
        <f t="shared" si="3"/>
        <v>0</v>
      </c>
      <c r="L15" s="87" t="s">
        <v>69</v>
      </c>
      <c r="M15" s="76"/>
      <c r="N15" s="85"/>
      <c r="P15" s="206" t="s">
        <v>117</v>
      </c>
      <c r="Q15" s="206"/>
      <c r="R15" s="160">
        <f>SUM(J7:J98)</f>
        <v>12000000</v>
      </c>
    </row>
    <row r="16" spans="1:18" ht="16.5" customHeight="1" x14ac:dyDescent="0.25">
      <c r="A16" s="202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20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2100000</v>
      </c>
      <c r="I17" s="68">
        <f t="shared" si="0"/>
        <v>1050000</v>
      </c>
      <c r="J17" s="74">
        <v>1050000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02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0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2570000</v>
      </c>
      <c r="I19" s="68">
        <f t="shared" si="0"/>
        <v>1285000</v>
      </c>
      <c r="J19" s="68">
        <v>1300000</v>
      </c>
      <c r="K19" s="68">
        <f t="shared" si="3"/>
        <v>-15000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0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2650000</v>
      </c>
      <c r="I20" s="68">
        <f t="shared" si="0"/>
        <v>1325000</v>
      </c>
      <c r="J20" s="68">
        <v>1325000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0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2060000</v>
      </c>
      <c r="I21" s="68">
        <f t="shared" si="0"/>
        <v>1030000</v>
      </c>
      <c r="J21" s="74">
        <v>1030000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02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02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202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20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2000000</v>
      </c>
      <c r="I25" s="68">
        <f t="shared" si="0"/>
        <v>1000000</v>
      </c>
      <c r="J25" s="68">
        <v>1000000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02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2280000</v>
      </c>
      <c r="I26" s="68">
        <f t="shared" si="0"/>
        <v>1140000</v>
      </c>
      <c r="J26" s="133">
        <v>1140000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202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202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02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02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04A6-898E-4DE4-9643-262E8A2E287A}">
  <dimension ref="A3:S39"/>
  <sheetViews>
    <sheetView zoomScale="85" zoomScaleNormal="85" workbookViewId="0">
      <selection activeCell="R29" sqref="R29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</row>
    <row r="4" spans="1:18" ht="30.75" x14ac:dyDescent="0.25">
      <c r="C4" s="117"/>
      <c r="D4" s="117"/>
      <c r="E4" s="117"/>
      <c r="H4" s="116" t="s">
        <v>190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IF(H7="",0,IF(H7&gt;=1700000,H7*Q$19,H7*Q$18))</f>
        <v>870000</v>
      </c>
      <c r="J7" s="68">
        <v>870000</v>
      </c>
      <c r="K7" s="68">
        <f>I7-J7</f>
        <v>0</v>
      </c>
      <c r="L7" s="69" t="s">
        <v>26</v>
      </c>
      <c r="M7" s="136"/>
      <c r="N7" s="76"/>
      <c r="P7" s="88" t="s">
        <v>26</v>
      </c>
    </row>
    <row r="8" spans="1:18" ht="16.5" customHeight="1" x14ac:dyDescent="0.25">
      <c r="A8" s="198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0" si="0">IF(H8="",0,IF(H8&gt;=1700000,H8*Q$19,H8*Q$18))</f>
        <v>0</v>
      </c>
      <c r="J8" s="68"/>
      <c r="K8" s="68">
        <f t="shared" ref="K8:K10" si="1">I8-J8</f>
        <v>0</v>
      </c>
      <c r="L8" s="69"/>
      <c r="M8" s="76"/>
      <c r="N8" s="76"/>
      <c r="P8" s="82" t="s">
        <v>72</v>
      </c>
    </row>
    <row r="9" spans="1:18" ht="16.5" customHeight="1" x14ac:dyDescent="0.25">
      <c r="A9" s="198"/>
      <c r="B9" s="64">
        <f t="shared" ref="B9:B10" si="2">B8+1</f>
        <v>3</v>
      </c>
      <c r="C9" s="65" t="s">
        <v>188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 t="shared" si="0"/>
        <v>420000</v>
      </c>
      <c r="J9" s="74">
        <v>350000</v>
      </c>
      <c r="K9" s="68">
        <v>0</v>
      </c>
      <c r="L9" s="69" t="s">
        <v>26</v>
      </c>
      <c r="M9" s="76" t="s">
        <v>189</v>
      </c>
      <c r="N9" s="79"/>
    </row>
    <row r="10" spans="1:18" ht="16.5" customHeight="1" x14ac:dyDescent="0.25">
      <c r="A10" s="198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73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69" t="s">
        <v>26</v>
      </c>
      <c r="M10" s="76" t="s">
        <v>192</v>
      </c>
      <c r="N10" s="76"/>
      <c r="P10" s="203" t="s">
        <v>29</v>
      </c>
      <c r="Q10" s="203"/>
      <c r="R10" s="204">
        <f>SUM(H7:H999)</f>
        <v>18585000</v>
      </c>
    </row>
    <row r="11" spans="1:18" ht="16.5" customHeight="1" x14ac:dyDescent="0.25">
      <c r="A11" s="199"/>
      <c r="C11" s="175"/>
      <c r="D11" s="175"/>
      <c r="E11" s="175"/>
      <c r="F11" s="175"/>
      <c r="G11" s="175"/>
      <c r="H11" s="176"/>
      <c r="I11" s="176"/>
      <c r="J11" s="176"/>
      <c r="K11" s="176"/>
      <c r="L11" s="175"/>
      <c r="M11" s="79"/>
      <c r="N11" s="79"/>
      <c r="P11" s="203"/>
      <c r="Q11" s="203"/>
      <c r="R11" s="20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05" t="s">
        <v>143</v>
      </c>
      <c r="Q12" s="205"/>
      <c r="R12" s="204">
        <f>SUM(I7:I999)</f>
        <v>10091000</v>
      </c>
    </row>
    <row r="13" spans="1:18" ht="22.5" customHeight="1" x14ac:dyDescent="0.25">
      <c r="A13" s="20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2530000</v>
      </c>
      <c r="I13" s="68">
        <f>IF(H13="",0,IF(H13&gt;=1700000,H13*Q$19,H13*Q$18))</f>
        <v>1265000</v>
      </c>
      <c r="J13" s="68">
        <v>1265000</v>
      </c>
      <c r="K13" s="68">
        <f t="shared" ref="K13:K26" si="3">I13-J13</f>
        <v>0</v>
      </c>
      <c r="L13" s="69" t="s">
        <v>69</v>
      </c>
      <c r="M13" s="76"/>
      <c r="N13" s="76"/>
      <c r="P13" s="205"/>
      <c r="Q13" s="205"/>
      <c r="R13" s="204"/>
    </row>
    <row r="14" spans="1:18" ht="16.5" customHeight="1" x14ac:dyDescent="0.25">
      <c r="A14" s="20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1410000</v>
      </c>
      <c r="I14" s="68">
        <f t="shared" ref="I14:I20" si="4">IF(H14="",0,IF(H14&gt;=1700000,H14*Q$19,H14*Q$18))</f>
        <v>846000</v>
      </c>
      <c r="J14" s="74">
        <v>846000</v>
      </c>
      <c r="K14" s="68">
        <f t="shared" si="3"/>
        <v>0</v>
      </c>
      <c r="L14" s="69" t="s">
        <v>69</v>
      </c>
      <c r="M14" s="79"/>
      <c r="N14" s="79"/>
      <c r="P14" s="205"/>
      <c r="Q14" s="205"/>
      <c r="R14" s="204"/>
    </row>
    <row r="15" spans="1:18" ht="22.5" customHeight="1" x14ac:dyDescent="0.3">
      <c r="A15" s="202"/>
      <c r="B15" s="64">
        <f t="shared" ref="B15:B30" si="5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1280000</v>
      </c>
      <c r="I15" s="68">
        <f t="shared" si="4"/>
        <v>768000</v>
      </c>
      <c r="J15" s="74">
        <v>768000</v>
      </c>
      <c r="K15" s="68">
        <f t="shared" si="3"/>
        <v>0</v>
      </c>
      <c r="L15" s="69" t="s">
        <v>69</v>
      </c>
      <c r="M15" s="174" t="s">
        <v>191</v>
      </c>
      <c r="N15" s="85"/>
      <c r="P15" s="206" t="s">
        <v>117</v>
      </c>
      <c r="Q15" s="206"/>
      <c r="R15" s="160">
        <f>SUM(J7:J98)</f>
        <v>10021000</v>
      </c>
    </row>
    <row r="16" spans="1:18" ht="16.5" customHeight="1" x14ac:dyDescent="0.25">
      <c r="A16" s="202"/>
      <c r="B16" s="64">
        <f t="shared" si="5"/>
        <v>4</v>
      </c>
      <c r="C16" s="77"/>
      <c r="D16" s="75"/>
      <c r="E16" s="75"/>
      <c r="F16" s="75"/>
      <c r="G16" s="75"/>
      <c r="H16" s="68"/>
      <c r="I16" s="68">
        <f>IF(H16="",0,IF(H16&gt;=1700000,H16*Q$19,H16*Q$18))</f>
        <v>0</v>
      </c>
      <c r="J16" s="68"/>
      <c r="K16" s="68">
        <f t="shared" si="3"/>
        <v>0</v>
      </c>
      <c r="L16" s="69"/>
      <c r="M16" s="76"/>
      <c r="N16" s="76"/>
    </row>
    <row r="17" spans="1:19" ht="16.5" customHeight="1" x14ac:dyDescent="0.25">
      <c r="A17" s="202"/>
      <c r="B17" s="64">
        <f t="shared" si="5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1155000</v>
      </c>
      <c r="I17" s="68">
        <f t="shared" si="4"/>
        <v>693000</v>
      </c>
      <c r="J17" s="74">
        <v>693000</v>
      </c>
      <c r="K17" s="68">
        <f t="shared" si="3"/>
        <v>0</v>
      </c>
      <c r="L17" s="69" t="s">
        <v>69</v>
      </c>
      <c r="M17" s="80"/>
      <c r="N17" s="85"/>
    </row>
    <row r="18" spans="1:19" ht="16.5" customHeight="1" x14ac:dyDescent="0.3">
      <c r="A18" s="202"/>
      <c r="B18" s="64">
        <f t="shared" si="5"/>
        <v>6</v>
      </c>
      <c r="C18" s="77"/>
      <c r="D18" s="75" t="s">
        <v>63</v>
      </c>
      <c r="E18" s="81">
        <v>91085001515</v>
      </c>
      <c r="F18" s="66" t="s">
        <v>18</v>
      </c>
      <c r="G18" s="75" t="s">
        <v>57</v>
      </c>
      <c r="H18" s="68"/>
      <c r="I18" s="68">
        <f>IF(H18="",0,IF(H18&gt;=1700000,H18*Q$19,H18*Q$18))</f>
        <v>0</v>
      </c>
      <c r="J18" s="74"/>
      <c r="K18" s="68">
        <f t="shared" si="3"/>
        <v>0</v>
      </c>
      <c r="L18" s="131"/>
      <c r="M18" s="76"/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02"/>
      <c r="B19" s="64">
        <f t="shared" si="5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1700000</v>
      </c>
      <c r="I19" s="68">
        <f t="shared" si="4"/>
        <v>850000</v>
      </c>
      <c r="J19" s="68">
        <v>850000</v>
      </c>
      <c r="K19" s="68">
        <f t="shared" si="3"/>
        <v>0</v>
      </c>
      <c r="L19" s="69" t="s">
        <v>69</v>
      </c>
      <c r="M19" s="174" t="s">
        <v>191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02"/>
      <c r="B20" s="64">
        <f t="shared" si="5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590000</v>
      </c>
      <c r="I20" s="68">
        <f t="shared" si="4"/>
        <v>354000</v>
      </c>
      <c r="J20" s="68">
        <v>354000</v>
      </c>
      <c r="K20" s="68">
        <f t="shared" si="3"/>
        <v>0</v>
      </c>
      <c r="L20" s="69" t="s">
        <v>69</v>
      </c>
      <c r="M20" s="79"/>
      <c r="N20" s="76"/>
    </row>
    <row r="21" spans="1:19" ht="16.5" customHeight="1" x14ac:dyDescent="0.25">
      <c r="A21" s="202"/>
      <c r="B21" s="64">
        <f t="shared" si="5"/>
        <v>9</v>
      </c>
      <c r="C21" s="78" t="s">
        <v>131</v>
      </c>
      <c r="D21" s="177"/>
      <c r="E21" s="177"/>
      <c r="F21" s="177"/>
      <c r="G21" s="122" t="s">
        <v>93</v>
      </c>
      <c r="H21" s="74">
        <v>2080000</v>
      </c>
      <c r="I21" s="68">
        <f>IF(H21="",0,IF(H21&gt;=1700000,H21*Q$19,H21*Q$18))</f>
        <v>1040000</v>
      </c>
      <c r="J21" s="74">
        <v>1040000</v>
      </c>
      <c r="K21" s="68">
        <f t="shared" si="3"/>
        <v>0</v>
      </c>
      <c r="L21" s="69" t="s">
        <v>69</v>
      </c>
      <c r="M21" s="173"/>
      <c r="N21" s="76"/>
    </row>
    <row r="22" spans="1:19" ht="16.5" customHeight="1" x14ac:dyDescent="0.25">
      <c r="A22" s="202"/>
      <c r="B22" s="64">
        <f t="shared" si="5"/>
        <v>10</v>
      </c>
      <c r="C22" s="177"/>
      <c r="D22" s="177"/>
      <c r="E22" s="177"/>
      <c r="F22" s="177"/>
      <c r="G22" s="177"/>
      <c r="H22" s="177"/>
      <c r="I22" s="68">
        <f>IF(H22="",0,IF(H22&gt;=1700000,H22*Q$19,H22*Q$18))</f>
        <v>0</v>
      </c>
      <c r="J22" s="177"/>
      <c r="K22" s="68">
        <f t="shared" si="3"/>
        <v>0</v>
      </c>
      <c r="L22" s="177"/>
      <c r="M22" s="105"/>
      <c r="N22" s="105"/>
    </row>
    <row r="23" spans="1:19" ht="16.5" customHeight="1" x14ac:dyDescent="0.25">
      <c r="A23" s="202"/>
      <c r="B23" s="64">
        <f t="shared" si="5"/>
        <v>11</v>
      </c>
      <c r="C23" s="65"/>
      <c r="D23" s="66"/>
      <c r="E23" s="66"/>
      <c r="F23" s="66"/>
      <c r="G23" s="75" t="s">
        <v>25</v>
      </c>
      <c r="H23" s="133"/>
      <c r="I23" s="68">
        <f t="shared" ref="I23:I26" si="6">IF(H23="",0,IF(H23&gt;=1700000,H23*Q$19,H23*Q$18))</f>
        <v>0</v>
      </c>
      <c r="J23" s="132"/>
      <c r="K23" s="68">
        <f t="shared" si="3"/>
        <v>0</v>
      </c>
      <c r="L23" s="69"/>
      <c r="M23" s="105"/>
      <c r="N23" s="79"/>
    </row>
    <row r="24" spans="1:19" ht="16.5" customHeight="1" x14ac:dyDescent="0.25">
      <c r="A24" s="202"/>
      <c r="B24" s="64">
        <f t="shared" si="5"/>
        <v>12</v>
      </c>
      <c r="C24" s="65"/>
      <c r="D24" s="75"/>
      <c r="E24" s="75"/>
      <c r="F24" s="75"/>
      <c r="G24" s="64" t="s">
        <v>19</v>
      </c>
      <c r="H24" s="133"/>
      <c r="I24" s="68">
        <f t="shared" si="6"/>
        <v>0</v>
      </c>
      <c r="J24" s="133"/>
      <c r="K24" s="68">
        <f>I24-J24</f>
        <v>0</v>
      </c>
      <c r="L24" s="69"/>
      <c r="M24" s="105"/>
      <c r="N24" s="105"/>
    </row>
    <row r="25" spans="1:19" ht="16.5" x14ac:dyDescent="0.25">
      <c r="A25" s="202"/>
      <c r="B25" s="64">
        <f t="shared" si="5"/>
        <v>13</v>
      </c>
      <c r="C25" s="65" t="s">
        <v>148</v>
      </c>
      <c r="D25" s="73"/>
      <c r="E25" s="178"/>
      <c r="F25" s="178"/>
      <c r="G25" s="75" t="s">
        <v>56</v>
      </c>
      <c r="H25" s="68">
        <v>2100000</v>
      </c>
      <c r="I25" s="68">
        <f>IF(H25="",0,IF(H25&gt;=1700000,H25*Q$19,H25*Q$18))</f>
        <v>1050000</v>
      </c>
      <c r="J25" s="68">
        <v>1050000</v>
      </c>
      <c r="K25" s="68">
        <f t="shared" si="3"/>
        <v>0</v>
      </c>
      <c r="L25" s="69" t="s">
        <v>69</v>
      </c>
      <c r="M25" s="105"/>
      <c r="N25" s="105"/>
    </row>
    <row r="26" spans="1:19" ht="22.15" customHeight="1" x14ac:dyDescent="0.25">
      <c r="A26" s="202"/>
      <c r="B26" s="64">
        <f t="shared" si="5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79">
        <v>2190000</v>
      </c>
      <c r="I26" s="68">
        <f t="shared" si="6"/>
        <v>1095000</v>
      </c>
      <c r="J26" s="133">
        <v>1095000</v>
      </c>
      <c r="K26" s="68">
        <f t="shared" si="3"/>
        <v>0</v>
      </c>
      <c r="L26" s="69" t="s">
        <v>69</v>
      </c>
      <c r="M26" s="136"/>
      <c r="N26" s="76"/>
    </row>
    <row r="27" spans="1:19" ht="20.45" customHeight="1" x14ac:dyDescent="0.25">
      <c r="A27" s="202"/>
      <c r="B27" s="64">
        <f t="shared" si="5"/>
        <v>15</v>
      </c>
      <c r="C27" s="177"/>
      <c r="D27" s="177"/>
      <c r="E27" s="177"/>
      <c r="F27" s="177"/>
      <c r="G27" s="75" t="s">
        <v>168</v>
      </c>
      <c r="H27" s="177"/>
      <c r="I27" s="68">
        <f>IF(H27="",0,IF(H27&gt;=1700000,H27*Q$19,H27*Q$18))</f>
        <v>0</v>
      </c>
      <c r="J27" s="177"/>
      <c r="K27" s="177"/>
      <c r="L27" s="177"/>
      <c r="M27" s="136"/>
      <c r="N27" s="76"/>
    </row>
    <row r="28" spans="1:19" ht="16.5" customHeight="1" x14ac:dyDescent="0.25">
      <c r="A28" s="202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02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02"/>
      <c r="B30" s="64">
        <f t="shared" si="5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FEDE5-2874-4668-9159-27236F693D65}">
  <dimension ref="A3:S39"/>
  <sheetViews>
    <sheetView zoomScale="85" zoomScaleNormal="85" workbookViewId="0">
      <selection activeCell="J7" sqref="J7:J10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</row>
    <row r="4" spans="1:18" ht="30.75" x14ac:dyDescent="0.25">
      <c r="C4" s="117"/>
      <c r="D4" s="117"/>
      <c r="E4" s="117"/>
      <c r="H4" s="116" t="s">
        <v>197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9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IF(H7="",0,IF(H7&gt;=1700000,H7*Q$19,H7*Q$18))</f>
        <v>840000</v>
      </c>
      <c r="J7" s="68">
        <v>840000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98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0" si="0">IF(H8="",0,IF(H8&gt;=1700000,H8*Q$19,H8*Q$18))</f>
        <v>0</v>
      </c>
      <c r="J8" s="68"/>
      <c r="K8" s="68">
        <f t="shared" ref="K8:K10" si="1">I8-J8</f>
        <v>0</v>
      </c>
      <c r="L8" s="69"/>
      <c r="M8" s="76"/>
      <c r="N8" s="76"/>
      <c r="P8" s="82" t="s">
        <v>72</v>
      </c>
    </row>
    <row r="9" spans="1:18" ht="16.5" customHeight="1" x14ac:dyDescent="0.25">
      <c r="A9" s="198"/>
      <c r="B9" s="64">
        <f t="shared" ref="B9:B10" si="2">B8+1</f>
        <v>3</v>
      </c>
      <c r="C9" s="65" t="s">
        <v>195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1080000</v>
      </c>
      <c r="I9" s="68">
        <f t="shared" si="0"/>
        <v>648000</v>
      </c>
      <c r="J9" s="74">
        <v>650000</v>
      </c>
      <c r="K9" s="68">
        <v>0</v>
      </c>
      <c r="L9" s="88" t="s">
        <v>26</v>
      </c>
      <c r="M9" s="76" t="s">
        <v>198</v>
      </c>
      <c r="N9" s="79"/>
    </row>
    <row r="10" spans="1:18" ht="16.5" customHeight="1" x14ac:dyDescent="0.25">
      <c r="A10" s="198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73" t="s">
        <v>73</v>
      </c>
      <c r="H10" s="74">
        <v>1150000</v>
      </c>
      <c r="I10" s="68">
        <f t="shared" si="0"/>
        <v>690000</v>
      </c>
      <c r="J10" s="74">
        <v>690000</v>
      </c>
      <c r="K10" s="68">
        <f t="shared" si="1"/>
        <v>0</v>
      </c>
      <c r="L10" s="88" t="s">
        <v>26</v>
      </c>
      <c r="M10" s="76"/>
      <c r="N10" s="76"/>
      <c r="P10" s="203" t="s">
        <v>29</v>
      </c>
      <c r="Q10" s="203"/>
      <c r="R10" s="204">
        <f>SUM(H7:H999)</f>
        <v>18425000</v>
      </c>
    </row>
    <row r="11" spans="1:18" ht="16.5" customHeight="1" x14ac:dyDescent="0.25">
      <c r="A11" s="199"/>
      <c r="C11" s="175"/>
      <c r="D11" s="175"/>
      <c r="E11" s="175"/>
      <c r="F11" s="175"/>
      <c r="G11" s="175"/>
      <c r="H11" s="176"/>
      <c r="I11" s="176"/>
      <c r="J11" s="176"/>
      <c r="K11" s="176"/>
      <c r="L11" s="175"/>
      <c r="M11" s="79"/>
      <c r="N11" s="79"/>
      <c r="P11" s="203"/>
      <c r="Q11" s="203"/>
      <c r="R11" s="20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05" t="s">
        <v>143</v>
      </c>
      <c r="Q12" s="205"/>
      <c r="R12" s="204">
        <f>SUM(I7:I999)</f>
        <v>10290500</v>
      </c>
    </row>
    <row r="13" spans="1:18" ht="22.5" customHeight="1" x14ac:dyDescent="0.25">
      <c r="A13" s="20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1300000</v>
      </c>
      <c r="I13" s="68">
        <f>IF(H13="",0,IF(H13&gt;=1700000,H13*Q$19,H13*Q$18))</f>
        <v>780000</v>
      </c>
      <c r="J13" s="68">
        <v>780000</v>
      </c>
      <c r="K13" s="68">
        <f t="shared" ref="K13:K26" si="3">I13-J13</f>
        <v>0</v>
      </c>
      <c r="L13" s="69" t="s">
        <v>69</v>
      </c>
      <c r="M13" s="76"/>
      <c r="N13" s="76"/>
      <c r="P13" s="205"/>
      <c r="Q13" s="205"/>
      <c r="R13" s="204"/>
    </row>
    <row r="14" spans="1:18" ht="16.5" customHeight="1" x14ac:dyDescent="0.25">
      <c r="A14" s="20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1050000</v>
      </c>
      <c r="I14" s="68">
        <f t="shared" ref="I14:I20" si="4">IF(H14="",0,IF(H14&gt;=1700000,H14*Q$19,H14*Q$18))</f>
        <v>630000</v>
      </c>
      <c r="J14" s="74">
        <v>630000</v>
      </c>
      <c r="K14" s="68">
        <f t="shared" si="3"/>
        <v>0</v>
      </c>
      <c r="L14" s="69" t="s">
        <v>69</v>
      </c>
      <c r="M14" s="79"/>
      <c r="N14" s="79"/>
      <c r="P14" s="205"/>
      <c r="Q14" s="205"/>
      <c r="R14" s="204"/>
    </row>
    <row r="15" spans="1:18" ht="22.5" customHeight="1" x14ac:dyDescent="0.3">
      <c r="A15" s="202"/>
      <c r="B15" s="64">
        <f t="shared" ref="B15:B30" si="5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1410000</v>
      </c>
      <c r="I15" s="68">
        <f t="shared" si="4"/>
        <v>846000</v>
      </c>
      <c r="J15" s="74">
        <v>846000</v>
      </c>
      <c r="K15" s="68">
        <f t="shared" si="3"/>
        <v>0</v>
      </c>
      <c r="L15" s="69" t="s">
        <v>69</v>
      </c>
      <c r="M15" s="76"/>
      <c r="N15" s="85"/>
      <c r="P15" s="206" t="s">
        <v>117</v>
      </c>
      <c r="Q15" s="206"/>
      <c r="R15" s="160">
        <f>SUM(J7:J98)</f>
        <v>10183000</v>
      </c>
    </row>
    <row r="16" spans="1:18" ht="16.5" customHeight="1" x14ac:dyDescent="0.25">
      <c r="A16" s="202"/>
      <c r="B16" s="64">
        <f t="shared" si="5"/>
        <v>4</v>
      </c>
      <c r="C16" s="77"/>
      <c r="D16" s="75"/>
      <c r="E16" s="75"/>
      <c r="F16" s="75"/>
      <c r="G16" s="75"/>
      <c r="H16" s="68"/>
      <c r="I16" s="68">
        <f>IF(H16="",0,IF(H16&gt;=1700000,H16*Q$19,H16*Q$18))</f>
        <v>0</v>
      </c>
      <c r="J16" s="68"/>
      <c r="K16" s="68">
        <f t="shared" si="3"/>
        <v>0</v>
      </c>
      <c r="L16" s="69"/>
      <c r="M16" s="76"/>
      <c r="N16" s="76"/>
    </row>
    <row r="17" spans="1:19" ht="16.5" customHeight="1" x14ac:dyDescent="0.25">
      <c r="A17" s="202"/>
      <c r="B17" s="64">
        <f t="shared" si="5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850000</v>
      </c>
      <c r="I17" s="68">
        <f t="shared" si="4"/>
        <v>510000</v>
      </c>
      <c r="J17" s="74">
        <v>510000</v>
      </c>
      <c r="K17" s="68">
        <f t="shared" si="3"/>
        <v>0</v>
      </c>
      <c r="L17" s="69" t="s">
        <v>69</v>
      </c>
      <c r="M17" s="80"/>
      <c r="N17" s="85"/>
    </row>
    <row r="18" spans="1:19" ht="16.5" customHeight="1" x14ac:dyDescent="0.3">
      <c r="A18" s="202"/>
      <c r="B18" s="64">
        <f t="shared" si="5"/>
        <v>6</v>
      </c>
      <c r="C18" s="77"/>
      <c r="D18" s="75" t="s">
        <v>63</v>
      </c>
      <c r="E18" s="81">
        <v>91085001515</v>
      </c>
      <c r="F18" s="66" t="s">
        <v>18</v>
      </c>
      <c r="G18" s="75" t="s">
        <v>57</v>
      </c>
      <c r="H18" s="68"/>
      <c r="I18" s="68">
        <f>IF(H18="",0,IF(H18&gt;=1700000,H18*Q$19,H18*Q$18))</f>
        <v>0</v>
      </c>
      <c r="J18" s="74"/>
      <c r="K18" s="68">
        <f t="shared" si="3"/>
        <v>0</v>
      </c>
      <c r="L18" s="131"/>
      <c r="M18" s="76"/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02"/>
      <c r="B19" s="64">
        <f t="shared" si="5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1490000</v>
      </c>
      <c r="I19" s="68">
        <f t="shared" si="4"/>
        <v>894000</v>
      </c>
      <c r="J19" s="68">
        <v>890000</v>
      </c>
      <c r="K19" s="68">
        <f t="shared" si="3"/>
        <v>4000</v>
      </c>
      <c r="L19" s="69" t="s">
        <v>69</v>
      </c>
      <c r="M19" s="76" t="s">
        <v>193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02"/>
      <c r="B20" s="64">
        <f t="shared" si="5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2500000</v>
      </c>
      <c r="I20" s="68">
        <f t="shared" si="4"/>
        <v>1250000</v>
      </c>
      <c r="J20" s="68">
        <v>1250000</v>
      </c>
      <c r="K20" s="68">
        <f t="shared" si="3"/>
        <v>0</v>
      </c>
      <c r="L20" s="69" t="s">
        <v>69</v>
      </c>
      <c r="M20" s="79"/>
      <c r="N20" s="76"/>
    </row>
    <row r="21" spans="1:19" ht="16.5" customHeight="1" x14ac:dyDescent="0.25">
      <c r="A21" s="202"/>
      <c r="B21" s="64">
        <f t="shared" si="5"/>
        <v>9</v>
      </c>
      <c r="C21" s="180" t="s">
        <v>131</v>
      </c>
      <c r="D21" s="169"/>
      <c r="E21" s="169"/>
      <c r="F21" s="169"/>
      <c r="G21" s="181" t="s">
        <v>93</v>
      </c>
      <c r="H21" s="144"/>
      <c r="I21" s="143">
        <f>IF(H21="",0,IF(H21&gt;=1700000,H21*Q$19,H21*Q$18))</f>
        <v>0</v>
      </c>
      <c r="J21" s="144"/>
      <c r="K21" s="143">
        <f t="shared" si="3"/>
        <v>0</v>
      </c>
      <c r="L21" s="150"/>
      <c r="M21" s="182" t="s">
        <v>194</v>
      </c>
      <c r="N21" s="76"/>
    </row>
    <row r="22" spans="1:19" ht="16.5" customHeight="1" x14ac:dyDescent="0.25">
      <c r="A22" s="202"/>
      <c r="B22" s="64">
        <f t="shared" si="5"/>
        <v>10</v>
      </c>
      <c r="C22" s="177"/>
      <c r="D22" s="177"/>
      <c r="E22" s="177"/>
      <c r="F22" s="177"/>
      <c r="G22" s="177"/>
      <c r="H22" s="177"/>
      <c r="I22" s="68">
        <f>IF(H22="",0,IF(H22&gt;=1700000,H22*Q$19,H22*Q$18))</f>
        <v>0</v>
      </c>
      <c r="J22" s="177"/>
      <c r="K22" s="68">
        <f t="shared" si="3"/>
        <v>0</v>
      </c>
      <c r="L22" s="177"/>
      <c r="M22" s="105"/>
      <c r="N22" s="105"/>
    </row>
    <row r="23" spans="1:19" ht="16.5" customHeight="1" x14ac:dyDescent="0.25">
      <c r="A23" s="202"/>
      <c r="B23" s="64">
        <f t="shared" si="5"/>
        <v>11</v>
      </c>
      <c r="C23" s="65" t="s">
        <v>139</v>
      </c>
      <c r="D23" s="66"/>
      <c r="E23" s="66"/>
      <c r="F23" s="66"/>
      <c r="G23" s="75" t="s">
        <v>25</v>
      </c>
      <c r="H23" s="133">
        <v>1050000</v>
      </c>
      <c r="I23" s="68">
        <f t="shared" ref="I23:I26" si="6">IF(H23="",0,IF(H23&gt;=1700000,H23*Q$19,H23*Q$18))</f>
        <v>630000</v>
      </c>
      <c r="J23" s="132">
        <v>525000</v>
      </c>
      <c r="K23" s="68">
        <v>0</v>
      </c>
      <c r="L23" s="69" t="s">
        <v>69</v>
      </c>
      <c r="M23" s="105" t="s">
        <v>196</v>
      </c>
      <c r="N23" s="79"/>
    </row>
    <row r="24" spans="1:19" ht="16.5" customHeight="1" x14ac:dyDescent="0.25">
      <c r="A24" s="202"/>
      <c r="B24" s="64">
        <f t="shared" si="5"/>
        <v>12</v>
      </c>
      <c r="C24" s="65"/>
      <c r="D24" s="75"/>
      <c r="E24" s="75"/>
      <c r="F24" s="75"/>
      <c r="G24" s="64" t="s">
        <v>19</v>
      </c>
      <c r="H24" s="133"/>
      <c r="I24" s="68">
        <f t="shared" si="6"/>
        <v>0</v>
      </c>
      <c r="J24" s="133"/>
      <c r="K24" s="68">
        <f>I24-J24</f>
        <v>0</v>
      </c>
      <c r="L24" s="69"/>
      <c r="M24" s="105"/>
      <c r="N24" s="105"/>
    </row>
    <row r="25" spans="1:19" ht="16.5" x14ac:dyDescent="0.25">
      <c r="A25" s="202"/>
      <c r="B25" s="64">
        <f t="shared" si="5"/>
        <v>13</v>
      </c>
      <c r="C25" s="65" t="s">
        <v>148</v>
      </c>
      <c r="D25" s="73"/>
      <c r="E25" s="178"/>
      <c r="F25" s="178"/>
      <c r="G25" s="75" t="s">
        <v>56</v>
      </c>
      <c r="H25" s="68">
        <v>3435000</v>
      </c>
      <c r="I25" s="68">
        <f>IF(H25="",0,IF(H25&gt;=1700000,H25*Q$19,H25*Q$18))</f>
        <v>1717500</v>
      </c>
      <c r="J25" s="68">
        <v>1717000</v>
      </c>
      <c r="K25" s="68">
        <f t="shared" si="3"/>
        <v>500</v>
      </c>
      <c r="L25" s="69" t="s">
        <v>69</v>
      </c>
      <c r="M25" s="105"/>
      <c r="N25" s="105"/>
    </row>
    <row r="26" spans="1:19" ht="22.15" customHeight="1" x14ac:dyDescent="0.25">
      <c r="A26" s="202"/>
      <c r="B26" s="64">
        <f t="shared" si="5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79">
        <v>1710000</v>
      </c>
      <c r="I26" s="68">
        <f t="shared" si="6"/>
        <v>855000</v>
      </c>
      <c r="J26" s="133">
        <v>855000</v>
      </c>
      <c r="K26" s="68">
        <f t="shared" si="3"/>
        <v>0</v>
      </c>
      <c r="L26" s="69" t="s">
        <v>69</v>
      </c>
      <c r="M26" s="136"/>
      <c r="N26" s="76"/>
    </row>
    <row r="27" spans="1:19" ht="20.45" customHeight="1" x14ac:dyDescent="0.25">
      <c r="A27" s="202"/>
      <c r="B27" s="64">
        <f t="shared" si="5"/>
        <v>15</v>
      </c>
      <c r="C27" s="177"/>
      <c r="D27" s="177"/>
      <c r="E27" s="177"/>
      <c r="F27" s="177"/>
      <c r="G27" s="75" t="s">
        <v>168</v>
      </c>
      <c r="H27" s="177"/>
      <c r="I27" s="68">
        <f>IF(H27="",0,IF(H27&gt;=1700000,H27*Q$19,H27*Q$18))</f>
        <v>0</v>
      </c>
      <c r="J27" s="177"/>
      <c r="K27" s="177"/>
      <c r="L27" s="177"/>
      <c r="M27" s="136"/>
      <c r="N27" s="76"/>
    </row>
    <row r="28" spans="1:19" ht="16.5" customHeight="1" x14ac:dyDescent="0.25">
      <c r="A28" s="202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02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02"/>
      <c r="B30" s="64">
        <f t="shared" si="5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632F-92FC-4DC6-B93E-FE9F60EBD745}">
  <dimension ref="A3:Q39"/>
  <sheetViews>
    <sheetView tabSelected="1" zoomScale="85" zoomScaleNormal="85" workbookViewId="0">
      <selection activeCell="C26" sqref="C26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customWidth="1"/>
    <col min="5" max="5" width="19.28515625" style="1" customWidth="1"/>
    <col min="6" max="6" width="26.42578125" style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83" t="s">
        <v>31</v>
      </c>
      <c r="C3" s="183"/>
      <c r="D3" s="183"/>
      <c r="E3" s="183"/>
      <c r="F3" s="183"/>
      <c r="G3" s="183"/>
      <c r="H3" s="183"/>
      <c r="I3" s="183"/>
      <c r="J3" s="183"/>
      <c r="K3" s="183"/>
    </row>
    <row r="4" spans="1:16" ht="30.75" x14ac:dyDescent="0.25">
      <c r="C4" s="117"/>
      <c r="D4" s="117"/>
      <c r="E4" s="117"/>
      <c r="H4" s="116" t="s">
        <v>199</v>
      </c>
      <c r="I4" s="117"/>
      <c r="J4" s="117"/>
      <c r="K4" s="117"/>
    </row>
    <row r="5" spans="1:16" ht="12" customHeight="1" x14ac:dyDescent="0.25"/>
    <row r="6" spans="1:16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49</v>
      </c>
      <c r="F6" s="158" t="s">
        <v>4</v>
      </c>
      <c r="G6" s="159" t="s">
        <v>142</v>
      </c>
      <c r="H6" s="158" t="s">
        <v>115</v>
      </c>
      <c r="I6" s="158" t="s">
        <v>116</v>
      </c>
      <c r="J6" s="158" t="s">
        <v>7</v>
      </c>
      <c r="K6" s="158" t="s">
        <v>34</v>
      </c>
      <c r="L6" s="158" t="s">
        <v>51</v>
      </c>
      <c r="N6" s="87" t="s">
        <v>69</v>
      </c>
    </row>
    <row r="7" spans="1:16" ht="34.5" customHeight="1" x14ac:dyDescent="0.25">
      <c r="A7" s="197" t="s">
        <v>119</v>
      </c>
      <c r="B7" s="64">
        <v>1</v>
      </c>
      <c r="C7" s="65" t="s">
        <v>132</v>
      </c>
      <c r="D7" s="66"/>
      <c r="E7" s="66" t="s">
        <v>16</v>
      </c>
      <c r="F7" s="68">
        <v>1700000</v>
      </c>
      <c r="G7" s="68">
        <f>IF(F7="",0,IF(F7&gt;1700000,F7*O$19,F7*O$18))</f>
        <v>1020000</v>
      </c>
      <c r="H7" s="68">
        <v>1020000</v>
      </c>
      <c r="I7" s="68">
        <f>G7-H7</f>
        <v>0</v>
      </c>
      <c r="J7" s="88" t="s">
        <v>26</v>
      </c>
      <c r="K7" s="136"/>
      <c r="L7" s="76"/>
      <c r="N7" s="88" t="s">
        <v>26</v>
      </c>
    </row>
    <row r="8" spans="1:16" ht="16.5" customHeight="1" x14ac:dyDescent="0.25">
      <c r="A8" s="198"/>
      <c r="B8" s="64">
        <f>B7+1</f>
        <v>2</v>
      </c>
      <c r="C8" s="65" t="s">
        <v>200</v>
      </c>
      <c r="D8" s="75"/>
      <c r="E8" s="75" t="s">
        <v>36</v>
      </c>
      <c r="F8" s="68">
        <v>1000000</v>
      </c>
      <c r="G8" s="68">
        <f t="shared" ref="G8:G10" si="0">IF(F8="",0,IF(F8&gt;1700000,F8*O$19,F8*O$18))</f>
        <v>600000</v>
      </c>
      <c r="H8" s="68">
        <v>500000</v>
      </c>
      <c r="I8" s="68">
        <f t="shared" ref="I8:I10" si="1">G8-H8</f>
        <v>100000</v>
      </c>
      <c r="J8" s="88" t="s">
        <v>26</v>
      </c>
      <c r="K8" s="76" t="s">
        <v>201</v>
      </c>
      <c r="L8" s="76"/>
      <c r="N8" s="82" t="s">
        <v>72</v>
      </c>
    </row>
    <row r="9" spans="1:16" ht="16.5" customHeight="1" x14ac:dyDescent="0.25">
      <c r="A9" s="198"/>
      <c r="B9" s="64">
        <f t="shared" ref="B9:B10" si="2">B8+1</f>
        <v>3</v>
      </c>
      <c r="C9" s="65" t="s">
        <v>195</v>
      </c>
      <c r="D9" s="66"/>
      <c r="E9" s="66" t="s">
        <v>83</v>
      </c>
      <c r="F9" s="68">
        <v>1540000</v>
      </c>
      <c r="G9" s="68">
        <f t="shared" si="0"/>
        <v>924000</v>
      </c>
      <c r="H9" s="74">
        <v>920000</v>
      </c>
      <c r="I9" s="68">
        <v>0</v>
      </c>
      <c r="J9" s="88" t="s">
        <v>26</v>
      </c>
      <c r="K9" s="76"/>
      <c r="L9" s="79"/>
    </row>
    <row r="10" spans="1:16" ht="16.5" customHeight="1" x14ac:dyDescent="0.25">
      <c r="A10" s="198"/>
      <c r="B10" s="64">
        <f t="shared" si="2"/>
        <v>4</v>
      </c>
      <c r="C10" s="71" t="s">
        <v>135</v>
      </c>
      <c r="D10" s="73"/>
      <c r="E10" s="73" t="s">
        <v>73</v>
      </c>
      <c r="F10" s="74">
        <v>1600000</v>
      </c>
      <c r="G10" s="68">
        <f t="shared" si="0"/>
        <v>960000</v>
      </c>
      <c r="H10" s="74">
        <v>960000</v>
      </c>
      <c r="I10" s="68">
        <f t="shared" si="1"/>
        <v>0</v>
      </c>
      <c r="J10" s="88" t="s">
        <v>26</v>
      </c>
      <c r="K10" s="76"/>
      <c r="L10" s="76"/>
      <c r="N10" s="203" t="s">
        <v>29</v>
      </c>
      <c r="O10" s="203"/>
      <c r="P10" s="204">
        <f>SUM(H7:H999)</f>
        <v>12810000</v>
      </c>
    </row>
    <row r="11" spans="1:16" ht="16.5" customHeight="1" x14ac:dyDescent="0.25">
      <c r="A11" s="199"/>
      <c r="C11" s="175"/>
      <c r="D11" s="175"/>
      <c r="E11" s="175"/>
      <c r="F11" s="176"/>
      <c r="G11" s="176"/>
      <c r="H11" s="176"/>
      <c r="I11" s="176"/>
      <c r="J11" s="175"/>
      <c r="K11" s="79"/>
      <c r="L11" s="79"/>
      <c r="N11" s="203"/>
      <c r="O11" s="203"/>
      <c r="P11" s="204"/>
    </row>
    <row r="12" spans="1:16" ht="16.5" customHeight="1" x14ac:dyDescent="0.25">
      <c r="A12" s="107"/>
      <c r="B12" s="89"/>
      <c r="C12" s="90"/>
      <c r="D12" s="89"/>
      <c r="E12" s="93"/>
      <c r="F12" s="94"/>
      <c r="G12" s="94"/>
      <c r="H12" s="147"/>
      <c r="I12" s="123"/>
      <c r="J12" s="96"/>
      <c r="K12" s="97"/>
      <c r="L12" s="97"/>
      <c r="N12" s="205" t="s">
        <v>143</v>
      </c>
      <c r="O12" s="205"/>
      <c r="P12" s="204">
        <f>SUM(I7:I999)</f>
        <v>100000</v>
      </c>
    </row>
    <row r="13" spans="1:16" ht="22.5" customHeight="1" x14ac:dyDescent="0.25">
      <c r="A13" s="201" t="s">
        <v>118</v>
      </c>
      <c r="B13" s="64">
        <v>1</v>
      </c>
      <c r="C13" s="77" t="s">
        <v>40</v>
      </c>
      <c r="D13" s="66"/>
      <c r="E13" s="66" t="s">
        <v>14</v>
      </c>
      <c r="F13" s="68">
        <v>2230000</v>
      </c>
      <c r="G13" s="68">
        <f>IF(F13="",0,IF(F13&gt;=1700000,F13*O$19,F13*O$18))</f>
        <v>1115000</v>
      </c>
      <c r="H13" s="68">
        <v>1110000</v>
      </c>
      <c r="I13" s="68">
        <f t="shared" ref="I13:I27" si="3">G13-H13</f>
        <v>5000</v>
      </c>
      <c r="J13" s="87" t="s">
        <v>69</v>
      </c>
      <c r="K13" s="76" t="s">
        <v>202</v>
      </c>
      <c r="L13" s="76"/>
      <c r="N13" s="205"/>
      <c r="O13" s="205"/>
      <c r="P13" s="204"/>
    </row>
    <row r="14" spans="1:16" ht="16.5" customHeight="1" x14ac:dyDescent="0.25">
      <c r="A14" s="202"/>
      <c r="B14" s="64">
        <f>B13+1</f>
        <v>2</v>
      </c>
      <c r="C14" s="78" t="s">
        <v>67</v>
      </c>
      <c r="D14" s="73"/>
      <c r="E14" s="73" t="s">
        <v>48</v>
      </c>
      <c r="F14" s="74">
        <v>1967000</v>
      </c>
      <c r="G14" s="68">
        <f t="shared" ref="G14:G20" si="4">IF(F14="",0,IF(F14&gt;=1700000,F14*O$19,F14*O$18))</f>
        <v>983500</v>
      </c>
      <c r="H14" s="74">
        <v>984000</v>
      </c>
      <c r="I14" s="68">
        <f t="shared" si="3"/>
        <v>-500</v>
      </c>
      <c r="J14" s="87" t="s">
        <v>69</v>
      </c>
      <c r="K14" s="79"/>
      <c r="L14" s="79"/>
      <c r="N14" s="205"/>
      <c r="O14" s="205"/>
      <c r="P14" s="204"/>
    </row>
    <row r="15" spans="1:16" ht="22.5" customHeight="1" x14ac:dyDescent="0.3">
      <c r="A15" s="202"/>
      <c r="B15" s="64">
        <f t="shared" ref="B15:B30" si="5">B14+1</f>
        <v>3</v>
      </c>
      <c r="C15" s="77" t="s">
        <v>43</v>
      </c>
      <c r="D15" s="75"/>
      <c r="E15" s="75" t="s">
        <v>22</v>
      </c>
      <c r="F15" s="68">
        <v>1980000</v>
      </c>
      <c r="G15" s="68">
        <f t="shared" si="4"/>
        <v>990000</v>
      </c>
      <c r="H15" s="74">
        <v>990000</v>
      </c>
      <c r="I15" s="68">
        <f t="shared" si="3"/>
        <v>0</v>
      </c>
      <c r="J15" s="87" t="s">
        <v>69</v>
      </c>
      <c r="K15" s="76"/>
      <c r="L15" s="85"/>
      <c r="N15" s="206" t="s">
        <v>117</v>
      </c>
      <c r="O15" s="206"/>
      <c r="P15" s="160">
        <f>SUM(J7:J98)</f>
        <v>0</v>
      </c>
    </row>
    <row r="16" spans="1:16" ht="16.5" customHeight="1" x14ac:dyDescent="0.25">
      <c r="A16" s="202"/>
      <c r="B16" s="64">
        <f t="shared" si="5"/>
        <v>4</v>
      </c>
      <c r="C16" s="77"/>
      <c r="D16" s="75"/>
      <c r="E16" s="75"/>
      <c r="F16" s="68"/>
      <c r="G16" s="68">
        <f>IF(F16="",0,IF(F16&gt;=1700000,F16*O$19,F16*O$18))</f>
        <v>0</v>
      </c>
      <c r="H16" s="68"/>
      <c r="I16" s="68">
        <f t="shared" si="3"/>
        <v>0</v>
      </c>
      <c r="J16" s="69"/>
      <c r="K16" s="76"/>
      <c r="L16" s="76"/>
    </row>
    <row r="17" spans="1:17" ht="16.5" customHeight="1" x14ac:dyDescent="0.25">
      <c r="A17" s="202"/>
      <c r="B17" s="64">
        <f t="shared" si="5"/>
        <v>5</v>
      </c>
      <c r="C17" s="77" t="s">
        <v>79</v>
      </c>
      <c r="D17" s="75"/>
      <c r="E17" s="75" t="s">
        <v>27</v>
      </c>
      <c r="F17" s="68">
        <v>1700000</v>
      </c>
      <c r="G17" s="68">
        <f t="shared" si="4"/>
        <v>850000</v>
      </c>
      <c r="H17" s="74">
        <v>850000</v>
      </c>
      <c r="I17" s="68">
        <f t="shared" si="3"/>
        <v>0</v>
      </c>
      <c r="J17" s="87" t="s">
        <v>69</v>
      </c>
      <c r="K17" s="80"/>
      <c r="L17" s="85"/>
    </row>
    <row r="18" spans="1:17" ht="16.5" customHeight="1" x14ac:dyDescent="0.3">
      <c r="A18" s="202"/>
      <c r="B18" s="64">
        <f t="shared" si="5"/>
        <v>6</v>
      </c>
      <c r="C18" s="77"/>
      <c r="D18" s="75"/>
      <c r="E18" s="75" t="s">
        <v>57</v>
      </c>
      <c r="F18" s="68"/>
      <c r="G18" s="68">
        <f>IF(F18="",0,IF(F18&gt;=1700000,F18*O$19,F18*O$18))</f>
        <v>0</v>
      </c>
      <c r="H18" s="74"/>
      <c r="I18" s="68">
        <f t="shared" si="3"/>
        <v>0</v>
      </c>
      <c r="J18" s="131"/>
      <c r="K18" s="76"/>
      <c r="L18" s="76"/>
      <c r="N18" s="157" t="s">
        <v>65</v>
      </c>
      <c r="O18" s="162">
        <v>0.6</v>
      </c>
      <c r="Q18" s="164" t="s">
        <v>177</v>
      </c>
    </row>
    <row r="19" spans="1:17" ht="16.5" customHeight="1" x14ac:dyDescent="0.3">
      <c r="A19" s="202"/>
      <c r="B19" s="64">
        <f t="shared" si="5"/>
        <v>7</v>
      </c>
      <c r="C19" s="77" t="s">
        <v>52</v>
      </c>
      <c r="D19" s="64"/>
      <c r="E19" s="64" t="s">
        <v>35</v>
      </c>
      <c r="F19" s="68">
        <v>1710000</v>
      </c>
      <c r="G19" s="68">
        <f t="shared" si="4"/>
        <v>855000</v>
      </c>
      <c r="H19" s="68">
        <v>860000</v>
      </c>
      <c r="I19" s="68">
        <f t="shared" si="3"/>
        <v>-5000</v>
      </c>
      <c r="J19" s="87" t="s">
        <v>69</v>
      </c>
      <c r="K19" s="76"/>
      <c r="L19" s="76"/>
      <c r="N19" s="157" t="s">
        <v>65</v>
      </c>
      <c r="O19" s="163">
        <v>0.5</v>
      </c>
      <c r="Q19" s="164" t="s">
        <v>178</v>
      </c>
    </row>
    <row r="20" spans="1:17" ht="16.5" customHeight="1" x14ac:dyDescent="0.25">
      <c r="A20" s="202"/>
      <c r="B20" s="64">
        <f t="shared" si="5"/>
        <v>8</v>
      </c>
      <c r="C20" s="78" t="s">
        <v>92</v>
      </c>
      <c r="D20" s="70"/>
      <c r="E20" s="64" t="s">
        <v>137</v>
      </c>
      <c r="F20" s="74">
        <v>2415000</v>
      </c>
      <c r="G20" s="68">
        <f t="shared" si="4"/>
        <v>1207500</v>
      </c>
      <c r="H20" s="68">
        <v>1207000</v>
      </c>
      <c r="I20" s="68">
        <f t="shared" si="3"/>
        <v>500</v>
      </c>
      <c r="J20" s="87" t="s">
        <v>69</v>
      </c>
      <c r="K20" s="79"/>
      <c r="L20" s="76"/>
    </row>
    <row r="21" spans="1:17" ht="16.5" customHeight="1" x14ac:dyDescent="0.25">
      <c r="A21" s="202"/>
      <c r="B21" s="64">
        <f t="shared" si="5"/>
        <v>9</v>
      </c>
      <c r="C21" s="78" t="s">
        <v>203</v>
      </c>
      <c r="D21" s="177"/>
      <c r="E21" s="122" t="s">
        <v>93</v>
      </c>
      <c r="F21" s="74">
        <v>90000</v>
      </c>
      <c r="G21" s="68">
        <f>IF(F21="",0,IF(F21&gt;=1700000,F21*O$19,F21*O$18))</f>
        <v>54000</v>
      </c>
      <c r="H21" s="74">
        <v>54000</v>
      </c>
      <c r="I21" s="68">
        <f t="shared" si="3"/>
        <v>0</v>
      </c>
      <c r="J21" s="87" t="s">
        <v>69</v>
      </c>
      <c r="K21" s="173"/>
      <c r="L21" s="76"/>
    </row>
    <row r="22" spans="1:17" ht="16.5" customHeight="1" x14ac:dyDescent="0.25">
      <c r="A22" s="202"/>
      <c r="B22" s="64">
        <f t="shared" si="5"/>
        <v>10</v>
      </c>
      <c r="C22" s="177"/>
      <c r="D22" s="177"/>
      <c r="E22" s="177"/>
      <c r="F22" s="177"/>
      <c r="G22" s="68">
        <f>IF(F22="",0,IF(F22&gt;=1700000,F22*O$19,F22*O$18))</f>
        <v>0</v>
      </c>
      <c r="H22" s="177"/>
      <c r="I22" s="68">
        <f t="shared" si="3"/>
        <v>0</v>
      </c>
      <c r="J22" s="177"/>
      <c r="K22" s="105"/>
      <c r="L22" s="105"/>
    </row>
    <row r="23" spans="1:17" ht="16.5" customHeight="1" x14ac:dyDescent="0.25">
      <c r="A23" s="202"/>
      <c r="B23" s="64">
        <f t="shared" si="5"/>
        <v>11</v>
      </c>
      <c r="C23" s="65" t="s">
        <v>139</v>
      </c>
      <c r="D23" s="66"/>
      <c r="E23" s="75" t="s">
        <v>25</v>
      </c>
      <c r="F23" s="133">
        <v>1760000</v>
      </c>
      <c r="G23" s="68">
        <f t="shared" ref="G23:G26" si="6">IF(F23="",0,IF(F23&gt;=1700000,F23*O$19,F23*O$18))</f>
        <v>880000</v>
      </c>
      <c r="H23" s="132">
        <v>880000</v>
      </c>
      <c r="I23" s="68">
        <v>0</v>
      </c>
      <c r="J23" s="87" t="s">
        <v>69</v>
      </c>
      <c r="K23" s="105"/>
      <c r="L23" s="79"/>
    </row>
    <row r="24" spans="1:17" ht="16.5" customHeight="1" x14ac:dyDescent="0.25">
      <c r="A24" s="202"/>
      <c r="B24" s="64">
        <f t="shared" si="5"/>
        <v>12</v>
      </c>
      <c r="C24" s="65" t="s">
        <v>148</v>
      </c>
      <c r="D24" s="75"/>
      <c r="E24" s="64" t="s">
        <v>19</v>
      </c>
      <c r="F24" s="133">
        <v>1840000</v>
      </c>
      <c r="G24" s="68">
        <f t="shared" si="6"/>
        <v>920000</v>
      </c>
      <c r="H24" s="133">
        <v>920000</v>
      </c>
      <c r="I24" s="68">
        <f>G24-H24</f>
        <v>0</v>
      </c>
      <c r="J24" s="87" t="s">
        <v>69</v>
      </c>
      <c r="K24" s="105"/>
      <c r="L24" s="105"/>
    </row>
    <row r="25" spans="1:17" ht="16.5" x14ac:dyDescent="0.25">
      <c r="A25" s="202"/>
      <c r="B25" s="64">
        <f t="shared" si="5"/>
        <v>13</v>
      </c>
      <c r="C25" s="65" t="s">
        <v>204</v>
      </c>
      <c r="D25" s="73"/>
      <c r="E25" s="75" t="s">
        <v>56</v>
      </c>
      <c r="F25" s="68"/>
      <c r="G25" s="68">
        <f>IF(F25="",0,IF(F25&gt;=1700000,F25*O$19,F25*O$18))</f>
        <v>0</v>
      </c>
      <c r="H25" s="68"/>
      <c r="I25" s="68">
        <f t="shared" si="3"/>
        <v>0</v>
      </c>
      <c r="J25" s="87"/>
      <c r="K25" s="105"/>
      <c r="L25" s="105"/>
    </row>
    <row r="26" spans="1:17" ht="22.15" customHeight="1" x14ac:dyDescent="0.25">
      <c r="A26" s="202"/>
      <c r="B26" s="64">
        <f t="shared" si="5"/>
        <v>14</v>
      </c>
      <c r="C26" s="77" t="s">
        <v>41</v>
      </c>
      <c r="D26" s="66"/>
      <c r="E26" s="66" t="s">
        <v>17</v>
      </c>
      <c r="F26" s="179">
        <v>1730000</v>
      </c>
      <c r="G26" s="68">
        <f t="shared" si="6"/>
        <v>865000</v>
      </c>
      <c r="H26" s="133">
        <v>865000</v>
      </c>
      <c r="I26" s="68">
        <f t="shared" si="3"/>
        <v>0</v>
      </c>
      <c r="J26" s="87" t="s">
        <v>69</v>
      </c>
      <c r="K26" s="136"/>
      <c r="L26" s="76"/>
    </row>
    <row r="27" spans="1:17" ht="20.45" customHeight="1" x14ac:dyDescent="0.25">
      <c r="A27" s="202"/>
      <c r="B27" s="64">
        <f t="shared" si="5"/>
        <v>15</v>
      </c>
      <c r="C27" s="78" t="s">
        <v>131</v>
      </c>
      <c r="D27" s="177"/>
      <c r="E27" s="75" t="s">
        <v>168</v>
      </c>
      <c r="F27" s="74">
        <v>1150000</v>
      </c>
      <c r="G27" s="68">
        <f>IF(F27="",0,IF(F27&gt;=1700000,F27*O$19,F27*O$18))</f>
        <v>690000</v>
      </c>
      <c r="H27" s="74">
        <v>690000</v>
      </c>
      <c r="I27" s="68">
        <f t="shared" si="3"/>
        <v>0</v>
      </c>
      <c r="J27" s="87" t="s">
        <v>69</v>
      </c>
      <c r="K27" s="136"/>
      <c r="L27" s="76"/>
    </row>
    <row r="28" spans="1:17" ht="16.5" customHeight="1" x14ac:dyDescent="0.25">
      <c r="A28" s="202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15"/>
      <c r="L28" s="79"/>
    </row>
    <row r="29" spans="1:17" ht="16.5" customHeight="1" x14ac:dyDescent="0.25">
      <c r="A29" s="202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76"/>
      <c r="L29" s="76"/>
    </row>
    <row r="30" spans="1:17" ht="16.5" customHeight="1" x14ac:dyDescent="0.25">
      <c r="A30" s="202"/>
      <c r="B30" s="64">
        <f t="shared" si="5"/>
        <v>18</v>
      </c>
      <c r="C30" s="71"/>
      <c r="D30" s="73"/>
      <c r="E30" s="73"/>
      <c r="F30" s="135"/>
      <c r="G30" s="132"/>
      <c r="H30" s="133"/>
      <c r="I30" s="132"/>
      <c r="J30" s="131"/>
      <c r="K30" s="79"/>
      <c r="L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N10:O11"/>
    <mergeCell ref="P10:P11"/>
    <mergeCell ref="N12:O14"/>
    <mergeCell ref="P12:P14"/>
    <mergeCell ref="A13:A30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  <vt:lpstr>22-01</vt:lpstr>
      <vt:lpstr>23-01</vt:lpstr>
      <vt:lpstr>24-01</vt:lpstr>
      <vt:lpstr>25-01</vt:lpstr>
      <vt:lpstr>26-01</vt:lpstr>
      <vt:lpstr>27-01</vt:lpstr>
      <vt:lpstr>28-01</vt:lpstr>
      <vt:lpstr>29-01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2026-01-30T10:17:32Z</dcterms:modified>
</cp:coreProperties>
</file>