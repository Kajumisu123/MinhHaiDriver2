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drawings/drawing5.xml" ContentType="application/vnd.openxmlformats-officedocument.drawing+xml"/>
  <Override PartName="/xl/tables/table6.xml" ContentType="application/vnd.openxmlformats-officedocument.spreadsheetml.table+xml"/>
  <Override PartName="/xl/drawings/drawing6.xml" ContentType="application/vnd.openxmlformats-officedocument.drawing+xml"/>
  <Override PartName="/xl/tables/table7.xml" ContentType="application/vnd.openxmlformats-officedocument.spreadsheetml.table+xml"/>
  <Override PartName="/xl/drawings/drawing7.xml" ContentType="application/vnd.openxmlformats-officedocument.drawing+xml"/>
  <Override PartName="/xl/tables/table8.xml" ContentType="application/vnd.openxmlformats-officedocument.spreadsheetml.table+xml"/>
  <Override PartName="/xl/drawings/drawing8.xml" ContentType="application/vnd.openxmlformats-officedocument.drawing+xml"/>
  <Override PartName="/xl/tables/table9.xml" ContentType="application/vnd.openxmlformats-officedocument.spreadsheetml.table+xml"/>
  <Override PartName="/xl/drawings/drawing9.xml" ContentType="application/vnd.openxmlformats-officedocument.drawing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Duc Anh\Theo dõi\"/>
    </mc:Choice>
  </mc:AlternateContent>
  <xr:revisionPtr revIDLastSave="0" documentId="13_ncr:1_{95DE3FD2-0981-41AC-B839-3CE30A0D846F}" xr6:coauthVersionLast="47" xr6:coauthVersionMax="47" xr10:uidLastSave="{00000000-0000-0000-0000-000000000000}"/>
  <bookViews>
    <workbookView xWindow="-120" yWindow="-120" windowWidth="29040" windowHeight="15840" tabRatio="579" firstSheet="16" activeTab="30" xr2:uid="{00000000-000D-0000-FFFF-FFFF00000000}"/>
  </bookViews>
  <sheets>
    <sheet name="biển số xe" sheetId="26" r:id="rId1"/>
    <sheet name="01-01" sheetId="5" r:id="rId2"/>
    <sheet name="02-01" sheetId="6" r:id="rId3"/>
    <sheet name="03-01" sheetId="7" r:id="rId4"/>
    <sheet name="04-01" sheetId="8" r:id="rId5"/>
    <sheet name="05-01" sheetId="9" r:id="rId6"/>
    <sheet name="06-01" sheetId="10" r:id="rId7"/>
    <sheet name="07-01" sheetId="11" r:id="rId8"/>
    <sheet name="08-01" sheetId="12" r:id="rId9"/>
    <sheet name="09-01" sheetId="13" r:id="rId10"/>
    <sheet name="10-01" sheetId="14" state="hidden" r:id="rId11"/>
    <sheet name="10-01 (1)" sheetId="15" r:id="rId12"/>
    <sheet name="11-01 " sheetId="16" r:id="rId13"/>
    <sheet name="12-01" sheetId="17" r:id="rId14"/>
    <sheet name="13-01" sheetId="18" r:id="rId15"/>
    <sheet name="14-01" sheetId="19" r:id="rId16"/>
    <sheet name="15-01" sheetId="20" r:id="rId17"/>
    <sheet name="16-01" sheetId="21" r:id="rId18"/>
    <sheet name="17-01" sheetId="22" r:id="rId19"/>
    <sheet name="18-01" sheetId="23" r:id="rId20"/>
    <sheet name="19-01" sheetId="24" r:id="rId21"/>
    <sheet name="20-01" sheetId="25" r:id="rId22"/>
    <sheet name="21-01" sheetId="27" r:id="rId23"/>
    <sheet name="22-01" sheetId="28" r:id="rId24"/>
    <sheet name="23-01" sheetId="29" r:id="rId25"/>
    <sheet name="24-01" sheetId="30" r:id="rId26"/>
    <sheet name="25-01" sheetId="31" r:id="rId27"/>
    <sheet name="26-01" sheetId="32" r:id="rId28"/>
    <sheet name="27-01" sheetId="33" r:id="rId29"/>
    <sheet name="28-01" sheetId="34" r:id="rId30"/>
    <sheet name="29-01" sheetId="35" r:id="rId3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7" i="35" l="1"/>
  <c r="I26" i="35"/>
  <c r="K26" i="35" s="1"/>
  <c r="I25" i="35"/>
  <c r="K25" i="35" s="1"/>
  <c r="I24" i="35"/>
  <c r="K24" i="35" s="1"/>
  <c r="I23" i="35"/>
  <c r="I22" i="35"/>
  <c r="K22" i="35" s="1"/>
  <c r="I21" i="35"/>
  <c r="K21" i="35" s="1"/>
  <c r="I20" i="35"/>
  <c r="K20" i="35" s="1"/>
  <c r="I19" i="35"/>
  <c r="K19" i="35" s="1"/>
  <c r="I18" i="35"/>
  <c r="K18" i="35" s="1"/>
  <c r="K17" i="35"/>
  <c r="I17" i="35"/>
  <c r="I16" i="35"/>
  <c r="K16" i="35" s="1"/>
  <c r="R15" i="35"/>
  <c r="I15" i="35"/>
  <c r="K15" i="35" s="1"/>
  <c r="B15" i="35"/>
  <c r="B16" i="35" s="1"/>
  <c r="B17" i="35" s="1"/>
  <c r="B18" i="35" s="1"/>
  <c r="B19" i="35" s="1"/>
  <c r="B20" i="35" s="1"/>
  <c r="B21" i="35" s="1"/>
  <c r="B22" i="35" s="1"/>
  <c r="B23" i="35" s="1"/>
  <c r="B24" i="35" s="1"/>
  <c r="B25" i="35" s="1"/>
  <c r="B26" i="35" s="1"/>
  <c r="B27" i="35" s="1"/>
  <c r="B28" i="35" s="1"/>
  <c r="B29" i="35" s="1"/>
  <c r="B30" i="35" s="1"/>
  <c r="I14" i="35"/>
  <c r="K14" i="35" s="1"/>
  <c r="B14" i="35"/>
  <c r="I13" i="35"/>
  <c r="K13" i="35" s="1"/>
  <c r="R10" i="35"/>
  <c r="I10" i="35"/>
  <c r="K10" i="35" s="1"/>
  <c r="I9" i="35"/>
  <c r="I8" i="35"/>
  <c r="R12" i="35" s="1"/>
  <c r="B8" i="35"/>
  <c r="B9" i="35" s="1"/>
  <c r="B10" i="35" s="1"/>
  <c r="I7" i="35"/>
  <c r="K7" i="35" s="1"/>
  <c r="I27" i="34"/>
  <c r="I26" i="34"/>
  <c r="K26" i="34" s="1"/>
  <c r="I25" i="34"/>
  <c r="K25" i="34" s="1"/>
  <c r="I24" i="34"/>
  <c r="K24" i="34" s="1"/>
  <c r="I23" i="34"/>
  <c r="I22" i="34"/>
  <c r="K22" i="34" s="1"/>
  <c r="I21" i="34"/>
  <c r="K21" i="34" s="1"/>
  <c r="I20" i="34"/>
  <c r="K20" i="34" s="1"/>
  <c r="I19" i="34"/>
  <c r="K19" i="34" s="1"/>
  <c r="I18" i="34"/>
  <c r="K18" i="34" s="1"/>
  <c r="I17" i="34"/>
  <c r="K17" i="34" s="1"/>
  <c r="I16" i="34"/>
  <c r="K16" i="34" s="1"/>
  <c r="R15" i="34"/>
  <c r="I15" i="34"/>
  <c r="K15" i="34" s="1"/>
  <c r="B15" i="34"/>
  <c r="B16" i="34" s="1"/>
  <c r="B17" i="34" s="1"/>
  <c r="B18" i="34" s="1"/>
  <c r="B19" i="34" s="1"/>
  <c r="B20" i="34" s="1"/>
  <c r="B21" i="34" s="1"/>
  <c r="B22" i="34" s="1"/>
  <c r="B23" i="34" s="1"/>
  <c r="B24" i="34" s="1"/>
  <c r="B25" i="34" s="1"/>
  <c r="B26" i="34" s="1"/>
  <c r="B27" i="34" s="1"/>
  <c r="B28" i="34" s="1"/>
  <c r="B29" i="34" s="1"/>
  <c r="B30" i="34" s="1"/>
  <c r="I14" i="34"/>
  <c r="K14" i="34" s="1"/>
  <c r="B14" i="34"/>
  <c r="I13" i="34"/>
  <c r="K13" i="34" s="1"/>
  <c r="R10" i="34"/>
  <c r="I10" i="34"/>
  <c r="K10" i="34" s="1"/>
  <c r="I9" i="34"/>
  <c r="I8" i="34"/>
  <c r="K8" i="34" s="1"/>
  <c r="B8" i="34"/>
  <c r="B9" i="34" s="1"/>
  <c r="B10" i="34" s="1"/>
  <c r="I7" i="34"/>
  <c r="K7" i="34" s="1"/>
  <c r="I22" i="33"/>
  <c r="I23" i="33"/>
  <c r="I24" i="33"/>
  <c r="I25" i="33"/>
  <c r="I26" i="33"/>
  <c r="I27" i="33"/>
  <c r="I18" i="33"/>
  <c r="I19" i="33"/>
  <c r="I20" i="33"/>
  <c r="I21" i="33"/>
  <c r="I16" i="33"/>
  <c r="I17" i="33"/>
  <c r="I14" i="33"/>
  <c r="I15" i="33"/>
  <c r="I13" i="33"/>
  <c r="I8" i="33"/>
  <c r="I9" i="33"/>
  <c r="I10" i="33"/>
  <c r="I7" i="33"/>
  <c r="K8" i="35" l="1"/>
  <c r="R12" i="34"/>
  <c r="K26" i="33"/>
  <c r="K25" i="33"/>
  <c r="K24" i="33"/>
  <c r="K23" i="33"/>
  <c r="K22" i="33"/>
  <c r="K21" i="33"/>
  <c r="K20" i="33"/>
  <c r="K19" i="33"/>
  <c r="K18" i="33"/>
  <c r="K17" i="33"/>
  <c r="K16" i="33"/>
  <c r="R15" i="33"/>
  <c r="K15" i="33"/>
  <c r="B15" i="33"/>
  <c r="B16" i="33" s="1"/>
  <c r="B17" i="33" s="1"/>
  <c r="B18" i="33" s="1"/>
  <c r="B19" i="33" s="1"/>
  <c r="B20" i="33" s="1"/>
  <c r="B21" i="33" s="1"/>
  <c r="B22" i="33" s="1"/>
  <c r="B23" i="33" s="1"/>
  <c r="B24" i="33" s="1"/>
  <c r="B25" i="33" s="1"/>
  <c r="B26" i="33" s="1"/>
  <c r="B27" i="33" s="1"/>
  <c r="B28" i="33" s="1"/>
  <c r="B29" i="33" s="1"/>
  <c r="B30" i="33" s="1"/>
  <c r="K14" i="33"/>
  <c r="B14" i="33"/>
  <c r="K13" i="33"/>
  <c r="R10" i="33"/>
  <c r="K10" i="33"/>
  <c r="B8" i="33"/>
  <c r="B9" i="33" s="1"/>
  <c r="B10" i="33" s="1"/>
  <c r="K7" i="33"/>
  <c r="I27" i="32"/>
  <c r="I26" i="32"/>
  <c r="K26" i="32" s="1"/>
  <c r="I25" i="32"/>
  <c r="K25" i="32" s="1"/>
  <c r="I24" i="32"/>
  <c r="K24" i="32" s="1"/>
  <c r="I23" i="32"/>
  <c r="K23" i="32" s="1"/>
  <c r="K22" i="32"/>
  <c r="I22" i="32"/>
  <c r="I21" i="32"/>
  <c r="K21" i="32" s="1"/>
  <c r="I20" i="32"/>
  <c r="K20" i="32" s="1"/>
  <c r="I19" i="32"/>
  <c r="K19" i="32" s="1"/>
  <c r="I18" i="32"/>
  <c r="K18" i="32" s="1"/>
  <c r="I17" i="32"/>
  <c r="K17" i="32" s="1"/>
  <c r="I16" i="32"/>
  <c r="K16" i="32" s="1"/>
  <c r="R15" i="32"/>
  <c r="I15" i="32"/>
  <c r="K15" i="32" s="1"/>
  <c r="B15" i="32"/>
  <c r="B16" i="32" s="1"/>
  <c r="B17" i="32" s="1"/>
  <c r="B18" i="32" s="1"/>
  <c r="B19" i="32" s="1"/>
  <c r="B20" i="32" s="1"/>
  <c r="B21" i="32" s="1"/>
  <c r="B22" i="32" s="1"/>
  <c r="B23" i="32" s="1"/>
  <c r="B24" i="32" s="1"/>
  <c r="B25" i="32" s="1"/>
  <c r="B26" i="32" s="1"/>
  <c r="B27" i="32" s="1"/>
  <c r="B28" i="32" s="1"/>
  <c r="B29" i="32" s="1"/>
  <c r="B30" i="32" s="1"/>
  <c r="I14" i="32"/>
  <c r="K14" i="32" s="1"/>
  <c r="B14" i="32"/>
  <c r="I13" i="32"/>
  <c r="K13" i="32" s="1"/>
  <c r="R10" i="32"/>
  <c r="I10" i="32"/>
  <c r="K10" i="32" s="1"/>
  <c r="I9" i="32"/>
  <c r="K9" i="32" s="1"/>
  <c r="I8" i="32"/>
  <c r="K8" i="32" s="1"/>
  <c r="B8" i="32"/>
  <c r="B9" i="32" s="1"/>
  <c r="B10" i="32" s="1"/>
  <c r="I7" i="32"/>
  <c r="K7" i="32" s="1"/>
  <c r="I27" i="31"/>
  <c r="I26" i="31"/>
  <c r="K26" i="31" s="1"/>
  <c r="I25" i="31"/>
  <c r="K25" i="31" s="1"/>
  <c r="I24" i="31"/>
  <c r="K24" i="31" s="1"/>
  <c r="I23" i="31"/>
  <c r="K23" i="31" s="1"/>
  <c r="I22" i="31"/>
  <c r="K22" i="31" s="1"/>
  <c r="I21" i="31"/>
  <c r="K21" i="31" s="1"/>
  <c r="I20" i="31"/>
  <c r="K20" i="31" s="1"/>
  <c r="K19" i="31"/>
  <c r="I19" i="31"/>
  <c r="I18" i="31"/>
  <c r="K18" i="31" s="1"/>
  <c r="I17" i="31"/>
  <c r="K17" i="31" s="1"/>
  <c r="I16" i="31"/>
  <c r="K16" i="31" s="1"/>
  <c r="R15" i="31"/>
  <c r="I15" i="31"/>
  <c r="K15" i="31" s="1"/>
  <c r="B15" i="31"/>
  <c r="B16" i="31" s="1"/>
  <c r="B17" i="31" s="1"/>
  <c r="B18" i="31" s="1"/>
  <c r="B19" i="31" s="1"/>
  <c r="B20" i="31" s="1"/>
  <c r="B21" i="31" s="1"/>
  <c r="B22" i="31" s="1"/>
  <c r="B23" i="31" s="1"/>
  <c r="B24" i="31" s="1"/>
  <c r="B25" i="31" s="1"/>
  <c r="B26" i="31" s="1"/>
  <c r="B27" i="31" s="1"/>
  <c r="B28" i="31" s="1"/>
  <c r="B29" i="31" s="1"/>
  <c r="B30" i="31" s="1"/>
  <c r="I14" i="31"/>
  <c r="K14" i="31" s="1"/>
  <c r="B14" i="31"/>
  <c r="I13" i="31"/>
  <c r="K13" i="31" s="1"/>
  <c r="R10" i="31"/>
  <c r="I10" i="31"/>
  <c r="K10" i="31" s="1"/>
  <c r="I9" i="31"/>
  <c r="K9" i="31" s="1"/>
  <c r="B9" i="31"/>
  <c r="B10" i="31" s="1"/>
  <c r="I8" i="31"/>
  <c r="K8" i="31" s="1"/>
  <c r="B8" i="31"/>
  <c r="I7" i="31"/>
  <c r="K7" i="31" s="1"/>
  <c r="I8" i="30"/>
  <c r="K8" i="30" s="1"/>
  <c r="I9" i="30"/>
  <c r="K9" i="30" s="1"/>
  <c r="I10" i="30"/>
  <c r="K10" i="30" s="1"/>
  <c r="I13" i="30"/>
  <c r="K13" i="30" s="1"/>
  <c r="I14" i="30"/>
  <c r="K14" i="30" s="1"/>
  <c r="I15" i="30"/>
  <c r="K15" i="30" s="1"/>
  <c r="I16" i="30"/>
  <c r="I17" i="30"/>
  <c r="K17" i="30" s="1"/>
  <c r="I18" i="30"/>
  <c r="K18" i="30" s="1"/>
  <c r="I19" i="30"/>
  <c r="K19" i="30" s="1"/>
  <c r="I20" i="30"/>
  <c r="K20" i="30" s="1"/>
  <c r="I21" i="30"/>
  <c r="K21" i="30" s="1"/>
  <c r="I22" i="30"/>
  <c r="K22" i="30" s="1"/>
  <c r="I23" i="30"/>
  <c r="I24" i="30"/>
  <c r="I25" i="30"/>
  <c r="K25" i="30" s="1"/>
  <c r="I26" i="30"/>
  <c r="K26" i="30" s="1"/>
  <c r="I27" i="30"/>
  <c r="I7" i="30"/>
  <c r="K24" i="30"/>
  <c r="K23" i="30"/>
  <c r="K16" i="30"/>
  <c r="R15" i="30"/>
  <c r="B14" i="30"/>
  <c r="B15" i="30" s="1"/>
  <c r="B16" i="30" s="1"/>
  <c r="B17" i="30" s="1"/>
  <c r="B18" i="30" s="1"/>
  <c r="B19" i="30" s="1"/>
  <c r="B20" i="30" s="1"/>
  <c r="B21" i="30" s="1"/>
  <c r="B22" i="30" s="1"/>
  <c r="B23" i="30" s="1"/>
  <c r="B24" i="30" s="1"/>
  <c r="B25" i="30" s="1"/>
  <c r="B26" i="30" s="1"/>
  <c r="B27" i="30" s="1"/>
  <c r="B28" i="30" s="1"/>
  <c r="B29" i="30" s="1"/>
  <c r="B30" i="30" s="1"/>
  <c r="R10" i="30"/>
  <c r="B8" i="30"/>
  <c r="B9" i="30" s="1"/>
  <c r="B10" i="30" s="1"/>
  <c r="I7" i="29"/>
  <c r="I23" i="29"/>
  <c r="K23" i="29" s="1"/>
  <c r="I24" i="29"/>
  <c r="K24" i="29" s="1"/>
  <c r="K16" i="29"/>
  <c r="K18" i="29"/>
  <c r="K22" i="29"/>
  <c r="I26" i="29"/>
  <c r="K26" i="29" s="1"/>
  <c r="I25" i="29"/>
  <c r="K25" i="29" s="1"/>
  <c r="I21" i="29"/>
  <c r="K21" i="29" s="1"/>
  <c r="I20" i="29"/>
  <c r="K20" i="29" s="1"/>
  <c r="I19" i="29"/>
  <c r="K19" i="29" s="1"/>
  <c r="I18" i="29"/>
  <c r="I17" i="29"/>
  <c r="K17" i="29" s="1"/>
  <c r="R15" i="29"/>
  <c r="I15" i="29"/>
  <c r="K15" i="29" s="1"/>
  <c r="I14" i="29"/>
  <c r="K14" i="29" s="1"/>
  <c r="B14" i="29"/>
  <c r="B15" i="29" s="1"/>
  <c r="B16" i="29" s="1"/>
  <c r="B17" i="29" s="1"/>
  <c r="B18" i="29" s="1"/>
  <c r="B19" i="29" s="1"/>
  <c r="B20" i="29" s="1"/>
  <c r="B21" i="29" s="1"/>
  <c r="B22" i="29" s="1"/>
  <c r="B23" i="29" s="1"/>
  <c r="B24" i="29" s="1"/>
  <c r="B25" i="29" s="1"/>
  <c r="B26" i="29" s="1"/>
  <c r="B27" i="29" s="1"/>
  <c r="B28" i="29" s="1"/>
  <c r="B29" i="29" s="1"/>
  <c r="B30" i="29" s="1"/>
  <c r="I13" i="29"/>
  <c r="K13" i="29" s="1"/>
  <c r="R10" i="29"/>
  <c r="I10" i="29"/>
  <c r="K10" i="29" s="1"/>
  <c r="I9" i="29"/>
  <c r="K9" i="29" s="1"/>
  <c r="I8" i="29"/>
  <c r="K8" i="29" s="1"/>
  <c r="B8" i="29"/>
  <c r="B9" i="29" s="1"/>
  <c r="B10" i="29" s="1"/>
  <c r="B15" i="28"/>
  <c r="B16" i="28" s="1"/>
  <c r="B17" i="28" s="1"/>
  <c r="B18" i="28" s="1"/>
  <c r="B19" i="28" s="1"/>
  <c r="B20" i="28" s="1"/>
  <c r="B21" i="28" s="1"/>
  <c r="B22" i="28" s="1"/>
  <c r="B23" i="28" s="1"/>
  <c r="B24" i="28" s="1"/>
  <c r="B25" i="28" s="1"/>
  <c r="B26" i="28" s="1"/>
  <c r="B27" i="28" s="1"/>
  <c r="B28" i="28" s="1"/>
  <c r="B29" i="28" s="1"/>
  <c r="B30" i="28" s="1"/>
  <c r="R12" i="33" l="1"/>
  <c r="K8" i="33"/>
  <c r="R12" i="32"/>
  <c r="R12" i="31"/>
  <c r="R12" i="30"/>
  <c r="K7" i="30"/>
  <c r="R12" i="29"/>
  <c r="K7" i="29"/>
  <c r="I26" i="28"/>
  <c r="K26" i="28" s="1"/>
  <c r="I25" i="28"/>
  <c r="K25" i="28" s="1"/>
  <c r="I24" i="28"/>
  <c r="K24" i="28" s="1"/>
  <c r="I23" i="28"/>
  <c r="K23" i="28" s="1"/>
  <c r="I21" i="28"/>
  <c r="K21" i="28" s="1"/>
  <c r="I20" i="28"/>
  <c r="K20" i="28" s="1"/>
  <c r="I19" i="28"/>
  <c r="K19" i="28" s="1"/>
  <c r="I18" i="28"/>
  <c r="K18" i="28" s="1"/>
  <c r="I17" i="28"/>
  <c r="K17" i="28" s="1"/>
  <c r="R15" i="28"/>
  <c r="I15" i="28"/>
  <c r="K15" i="28" s="1"/>
  <c r="I14" i="28"/>
  <c r="K14" i="28" s="1"/>
  <c r="B14" i="28"/>
  <c r="I13" i="28"/>
  <c r="K13" i="28" s="1"/>
  <c r="R10" i="28"/>
  <c r="I10" i="28"/>
  <c r="K10" i="28" s="1"/>
  <c r="I9" i="28"/>
  <c r="K9" i="28" s="1"/>
  <c r="I8" i="28"/>
  <c r="B8" i="28"/>
  <c r="B9" i="28" s="1"/>
  <c r="B10" i="28" s="1"/>
  <c r="I7" i="28"/>
  <c r="K14" i="27"/>
  <c r="I26" i="27"/>
  <c r="K26" i="27" s="1"/>
  <c r="I25" i="27"/>
  <c r="K25" i="27" s="1"/>
  <c r="I24" i="27"/>
  <c r="K24" i="27" s="1"/>
  <c r="B27" i="27"/>
  <c r="B28" i="27" s="1"/>
  <c r="B29" i="27" s="1"/>
  <c r="B30" i="27" s="1"/>
  <c r="I23" i="27"/>
  <c r="K23" i="27" s="1"/>
  <c r="I21" i="27"/>
  <c r="K21" i="27" s="1"/>
  <c r="I20" i="27"/>
  <c r="K20" i="27" s="1"/>
  <c r="I19" i="27"/>
  <c r="K19" i="27" s="1"/>
  <c r="I18" i="27"/>
  <c r="K18" i="27" s="1"/>
  <c r="I17" i="27"/>
  <c r="K17" i="27" s="1"/>
  <c r="R15" i="27"/>
  <c r="I15" i="27"/>
  <c r="K15" i="27" s="1"/>
  <c r="B15" i="27"/>
  <c r="B16" i="27" s="1"/>
  <c r="B17" i="27" s="1"/>
  <c r="B18" i="27" s="1"/>
  <c r="B19" i="27" s="1"/>
  <c r="B20" i="27" s="1"/>
  <c r="B21" i="27" s="1"/>
  <c r="B22" i="27" s="1"/>
  <c r="B23" i="27" s="1"/>
  <c r="B24" i="27" s="1"/>
  <c r="B25" i="27" s="1"/>
  <c r="I14" i="27"/>
  <c r="B14" i="27"/>
  <c r="I13" i="27"/>
  <c r="K13" i="27" s="1"/>
  <c r="R10" i="27"/>
  <c r="I10" i="27"/>
  <c r="K10" i="27" s="1"/>
  <c r="I9" i="27"/>
  <c r="K9" i="27" s="1"/>
  <c r="I8" i="27"/>
  <c r="B8" i="27"/>
  <c r="B9" i="27" s="1"/>
  <c r="B10" i="27" s="1"/>
  <c r="I7" i="27"/>
  <c r="A3" i="26"/>
  <c r="A4" i="26" s="1"/>
  <c r="A5" i="26" s="1"/>
  <c r="A6" i="26" s="1"/>
  <c r="A7" i="26" s="1"/>
  <c r="A8" i="26" s="1"/>
  <c r="A9" i="26" s="1"/>
  <c r="A10" i="26" s="1"/>
  <c r="A11" i="26" s="1"/>
  <c r="A12" i="26" s="1"/>
  <c r="A13" i="26" s="1"/>
  <c r="A14" i="26" s="1"/>
  <c r="A15" i="26" s="1"/>
  <c r="A16" i="26" s="1"/>
  <c r="A17" i="26" s="1"/>
  <c r="A18" i="26" s="1"/>
  <c r="R12" i="28" l="1"/>
  <c r="K7" i="28"/>
  <c r="R12" i="27"/>
  <c r="K7" i="27"/>
  <c r="B25" i="25"/>
  <c r="I29" i="25"/>
  <c r="K29" i="25" s="1"/>
  <c r="I28" i="25"/>
  <c r="K28" i="25" s="1"/>
  <c r="B28" i="25"/>
  <c r="B29" i="25" s="1"/>
  <c r="B30" i="25" s="1"/>
  <c r="I27" i="25"/>
  <c r="K27" i="25" s="1"/>
  <c r="B27" i="25"/>
  <c r="I26" i="25"/>
  <c r="K26" i="25" s="1"/>
  <c r="I21" i="25"/>
  <c r="K21" i="25" s="1"/>
  <c r="I20" i="25"/>
  <c r="K20" i="25" s="1"/>
  <c r="I19" i="25"/>
  <c r="K19" i="25" s="1"/>
  <c r="I18" i="25"/>
  <c r="K18" i="25" s="1"/>
  <c r="I17" i="25"/>
  <c r="K17" i="25" s="1"/>
  <c r="I16" i="25"/>
  <c r="K16" i="25" s="1"/>
  <c r="I15" i="25"/>
  <c r="K15" i="25" s="1"/>
  <c r="R15" i="25"/>
  <c r="I14" i="25"/>
  <c r="B15" i="25"/>
  <c r="B16" i="25" s="1"/>
  <c r="B17" i="25" s="1"/>
  <c r="B18" i="25" s="1"/>
  <c r="B19" i="25" s="1"/>
  <c r="B20" i="25" s="1"/>
  <c r="B21" i="25" s="1"/>
  <c r="B22" i="25" s="1"/>
  <c r="B23" i="25" s="1"/>
  <c r="B24" i="25" s="1"/>
  <c r="B14" i="25"/>
  <c r="I13" i="25"/>
  <c r="K13" i="25" s="1"/>
  <c r="R10" i="25"/>
  <c r="I10" i="25"/>
  <c r="K10" i="25" s="1"/>
  <c r="I9" i="25"/>
  <c r="K9" i="25" s="1"/>
  <c r="I8" i="25"/>
  <c r="B8" i="25"/>
  <c r="B9" i="25" s="1"/>
  <c r="B10" i="25" s="1"/>
  <c r="I7" i="25"/>
  <c r="R12" i="25" l="1"/>
  <c r="K7" i="25"/>
  <c r="I29" i="24"/>
  <c r="K29" i="24" s="1"/>
  <c r="I28" i="24"/>
  <c r="K28" i="24" s="1"/>
  <c r="I27" i="24"/>
  <c r="K27" i="24" s="1"/>
  <c r="B27" i="24"/>
  <c r="B28" i="24" s="1"/>
  <c r="B29" i="24" s="1"/>
  <c r="B30" i="24" s="1"/>
  <c r="I26" i="24"/>
  <c r="K26" i="24" s="1"/>
  <c r="I22" i="24"/>
  <c r="K22" i="24" s="1"/>
  <c r="I21" i="24"/>
  <c r="K21" i="24" s="1"/>
  <c r="I20" i="24"/>
  <c r="K20" i="24" s="1"/>
  <c r="I19" i="24"/>
  <c r="K19" i="24" s="1"/>
  <c r="I18" i="24"/>
  <c r="K18" i="24" s="1"/>
  <c r="I17" i="24"/>
  <c r="K17" i="24" s="1"/>
  <c r="I16" i="24"/>
  <c r="K16" i="24" s="1"/>
  <c r="R15" i="24"/>
  <c r="I15" i="24"/>
  <c r="K15" i="24" s="1"/>
  <c r="K14" i="24"/>
  <c r="B14" i="24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I13" i="24"/>
  <c r="K13" i="24" s="1"/>
  <c r="R10" i="24"/>
  <c r="I10" i="24"/>
  <c r="K10" i="24" s="1"/>
  <c r="I9" i="24"/>
  <c r="K9" i="24" s="1"/>
  <c r="I8" i="24"/>
  <c r="B8" i="24"/>
  <c r="B9" i="24" s="1"/>
  <c r="B10" i="24" s="1"/>
  <c r="I7" i="24"/>
  <c r="K7" i="24" s="1"/>
  <c r="K14" i="23"/>
  <c r="I29" i="23"/>
  <c r="I28" i="23"/>
  <c r="K28" i="23" s="1"/>
  <c r="I27" i="23"/>
  <c r="K27" i="23" s="1"/>
  <c r="B27" i="23"/>
  <c r="B28" i="23" s="1"/>
  <c r="B29" i="23" s="1"/>
  <c r="B30" i="23" s="1"/>
  <c r="I26" i="23"/>
  <c r="K26" i="23" s="1"/>
  <c r="I22" i="23"/>
  <c r="K22" i="23" s="1"/>
  <c r="I21" i="23"/>
  <c r="K21" i="23" s="1"/>
  <c r="I20" i="23"/>
  <c r="K20" i="23" s="1"/>
  <c r="I19" i="23"/>
  <c r="K19" i="23" s="1"/>
  <c r="I18" i="23"/>
  <c r="K18" i="23" s="1"/>
  <c r="I17" i="23"/>
  <c r="K17" i="23" s="1"/>
  <c r="I16" i="23"/>
  <c r="K16" i="23" s="1"/>
  <c r="R15" i="23"/>
  <c r="I15" i="23"/>
  <c r="K15" i="23" s="1"/>
  <c r="B14" i="23"/>
  <c r="B15" i="23" s="1"/>
  <c r="B16" i="23" s="1"/>
  <c r="B17" i="23" s="1"/>
  <c r="B18" i="23" s="1"/>
  <c r="B19" i="23" s="1"/>
  <c r="B20" i="23" s="1"/>
  <c r="B21" i="23" s="1"/>
  <c r="B22" i="23" s="1"/>
  <c r="B23" i="23" s="1"/>
  <c r="B24" i="23" s="1"/>
  <c r="I13" i="23"/>
  <c r="K13" i="23" s="1"/>
  <c r="R10" i="23"/>
  <c r="I10" i="23"/>
  <c r="K10" i="23" s="1"/>
  <c r="I9" i="23"/>
  <c r="K9" i="23" s="1"/>
  <c r="I8" i="23"/>
  <c r="B8" i="23"/>
  <c r="B9" i="23" s="1"/>
  <c r="B10" i="23" s="1"/>
  <c r="I7" i="23"/>
  <c r="K7" i="23" s="1"/>
  <c r="R12" i="24" l="1"/>
  <c r="R12" i="23"/>
  <c r="K22" i="22"/>
  <c r="I29" i="22"/>
  <c r="K29" i="22" s="1"/>
  <c r="I28" i="22"/>
  <c r="I27" i="22"/>
  <c r="K27" i="22" s="1"/>
  <c r="B27" i="22"/>
  <c r="B28" i="22" s="1"/>
  <c r="B29" i="22" s="1"/>
  <c r="B30" i="22" s="1"/>
  <c r="I26" i="22"/>
  <c r="K26" i="22" s="1"/>
  <c r="I22" i="22"/>
  <c r="I21" i="22"/>
  <c r="K21" i="22" s="1"/>
  <c r="I20" i="22"/>
  <c r="K20" i="22" s="1"/>
  <c r="I19" i="22"/>
  <c r="K19" i="22" s="1"/>
  <c r="I18" i="22"/>
  <c r="K18" i="22" s="1"/>
  <c r="I17" i="22"/>
  <c r="K17" i="22" s="1"/>
  <c r="I16" i="22"/>
  <c r="K16" i="22" s="1"/>
  <c r="R15" i="22"/>
  <c r="I15" i="22"/>
  <c r="K15" i="22" s="1"/>
  <c r="B14" i="22"/>
  <c r="B15" i="22" s="1"/>
  <c r="B16" i="22" s="1"/>
  <c r="B17" i="22" s="1"/>
  <c r="B18" i="22" s="1"/>
  <c r="B19" i="22" s="1"/>
  <c r="B20" i="22" s="1"/>
  <c r="B21" i="22" s="1"/>
  <c r="B22" i="22" s="1"/>
  <c r="B23" i="22" s="1"/>
  <c r="B24" i="22" s="1"/>
  <c r="I13" i="22"/>
  <c r="K13" i="22" s="1"/>
  <c r="R10" i="22"/>
  <c r="I10" i="22"/>
  <c r="K10" i="22" s="1"/>
  <c r="I9" i="22"/>
  <c r="K9" i="22" s="1"/>
  <c r="I8" i="22"/>
  <c r="B8" i="22"/>
  <c r="B9" i="22" s="1"/>
  <c r="B10" i="22" s="1"/>
  <c r="I7" i="22"/>
  <c r="R12" i="22" l="1"/>
  <c r="K7" i="22"/>
  <c r="I8" i="21" l="1"/>
  <c r="I28" i="21" l="1"/>
  <c r="K28" i="21" s="1"/>
  <c r="I29" i="21"/>
  <c r="K29" i="21" s="1"/>
  <c r="I27" i="21"/>
  <c r="K27" i="21" s="1"/>
  <c r="B27" i="21"/>
  <c r="B28" i="21" s="1"/>
  <c r="B29" i="21" s="1"/>
  <c r="B30" i="21" s="1"/>
  <c r="I26" i="21"/>
  <c r="I22" i="21"/>
  <c r="K22" i="21" s="1"/>
  <c r="I21" i="21"/>
  <c r="K21" i="21" s="1"/>
  <c r="I20" i="21"/>
  <c r="K20" i="21" s="1"/>
  <c r="I19" i="21"/>
  <c r="K19" i="21" s="1"/>
  <c r="I18" i="21"/>
  <c r="K18" i="21" s="1"/>
  <c r="I17" i="21"/>
  <c r="K17" i="21" s="1"/>
  <c r="I16" i="21"/>
  <c r="K16" i="21" s="1"/>
  <c r="R15" i="21"/>
  <c r="I15" i="21"/>
  <c r="K15" i="21" s="1"/>
  <c r="B14" i="21"/>
  <c r="B15" i="21" s="1"/>
  <c r="B16" i="21" s="1"/>
  <c r="B17" i="21" s="1"/>
  <c r="B18" i="21" s="1"/>
  <c r="B19" i="21" s="1"/>
  <c r="B20" i="21" s="1"/>
  <c r="B21" i="21" s="1"/>
  <c r="B22" i="21" s="1"/>
  <c r="B23" i="21" s="1"/>
  <c r="B24" i="21" s="1"/>
  <c r="I13" i="21"/>
  <c r="K13" i="21" s="1"/>
  <c r="R10" i="21"/>
  <c r="I10" i="21"/>
  <c r="K10" i="21" s="1"/>
  <c r="I9" i="21"/>
  <c r="K9" i="21" s="1"/>
  <c r="B8" i="21"/>
  <c r="B9" i="21" s="1"/>
  <c r="B10" i="21" s="1"/>
  <c r="I7" i="21"/>
  <c r="K7" i="21" s="1"/>
  <c r="I27" i="20"/>
  <c r="K27" i="20" s="1"/>
  <c r="B27" i="20"/>
  <c r="B28" i="20" s="1"/>
  <c r="B29" i="20" s="1"/>
  <c r="B30" i="20" s="1"/>
  <c r="I26" i="20"/>
  <c r="I22" i="20"/>
  <c r="K22" i="20" s="1"/>
  <c r="I21" i="20"/>
  <c r="K21" i="20" s="1"/>
  <c r="I20" i="20"/>
  <c r="I19" i="20"/>
  <c r="K19" i="20" s="1"/>
  <c r="I18" i="20"/>
  <c r="K18" i="20" s="1"/>
  <c r="I17" i="20"/>
  <c r="K17" i="20" s="1"/>
  <c r="I16" i="20"/>
  <c r="K16" i="20" s="1"/>
  <c r="R15" i="20"/>
  <c r="I15" i="20"/>
  <c r="K15" i="20" s="1"/>
  <c r="I14" i="20"/>
  <c r="K14" i="20" s="1"/>
  <c r="B14" i="20"/>
  <c r="B15" i="20" s="1"/>
  <c r="B16" i="20" s="1"/>
  <c r="B17" i="20" s="1"/>
  <c r="B18" i="20" s="1"/>
  <c r="B19" i="20" s="1"/>
  <c r="B20" i="20" s="1"/>
  <c r="B21" i="20" s="1"/>
  <c r="B22" i="20" s="1"/>
  <c r="B23" i="20" s="1"/>
  <c r="B24" i="20" s="1"/>
  <c r="I13" i="20"/>
  <c r="K13" i="20" s="1"/>
  <c r="I10" i="20"/>
  <c r="K10" i="20" s="1"/>
  <c r="R10" i="20"/>
  <c r="I9" i="20"/>
  <c r="K9" i="20" s="1"/>
  <c r="B8" i="20"/>
  <c r="B9" i="20" s="1"/>
  <c r="B10" i="20" s="1"/>
  <c r="I7" i="20"/>
  <c r="R15" i="19"/>
  <c r="I27" i="19"/>
  <c r="K27" i="19" s="1"/>
  <c r="I26" i="19"/>
  <c r="B27" i="19"/>
  <c r="B28" i="19" s="1"/>
  <c r="B29" i="19" s="1"/>
  <c r="B30" i="19" s="1"/>
  <c r="I19" i="19"/>
  <c r="K19" i="19" s="1"/>
  <c r="R12" i="21" l="1"/>
  <c r="R12" i="20"/>
  <c r="K7" i="20"/>
  <c r="I24" i="19"/>
  <c r="I23" i="19"/>
  <c r="K23" i="19" s="1"/>
  <c r="I22" i="19"/>
  <c r="I21" i="19"/>
  <c r="K21" i="19" s="1"/>
  <c r="I20" i="19"/>
  <c r="K20" i="19" s="1"/>
  <c r="I18" i="19"/>
  <c r="K18" i="19" s="1"/>
  <c r="I17" i="19"/>
  <c r="K17" i="19" s="1"/>
  <c r="I16" i="19"/>
  <c r="K16" i="19" s="1"/>
  <c r="I15" i="19"/>
  <c r="K15" i="19" s="1"/>
  <c r="I14" i="19"/>
  <c r="K14" i="19" s="1"/>
  <c r="B14" i="19"/>
  <c r="B15" i="19" s="1"/>
  <c r="B16" i="19" s="1"/>
  <c r="B17" i="19" s="1"/>
  <c r="B18" i="19" s="1"/>
  <c r="B19" i="19" s="1"/>
  <c r="B20" i="19" s="1"/>
  <c r="B21" i="19" s="1"/>
  <c r="B22" i="19" s="1"/>
  <c r="B23" i="19" s="1"/>
  <c r="B24" i="19" s="1"/>
  <c r="I13" i="19"/>
  <c r="K13" i="19" s="1"/>
  <c r="I11" i="19"/>
  <c r="K11" i="19" s="1"/>
  <c r="I10" i="19"/>
  <c r="K10" i="19" s="1"/>
  <c r="I8" i="19"/>
  <c r="K8" i="19" s="1"/>
  <c r="B8" i="19"/>
  <c r="B9" i="19" s="1"/>
  <c r="B10" i="19" s="1"/>
  <c r="B11" i="19" s="1"/>
  <c r="I7" i="19"/>
  <c r="K7" i="19" s="1"/>
  <c r="R10" i="19" l="1"/>
  <c r="R12" i="19"/>
  <c r="J30" i="18"/>
  <c r="I15" i="18" l="1"/>
  <c r="J28" i="18"/>
  <c r="I26" i="18"/>
  <c r="K26" i="18" s="1"/>
  <c r="I25" i="18"/>
  <c r="K25" i="18" s="1"/>
  <c r="I24" i="18"/>
  <c r="I23" i="18"/>
  <c r="K23" i="18" s="1"/>
  <c r="I22" i="18"/>
  <c r="I21" i="18"/>
  <c r="K21" i="18" s="1"/>
  <c r="I20" i="18"/>
  <c r="K20" i="18" s="1"/>
  <c r="I19" i="18"/>
  <c r="K19" i="18" s="1"/>
  <c r="I18" i="18"/>
  <c r="K18" i="18" s="1"/>
  <c r="I17" i="18"/>
  <c r="K17" i="18" s="1"/>
  <c r="I16" i="18"/>
  <c r="K16" i="18" s="1"/>
  <c r="B16" i="18"/>
  <c r="B17" i="18" s="1"/>
  <c r="B18" i="18" s="1"/>
  <c r="B19" i="18" s="1"/>
  <c r="B20" i="18" s="1"/>
  <c r="B21" i="18" s="1"/>
  <c r="B22" i="18" s="1"/>
  <c r="B23" i="18" s="1"/>
  <c r="B24" i="18" s="1"/>
  <c r="B25" i="18" s="1"/>
  <c r="B26" i="18" s="1"/>
  <c r="I11" i="18"/>
  <c r="K11" i="18" s="1"/>
  <c r="I10" i="18"/>
  <c r="K10" i="18" s="1"/>
  <c r="I9" i="18"/>
  <c r="K9" i="18" s="1"/>
  <c r="I8" i="18"/>
  <c r="K8" i="18" s="1"/>
  <c r="B8" i="18"/>
  <c r="B9" i="18" s="1"/>
  <c r="B10" i="18" s="1"/>
  <c r="B11" i="18" s="1"/>
  <c r="I7" i="18"/>
  <c r="I25" i="17"/>
  <c r="K25" i="17" s="1"/>
  <c r="I26" i="17"/>
  <c r="K26" i="17" s="1"/>
  <c r="I9" i="17"/>
  <c r="K9" i="17" s="1"/>
  <c r="J30" i="17"/>
  <c r="J28" i="17"/>
  <c r="I24" i="17"/>
  <c r="K24" i="17" s="1"/>
  <c r="I23" i="17"/>
  <c r="K23" i="17" s="1"/>
  <c r="I22" i="17"/>
  <c r="K22" i="17" s="1"/>
  <c r="I21" i="17"/>
  <c r="K21" i="17" s="1"/>
  <c r="I20" i="17"/>
  <c r="K20" i="17" s="1"/>
  <c r="I19" i="17"/>
  <c r="K19" i="17" s="1"/>
  <c r="I18" i="17"/>
  <c r="K18" i="17" s="1"/>
  <c r="I17" i="17"/>
  <c r="K17" i="17" s="1"/>
  <c r="I16" i="17"/>
  <c r="K16" i="17" s="1"/>
  <c r="B16" i="17"/>
  <c r="B17" i="17" s="1"/>
  <c r="B18" i="17" s="1"/>
  <c r="B19" i="17" s="1"/>
  <c r="B20" i="17" s="1"/>
  <c r="B21" i="17" s="1"/>
  <c r="B22" i="17" s="1"/>
  <c r="B23" i="17" s="1"/>
  <c r="B24" i="17" s="1"/>
  <c r="B25" i="17" s="1"/>
  <c r="B26" i="17" s="1"/>
  <c r="I15" i="17"/>
  <c r="K15" i="17" s="1"/>
  <c r="I11" i="17"/>
  <c r="K11" i="17" s="1"/>
  <c r="I10" i="17"/>
  <c r="K10" i="17" s="1"/>
  <c r="I8" i="17"/>
  <c r="K8" i="17" s="1"/>
  <c r="B8" i="17"/>
  <c r="B9" i="17" s="1"/>
  <c r="B10" i="17" s="1"/>
  <c r="B11" i="17" s="1"/>
  <c r="I7" i="17"/>
  <c r="I16" i="16"/>
  <c r="K16" i="16" s="1"/>
  <c r="I17" i="16"/>
  <c r="K17" i="16" s="1"/>
  <c r="I18" i="16"/>
  <c r="K18" i="16" s="1"/>
  <c r="I19" i="16"/>
  <c r="K19" i="16" s="1"/>
  <c r="I20" i="16"/>
  <c r="K20" i="16" s="1"/>
  <c r="I21" i="16"/>
  <c r="I22" i="16"/>
  <c r="K22" i="16" s="1"/>
  <c r="I23" i="16"/>
  <c r="K23" i="16" s="1"/>
  <c r="I24" i="16"/>
  <c r="I25" i="16"/>
  <c r="K25" i="16" s="1"/>
  <c r="I15" i="16"/>
  <c r="K15" i="16" s="1"/>
  <c r="I8" i="16"/>
  <c r="I9" i="16"/>
  <c r="K9" i="16" s="1"/>
  <c r="I10" i="16"/>
  <c r="K10" i="16" s="1"/>
  <c r="I11" i="16"/>
  <c r="K11" i="16" s="1"/>
  <c r="I7" i="16"/>
  <c r="B8" i="16"/>
  <c r="B9" i="16" s="1"/>
  <c r="B10" i="16" s="1"/>
  <c r="B11" i="16" s="1"/>
  <c r="J30" i="16"/>
  <c r="J28" i="16"/>
  <c r="B16" i="16"/>
  <c r="B17" i="16" s="1"/>
  <c r="B18" i="16" s="1"/>
  <c r="B19" i="16" s="1"/>
  <c r="B20" i="16" s="1"/>
  <c r="B21" i="16" s="1"/>
  <c r="B22" i="16" s="1"/>
  <c r="B23" i="16" s="1"/>
  <c r="B24" i="16" s="1"/>
  <c r="B25" i="16" s="1"/>
  <c r="B26" i="16" s="1"/>
  <c r="K8" i="16"/>
  <c r="I10" i="15"/>
  <c r="K10" i="15" s="1"/>
  <c r="J30" i="15"/>
  <c r="I26" i="15"/>
  <c r="K16" i="15"/>
  <c r="K17" i="15"/>
  <c r="K18" i="15"/>
  <c r="K19" i="15"/>
  <c r="K20" i="15"/>
  <c r="K21" i="15"/>
  <c r="K22" i="15"/>
  <c r="K23" i="15"/>
  <c r="K24" i="15"/>
  <c r="K25" i="15"/>
  <c r="K7" i="15"/>
  <c r="J28" i="15"/>
  <c r="B17" i="15"/>
  <c r="B18" i="15" s="1"/>
  <c r="B19" i="15" s="1"/>
  <c r="B20" i="15" s="1"/>
  <c r="B21" i="15" s="1"/>
  <c r="B22" i="15" s="1"/>
  <c r="B23" i="15" s="1"/>
  <c r="B24" i="15" s="1"/>
  <c r="B25" i="15" s="1"/>
  <c r="B26" i="15" s="1"/>
  <c r="B8" i="15"/>
  <c r="B9" i="15" s="1"/>
  <c r="B10" i="15" s="1"/>
  <c r="B11" i="15" s="1"/>
  <c r="B12" i="15" s="1"/>
  <c r="K24" i="18" l="1"/>
  <c r="J29" i="18"/>
  <c r="K7" i="18"/>
  <c r="J29" i="17"/>
  <c r="K7" i="17"/>
  <c r="J29" i="16"/>
  <c r="K7" i="16"/>
  <c r="K26" i="15"/>
  <c r="I12" i="15"/>
  <c r="K12" i="15" s="1"/>
  <c r="I11" i="15"/>
  <c r="K11" i="15" s="1"/>
  <c r="I9" i="15"/>
  <c r="K9" i="15" s="1"/>
  <c r="I8" i="15"/>
  <c r="J29" i="15" l="1"/>
  <c r="K8" i="15"/>
  <c r="I9" i="14" l="1"/>
  <c r="I10" i="14"/>
  <c r="I11" i="14"/>
  <c r="I12" i="14"/>
  <c r="I13" i="14"/>
  <c r="I15" i="14"/>
  <c r="I16" i="14"/>
  <c r="I17" i="14"/>
  <c r="I18" i="14"/>
  <c r="I20" i="14"/>
  <c r="I21" i="14"/>
  <c r="I22" i="14"/>
  <c r="I23" i="14"/>
  <c r="I17" i="11" l="1"/>
  <c r="I7" i="10"/>
  <c r="I21" i="9"/>
  <c r="J26" i="14"/>
  <c r="I24" i="14"/>
  <c r="J27" i="14" s="1"/>
  <c r="B8" i="14"/>
  <c r="B9" i="14" s="1"/>
  <c r="I8" i="13"/>
  <c r="I9" i="13"/>
  <c r="I10" i="13"/>
  <c r="I11" i="13"/>
  <c r="I12" i="13"/>
  <c r="I13" i="13"/>
  <c r="I14" i="13"/>
  <c r="I15" i="13"/>
  <c r="I16" i="13"/>
  <c r="I17" i="13"/>
  <c r="I18" i="13"/>
  <c r="I19" i="13"/>
  <c r="I21" i="13"/>
  <c r="I23" i="13"/>
  <c r="I24" i="13"/>
  <c r="I22" i="12"/>
  <c r="J26" i="13"/>
  <c r="B8" i="13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I8" i="12"/>
  <c r="I9" i="12"/>
  <c r="I10" i="12"/>
  <c r="I11" i="12"/>
  <c r="I12" i="12"/>
  <c r="I13" i="12"/>
  <c r="I14" i="12"/>
  <c r="I15" i="12"/>
  <c r="I16" i="12"/>
  <c r="I18" i="12"/>
  <c r="I19" i="12"/>
  <c r="I21" i="12"/>
  <c r="I23" i="12"/>
  <c r="J26" i="12"/>
  <c r="B8" i="12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I19" i="11"/>
  <c r="I8" i="11"/>
  <c r="I9" i="11"/>
  <c r="I10" i="11"/>
  <c r="I11" i="11"/>
  <c r="I12" i="11"/>
  <c r="I13" i="11"/>
  <c r="I14" i="11"/>
  <c r="I15" i="11"/>
  <c r="I16" i="11"/>
  <c r="I18" i="11"/>
  <c r="I21" i="11"/>
  <c r="J26" i="11"/>
  <c r="B8" i="1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I21" i="10"/>
  <c r="I18" i="10"/>
  <c r="I16" i="10"/>
  <c r="I8" i="10"/>
  <c r="I9" i="10"/>
  <c r="I10" i="10"/>
  <c r="I11" i="10"/>
  <c r="I12" i="10"/>
  <c r="I13" i="10"/>
  <c r="I14" i="10"/>
  <c r="I15" i="10"/>
  <c r="I7" i="8"/>
  <c r="I17" i="9"/>
  <c r="J26" i="10"/>
  <c r="B8" i="10"/>
  <c r="B9" i="10" s="1"/>
  <c r="B10" i="10" s="1"/>
  <c r="B11" i="10" s="1"/>
  <c r="B12" i="10" s="1"/>
  <c r="B13" i="10" s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J26" i="9"/>
  <c r="I8" i="9"/>
  <c r="I10" i="9"/>
  <c r="I11" i="9"/>
  <c r="I12" i="9"/>
  <c r="I14" i="9"/>
  <c r="I15" i="9"/>
  <c r="I8" i="8"/>
  <c r="I11" i="8"/>
  <c r="I12" i="8"/>
  <c r="I13" i="8"/>
  <c r="I14" i="8"/>
  <c r="I15" i="8"/>
  <c r="I16" i="8"/>
  <c r="I17" i="8"/>
  <c r="I18" i="8"/>
  <c r="I19" i="8"/>
  <c r="I10" i="7"/>
  <c r="J26" i="8"/>
  <c r="B8" i="8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I11" i="7"/>
  <c r="I12" i="7"/>
  <c r="I13" i="7"/>
  <c r="I15" i="7"/>
  <c r="I16" i="7"/>
  <c r="I17" i="7"/>
  <c r="I8" i="6"/>
  <c r="J26" i="7"/>
  <c r="B8" i="7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J25" i="5"/>
  <c r="I23" i="5"/>
  <c r="I22" i="5"/>
  <c r="I19" i="5"/>
  <c r="I18" i="5"/>
  <c r="I17" i="5"/>
  <c r="I16" i="5"/>
  <c r="I15" i="5"/>
  <c r="I14" i="5"/>
  <c r="I12" i="5"/>
  <c r="I11" i="5"/>
  <c r="I10" i="5"/>
  <c r="I9" i="5"/>
  <c r="B8" i="5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I21" i="6"/>
  <c r="I10" i="6"/>
  <c r="I11" i="6"/>
  <c r="I12" i="6"/>
  <c r="I13" i="6"/>
  <c r="I14" i="6"/>
  <c r="I15" i="6"/>
  <c r="I16" i="6"/>
  <c r="J26" i="6"/>
  <c r="B8" i="6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10" i="14" l="1"/>
  <c r="B11" i="14" s="1"/>
  <c r="B12" i="14" s="1"/>
  <c r="B13" i="14" s="1"/>
  <c r="B14" i="14" s="1"/>
  <c r="B15" i="14" s="1"/>
  <c r="B16" i="14" s="1"/>
  <c r="B17" i="14" s="1"/>
  <c r="B18" i="14" s="1"/>
  <c r="B19" i="14" s="1"/>
  <c r="B20" i="14" s="1"/>
  <c r="B21" i="14" s="1"/>
  <c r="B22" i="14" s="1"/>
  <c r="B23" i="14" s="1"/>
  <c r="J27" i="13"/>
  <c r="J26" i="5"/>
  <c r="J27" i="12"/>
  <c r="J27" i="11"/>
  <c r="J27" i="10"/>
  <c r="J27" i="9"/>
  <c r="J27" i="8"/>
  <c r="J27" i="7"/>
  <c r="J27" i="6"/>
  <c r="B8" i="9" l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</calcChain>
</file>

<file path=xl/sharedStrings.xml><?xml version="1.0" encoding="utf-8"?>
<sst xmlns="http://schemas.openxmlformats.org/spreadsheetml/2006/main" count="3440" uniqueCount="202">
  <si>
    <t>STT</t>
  </si>
  <si>
    <t>HỌ TÊN</t>
  </si>
  <si>
    <t>CCCD</t>
  </si>
  <si>
    <t>ĐỊA CHỈ</t>
  </si>
  <si>
    <t>DOANH THU</t>
  </si>
  <si>
    <t>BILL</t>
  </si>
  <si>
    <t>NULL</t>
  </si>
  <si>
    <t>HÌNH THỨC</t>
  </si>
  <si>
    <t>0975 734 763</t>
  </si>
  <si>
    <t>0915 192 340</t>
  </si>
  <si>
    <t>0974 650 440</t>
  </si>
  <si>
    <t>0969 010 942</t>
  </si>
  <si>
    <t>0945 414 842</t>
  </si>
  <si>
    <t>THANH HÓA</t>
  </si>
  <si>
    <t>68HC 001.92</t>
  </si>
  <si>
    <t>KIÊN GIANG</t>
  </si>
  <si>
    <t>68HC 001.84</t>
  </si>
  <si>
    <t>68HC 001.81</t>
  </si>
  <si>
    <t>AN GIANG</t>
  </si>
  <si>
    <t xml:space="preserve">68HC 001.89 </t>
  </si>
  <si>
    <t>THỰC LÃNH</t>
  </si>
  <si>
    <t>HÀ TĨNH</t>
  </si>
  <si>
    <t>68HC 001.63</t>
  </si>
  <si>
    <t>0989 272 425</t>
  </si>
  <si>
    <t>0832 565 558</t>
  </si>
  <si>
    <t>68HC 001.71</t>
  </si>
  <si>
    <t>TM</t>
  </si>
  <si>
    <t>68HC 001.33</t>
  </si>
  <si>
    <t>0784 617 223</t>
  </si>
  <si>
    <t>TỔNG DOANH THU</t>
  </si>
  <si>
    <t>TỔNG THỰC LÃNH</t>
  </si>
  <si>
    <t>CÔNG TY TNHH MTV VẬN TẢI VÀ DU LỊCH MINH HẢI</t>
  </si>
  <si>
    <t xml:space="preserve">68HC 001.78 </t>
  </si>
  <si>
    <t>0369 922 571</t>
  </si>
  <si>
    <t>NOTE</t>
  </si>
  <si>
    <t xml:space="preserve">68HC 001.70 </t>
  </si>
  <si>
    <t>68HC 001.98</t>
  </si>
  <si>
    <t>QUANG HÀ (VIN)</t>
  </si>
  <si>
    <t>TRƯƠNG VŨ CA (VŨ LINH) (Vin)</t>
  </si>
  <si>
    <t>NGUYỄN CHÍ BÌNH (Vin)</t>
  </si>
  <si>
    <t>LÊ VĂN TÙNG (Sun)</t>
  </si>
  <si>
    <t>ĐỖ VĂN CHUNG (Sun)</t>
  </si>
  <si>
    <t>NAM DO (Sun)</t>
  </si>
  <si>
    <t>NGUYỄN QUỐC NAM (Sun)</t>
  </si>
  <si>
    <t>NHẤT (Sun)</t>
  </si>
  <si>
    <t>TRẦN THIỆN (Sun)</t>
  </si>
  <si>
    <t>THANH  (Sun)</t>
  </si>
  <si>
    <t>VĂN HẠNH (Sun)</t>
  </si>
  <si>
    <t xml:space="preserve">68HC 001.93 </t>
  </si>
  <si>
    <t>BIỂN SỐ</t>
  </si>
  <si>
    <t>SDT</t>
  </si>
  <si>
    <t>TIME</t>
  </si>
  <si>
    <t>TRẦN VIẾT HÙNG (Sun)</t>
  </si>
  <si>
    <t>NINH BÌNH</t>
  </si>
  <si>
    <t>0917 387 279</t>
  </si>
  <si>
    <t>DOANH THU 01/01/2026</t>
  </si>
  <si>
    <t>68HC 001.34</t>
  </si>
  <si>
    <t>68HC 001.36</t>
  </si>
  <si>
    <t>Biển số</t>
  </si>
  <si>
    <t>0972 789 389</t>
  </si>
  <si>
    <t>HẬU GIANG</t>
  </si>
  <si>
    <t>0911 181 895</t>
  </si>
  <si>
    <t>BẠC LIÊU</t>
  </si>
  <si>
    <t>0981 436 488</t>
  </si>
  <si>
    <t>LONG AN</t>
  </si>
  <si>
    <t xml:space="preserve">Tỉ lệ: </t>
  </si>
  <si>
    <t>6;4</t>
  </si>
  <si>
    <t xml:space="preserve">LÊ THÀNH LẬP (Hiếu) (Sun) </t>
  </si>
  <si>
    <t xml:space="preserve"> </t>
  </si>
  <si>
    <t>CK</t>
  </si>
  <si>
    <t>Elly nợ 500k</t>
  </si>
  <si>
    <t xml:space="preserve">Người mới </t>
  </si>
  <si>
    <t>Chưa TT</t>
  </si>
  <si>
    <t>68HC 001.86</t>
  </si>
  <si>
    <t>chưa được cấp</t>
  </si>
  <si>
    <t>0912 285 485</t>
  </si>
  <si>
    <t>0589 198 189</t>
  </si>
  <si>
    <t>DOANH THU 02/01/2026</t>
  </si>
  <si>
    <t>Lê Văn Tùng 12k*</t>
  </si>
  <si>
    <t>TRẦN THANH THANH  (Sun)</t>
  </si>
  <si>
    <t>LÊ VĨNH NHÂM (Vin)</t>
  </si>
  <si>
    <t>HUỲNH HOÀNG VŨ</t>
  </si>
  <si>
    <t>68HC 001.91</t>
  </si>
  <si>
    <t>68HC 001.68</t>
  </si>
  <si>
    <t>xe chưa có biển</t>
  </si>
  <si>
    <t>DOANH THU 03/01/2026</t>
  </si>
  <si>
    <t>Chưa chuyển</t>
  </si>
  <si>
    <t>DOANH THU 04/01/2026</t>
  </si>
  <si>
    <t>0329 461 991</t>
  </si>
  <si>
    <t>01091004110</t>
  </si>
  <si>
    <t>HÀ NỘI</t>
  </si>
  <si>
    <t>`</t>
  </si>
  <si>
    <t>NGUYỄN VĂN THÁI (Sun)</t>
  </si>
  <si>
    <t>đang làm biển</t>
  </si>
  <si>
    <t>đang cấp</t>
  </si>
  <si>
    <t>DOANH THU 05/01/2026</t>
  </si>
  <si>
    <t>Sau 6-1 nghỉ luôn</t>
  </si>
  <si>
    <t>DOANH THU 06/01/2026</t>
  </si>
  <si>
    <t>THỪA ĐỖ (Sun)</t>
  </si>
  <si>
    <t>DOANH THU 07/01/2026</t>
  </si>
  <si>
    <t>DOANH THU 08/01/2026</t>
  </si>
  <si>
    <t>0926 066 166</t>
  </si>
  <si>
    <t>BÌNH DƯƠNG</t>
  </si>
  <si>
    <t>MAI BÁ ĐẠT (Vin)</t>
  </si>
  <si>
    <t>NGUYỄN VĂN THẠO (Vin)</t>
  </si>
  <si>
    <t>GIA LAI</t>
  </si>
  <si>
    <t>0975 617 376</t>
  </si>
  <si>
    <t>DOANH THU 09/01/2026</t>
  </si>
  <si>
    <t>xin nghỉ thay đèn</t>
  </si>
  <si>
    <t>DOANH THU 10/01/2026</t>
  </si>
  <si>
    <t>HUỲNH HOÀNG VŨ (Sun)</t>
  </si>
  <si>
    <t>QUANG HÀ (Vin)</t>
  </si>
  <si>
    <t>ĐẠT (Vin)</t>
  </si>
  <si>
    <t>BÁC THAO (Vin)</t>
  </si>
  <si>
    <t>Đức anh nhận 
chuyển khoản</t>
  </si>
  <si>
    <t>THỰC NHẬN</t>
  </si>
  <si>
    <t>CÒN THIẾU</t>
  </si>
  <si>
    <t>TỔNG THỰC NHẬN</t>
  </si>
  <si>
    <t>NAM ĐẢO</t>
  </si>
  <si>
    <t>BẮC ĐẢO</t>
  </si>
  <si>
    <t>KHÔNG ĐI LÀM</t>
  </si>
  <si>
    <t>DOANH THU 11/01/2026</t>
  </si>
  <si>
    <t>Nghỉ luôn sau 11-01</t>
  </si>
  <si>
    <t>DOANH THU 12/01/2026</t>
  </si>
  <si>
    <t>094</t>
  </si>
  <si>
    <t>thay 4 bóng đèn</t>
  </si>
  <si>
    <t>DOANH THU 13/01/2026</t>
  </si>
  <si>
    <t>HOÀNG</t>
  </si>
  <si>
    <t>CHUYỂN CHO BÁC KIM</t>
  </si>
  <si>
    <t>bác kim nhận</t>
  </si>
  <si>
    <t>DOANH THU 14/01/2026</t>
  </si>
  <si>
    <t>PHAN HOÀNG EM (Sun)</t>
  </si>
  <si>
    <t xml:space="preserve">TRƯƠNG VŨ CA (VŨ LINH) </t>
  </si>
  <si>
    <t xml:space="preserve">QUANG HÀ </t>
  </si>
  <si>
    <t>MAI BÁ ĐẠT</t>
  </si>
  <si>
    <t xml:space="preserve">NGUYỄN VĂN THẠO </t>
  </si>
  <si>
    <t>DƯƠNG ĐÔNG</t>
  </si>
  <si>
    <t xml:space="preserve">68HC 001.91 </t>
  </si>
  <si>
    <t>HOÀNG ANH TUẤN</t>
  </si>
  <si>
    <t>VŨ ĐỨC HẠNH (HUY)</t>
  </si>
  <si>
    <t>Xe 189.doanh thu 1828-731 tài =1097-600 sửa tăng tốc =497k</t>
  </si>
  <si>
    <t>Xe 171 doanh thu 1540-616 tiền tài=924</t>
  </si>
  <si>
    <t>DỰ KIẾN CTY NHẬN</t>
  </si>
  <si>
    <t>TỔNG DỰ KIẾN CTY NHẬN</t>
  </si>
  <si>
    <t>DOANH THU 15/01/2026</t>
  </si>
  <si>
    <t>nhận thêm 100k ngày 15</t>
  </si>
  <si>
    <t>Nghỉ chịu tang</t>
  </si>
  <si>
    <t>-</t>
  </si>
  <si>
    <t>NGUYỄN ĐĂNG KHÁNH</t>
  </si>
  <si>
    <t>DOANH THU 16/01/2026</t>
  </si>
  <si>
    <t>Anh Thành</t>
  </si>
  <si>
    <t>DOANH THU 17/01/2026</t>
  </si>
  <si>
    <t>DOANH THU 18/01/2026</t>
  </si>
  <si>
    <t>Thiếu 20k</t>
  </si>
  <si>
    <t>ăn chia 5 5, thọt so với thực tế 160k</t>
  </si>
  <si>
    <t>dư 2k</t>
  </si>
  <si>
    <t>DOANH THU 19/01/2026</t>
  </si>
  <si>
    <t>thọt 110,000 ăn chia 5 5</t>
  </si>
  <si>
    <t>thọt 800 đồng</t>
  </si>
  <si>
    <t>DOANH THU 20/01/2026</t>
  </si>
  <si>
    <t>xin nghỉ do bệnh</t>
  </si>
  <si>
    <t>bù doanh thu (thiếu 100k)</t>
  </si>
  <si>
    <t>ăn chia 5 5 , thọt 110k</t>
  </si>
  <si>
    <t>dư 4k</t>
  </si>
  <si>
    <t>thiếu 7k</t>
  </si>
  <si>
    <t>DOANH THU 21/01/2026</t>
  </si>
  <si>
    <t>ăn chia 5 5 , thọt 120,000</t>
  </si>
  <si>
    <t>xin nghỉ 1 ngày có công việc đột xuất
hôm qua chạy được 100, gộp cho hôm 22</t>
  </si>
  <si>
    <t>68HC 001.78</t>
  </si>
  <si>
    <t>DOANH THU 22/01/2026</t>
  </si>
  <si>
    <t>thừa 6k</t>
  </si>
  <si>
    <t xml:space="preserve">thọt 116k </t>
  </si>
  <si>
    <t>DOANH THU 23/01/2026</t>
  </si>
  <si>
    <t>nộp trễ</t>
  </si>
  <si>
    <t>cho nghỉ</t>
  </si>
  <si>
    <t>dư 12k</t>
  </si>
  <si>
    <t>chia 5 5 thọt 120000</t>
  </si>
  <si>
    <t>Dưới 1 triệu 700</t>
  </si>
  <si>
    <t>Trên 1 triệu 700</t>
  </si>
  <si>
    <t>dư 5k</t>
  </si>
  <si>
    <t>DOANH THU 24/01/2026</t>
  </si>
  <si>
    <t>thừa chuyển hết tiền , kh chia tỉ lệ</t>
  </si>
  <si>
    <t xml:space="preserve">đổi qua con 178 </t>
  </si>
  <si>
    <t>DOANH THU 25/01/2026</t>
  </si>
  <si>
    <t>Đã nghỉ và trả xe</t>
  </si>
  <si>
    <t>chia 5 5 thọt 120</t>
  </si>
  <si>
    <t>Sau hôm nay nghỉ</t>
  </si>
  <si>
    <t>DOANH THU 26/01/2026</t>
  </si>
  <si>
    <t>Đức Anh</t>
  </si>
  <si>
    <t>chia 5 5 thọt 70</t>
  </si>
  <si>
    <t>DOANH THU 27/01/2026</t>
  </si>
  <si>
    <t>Nạp tiền trễ</t>
  </si>
  <si>
    <t>nợ bác thạo 160</t>
  </si>
  <si>
    <t>thọt 4k</t>
  </si>
  <si>
    <t>Xin bác Kim nghỉ 1 hôm</t>
  </si>
  <si>
    <t>Trọng Tính</t>
  </si>
  <si>
    <t xml:space="preserve">5 5 </t>
  </si>
  <si>
    <t>DOANH THU 28/01/2026</t>
  </si>
  <si>
    <t>cần bù thêm 50k</t>
  </si>
  <si>
    <t>DOANH THU 29/01/2026</t>
  </si>
  <si>
    <t>Chú thành</t>
  </si>
  <si>
    <t>5 5 thọt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</si>
</sst>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000"/>
  </numFmts>
  <fonts count="35" x14ac:knownFonts="1">
    <font>
      <sz val="11"/>
      <color theme="1"/>
      <name val="Calibri"/>
      <family val="2"/>
      <scheme val="minor"/>
    </font>
    <font>
      <sz val="13"/>
      <color rgb="FF9C0006"/>
      <name val="Times New Roman"/>
      <family val="2"/>
    </font>
    <font>
      <b/>
      <sz val="13"/>
      <color rgb="FF3F3F3F"/>
      <name val="Times New Roman"/>
      <family val="2"/>
    </font>
    <font>
      <b/>
      <sz val="13"/>
      <color rgb="FFFA7D00"/>
      <name val="Times New Roman"/>
      <family val="2"/>
    </font>
    <font>
      <sz val="11"/>
      <color theme="1"/>
      <name val="Times New Roman"/>
      <family val="1"/>
    </font>
    <font>
      <sz val="13"/>
      <color theme="1"/>
      <name val="Times New Roman"/>
      <family val="1"/>
    </font>
    <font>
      <sz val="16"/>
      <color rgb="FF9C0006"/>
      <name val="Times New Roman"/>
      <family val="2"/>
    </font>
    <font>
      <sz val="22"/>
      <color theme="1"/>
      <name val="Times New Roman"/>
      <family val="1"/>
    </font>
    <font>
      <sz val="24"/>
      <color theme="1"/>
      <name val="Times New Roman"/>
      <family val="1"/>
    </font>
    <font>
      <b/>
      <sz val="24"/>
      <color theme="1"/>
      <name val="Times New Roman"/>
      <family val="1"/>
    </font>
    <font>
      <sz val="13"/>
      <name val="Times New Roman"/>
      <family val="1"/>
    </font>
    <font>
      <sz val="13"/>
      <color rgb="FFFF0000"/>
      <name val="Times New Roman"/>
      <family val="1"/>
    </font>
    <font>
      <b/>
      <sz val="18"/>
      <color rgb="FFFA7D00"/>
      <name val="Times New Roman"/>
      <family val="2"/>
    </font>
    <font>
      <b/>
      <sz val="18"/>
      <color rgb="FF3F3F3F"/>
      <name val="Times New Roman"/>
      <family val="2"/>
    </font>
    <font>
      <b/>
      <sz val="13"/>
      <color theme="1"/>
      <name val="Times New Roman"/>
      <family val="1"/>
    </font>
    <font>
      <b/>
      <sz val="13"/>
      <color rgb="FF081B3A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b/>
      <sz val="11"/>
      <color rgb="FFFF000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3"/>
      <color rgb="FFFF0000"/>
      <name val="Times New Roman"/>
      <family val="1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3"/>
      <name val="Times New Roman"/>
      <family val="1"/>
    </font>
    <font>
      <b/>
      <sz val="13"/>
      <color rgb="FFFFFF00"/>
      <name val="Times New Roman"/>
      <family val="1"/>
    </font>
    <font>
      <b/>
      <sz val="11"/>
      <name val="Times New Roman"/>
      <family val="1"/>
    </font>
    <font>
      <sz val="13"/>
      <color rgb="FF101828"/>
      <name val="Times New Roman"/>
      <family val="1"/>
    </font>
    <font>
      <b/>
      <sz val="20"/>
      <color theme="1"/>
      <name val="Times New Roman"/>
      <family val="1"/>
    </font>
    <font>
      <b/>
      <sz val="28"/>
      <color theme="1"/>
      <name val="Times New Roman"/>
      <family val="1"/>
    </font>
    <font>
      <b/>
      <sz val="26"/>
      <color theme="1"/>
      <name val="Times New Roman"/>
      <family val="1"/>
    </font>
    <font>
      <b/>
      <sz val="16"/>
      <color theme="1"/>
      <name val="Times New Roman"/>
      <family val="2"/>
    </font>
    <font>
      <b/>
      <sz val="11"/>
      <color rgb="FFFFFF00"/>
      <name val="Times New Roman"/>
      <family val="1"/>
    </font>
    <font>
      <b/>
      <sz val="18"/>
      <color rgb="FFFA7D00"/>
      <name val="Times New Roman"/>
      <family val="1"/>
    </font>
    <font>
      <b/>
      <sz val="16"/>
      <color theme="1"/>
      <name val="Times New Roman"/>
      <family val="1"/>
    </font>
    <font>
      <b/>
      <sz val="18"/>
      <color rgb="FF3F3F3F"/>
      <name val="Times New Roman"/>
      <family val="1"/>
    </font>
  </fonts>
  <fills count="22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theme="4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7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ck">
        <color rgb="FF5B9BD5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3F3F3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2" applyNumberFormat="0" applyAlignment="0" applyProtection="0"/>
    <xf numFmtId="0" fontId="3" fillId="3" borderId="1" applyNumberFormat="0" applyAlignment="0" applyProtection="0"/>
  </cellStyleXfs>
  <cellXfs count="207">
    <xf numFmtId="0" fontId="0" fillId="0" borderId="0" xfId="0"/>
    <xf numFmtId="0" fontId="4" fillId="0" borderId="0" xfId="0" applyFont="1"/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2" borderId="0" xfId="1" applyFont="1" applyAlignment="1">
      <alignment horizontal="center"/>
    </xf>
    <xf numFmtId="3" fontId="5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3" fontId="13" fillId="3" borderId="2" xfId="2" applyNumberFormat="1" applyFont="1"/>
    <xf numFmtId="3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20" fontId="4" fillId="0" borderId="0" xfId="0" applyNumberFormat="1" applyFont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5" fillId="0" borderId="0" xfId="0" applyFont="1"/>
    <xf numFmtId="0" fontId="14" fillId="0" borderId="0" xfId="0" applyFont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2" fillId="3" borderId="1" xfId="3" applyFont="1"/>
    <xf numFmtId="0" fontId="2" fillId="3" borderId="2" xfId="2"/>
    <xf numFmtId="20" fontId="16" fillId="0" borderId="0" xfId="0" applyNumberFormat="1" applyFont="1" applyAlignment="1">
      <alignment horizontal="right"/>
    </xf>
    <xf numFmtId="3" fontId="4" fillId="0" borderId="0" xfId="0" applyNumberFormat="1" applyFont="1"/>
    <xf numFmtId="0" fontId="0" fillId="0" borderId="0" xfId="0" applyAlignment="1">
      <alignment horizontal="center" vertical="center" wrapText="1"/>
    </xf>
    <xf numFmtId="164" fontId="14" fillId="0" borderId="0" xfId="0" applyNumberFormat="1" applyFont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0" fontId="17" fillId="6" borderId="0" xfId="0" applyFont="1" applyFill="1" applyAlignment="1">
      <alignment horizontal="center"/>
    </xf>
    <xf numFmtId="0" fontId="5" fillId="6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9" fillId="7" borderId="0" xfId="0" applyFont="1" applyFill="1" applyAlignment="1">
      <alignment horizontal="center" vertical="center" wrapText="1"/>
    </xf>
    <xf numFmtId="0" fontId="16" fillId="5" borderId="0" xfId="0" applyFont="1" applyFill="1"/>
    <xf numFmtId="0" fontId="19" fillId="0" borderId="0" xfId="0" applyFont="1" applyAlignment="1">
      <alignment horizontal="center" vertical="center" wrapText="1"/>
    </xf>
    <xf numFmtId="0" fontId="14" fillId="6" borderId="0" xfId="0" applyFont="1" applyFill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21" fillId="8" borderId="0" xfId="0" applyFont="1" applyFill="1" applyAlignment="1">
      <alignment horizontal="center" vertical="center"/>
    </xf>
    <xf numFmtId="0" fontId="23" fillId="5" borderId="0" xfId="0" applyFont="1" applyFill="1" applyAlignment="1">
      <alignment horizontal="center" vertical="center" wrapText="1"/>
    </xf>
    <xf numFmtId="0" fontId="17" fillId="0" borderId="0" xfId="0" applyFont="1" applyAlignment="1">
      <alignment horizontal="center"/>
    </xf>
    <xf numFmtId="0" fontId="24" fillId="7" borderId="0" xfId="0" applyFont="1" applyFill="1" applyAlignment="1">
      <alignment horizontal="center" vertical="center"/>
    </xf>
    <xf numFmtId="0" fontId="23" fillId="5" borderId="0" xfId="0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24" fillId="7" borderId="4" xfId="0" applyFont="1" applyFill="1" applyBorder="1" applyAlignment="1">
      <alignment horizontal="center" vertical="center"/>
    </xf>
    <xf numFmtId="0" fontId="25" fillId="9" borderId="0" xfId="0" applyFont="1" applyFill="1" applyAlignment="1">
      <alignment horizontal="center" vertical="center"/>
    </xf>
    <xf numFmtId="0" fontId="14" fillId="5" borderId="4" xfId="0" applyFont="1" applyFill="1" applyBorder="1" applyAlignment="1">
      <alignment horizontal="center" vertical="center"/>
    </xf>
    <xf numFmtId="0" fontId="14" fillId="4" borderId="4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14" fillId="8" borderId="0" xfId="0" applyFont="1" applyFill="1" applyAlignment="1">
      <alignment horizontal="left" vertical="center"/>
    </xf>
    <xf numFmtId="0" fontId="10" fillId="8" borderId="0" xfId="0" applyFont="1" applyFill="1" applyAlignment="1">
      <alignment horizontal="center" vertical="center"/>
    </xf>
    <xf numFmtId="3" fontId="14" fillId="8" borderId="0" xfId="0" applyNumberFormat="1" applyFont="1" applyFill="1" applyAlignment="1">
      <alignment horizontal="center" vertical="center"/>
    </xf>
    <xf numFmtId="0" fontId="14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49" fontId="5" fillId="0" borderId="0" xfId="0" applyNumberFormat="1" applyFont="1" applyAlignment="1">
      <alignment horizontal="center"/>
    </xf>
    <xf numFmtId="49" fontId="10" fillId="0" borderId="0" xfId="0" applyNumberFormat="1" applyFont="1" applyAlignment="1">
      <alignment horizontal="center" vertical="center"/>
    </xf>
    <xf numFmtId="49" fontId="26" fillId="0" borderId="0" xfId="0" applyNumberFormat="1" applyFont="1" applyAlignment="1">
      <alignment horizontal="center" vertical="center"/>
    </xf>
    <xf numFmtId="49" fontId="20" fillId="0" borderId="0" xfId="0" applyNumberFormat="1" applyFont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3" fontId="13" fillId="3" borderId="2" xfId="2" applyNumberFormat="1" applyFont="1" applyAlignment="1">
      <alignment horizontal="right"/>
    </xf>
    <xf numFmtId="0" fontId="5" fillId="11" borderId="8" xfId="0" applyFont="1" applyFill="1" applyBorder="1" applyAlignment="1">
      <alignment horizontal="center" vertical="center"/>
    </xf>
    <xf numFmtId="0" fontId="14" fillId="11" borderId="8" xfId="0" applyFont="1" applyFill="1" applyBorder="1" applyAlignment="1">
      <alignment horizontal="left" vertical="center"/>
    </xf>
    <xf numFmtId="49" fontId="5" fillId="11" borderId="8" xfId="0" applyNumberFormat="1" applyFont="1" applyFill="1" applyBorder="1" applyAlignment="1">
      <alignment horizontal="center" vertical="center"/>
    </xf>
    <xf numFmtId="49" fontId="5" fillId="11" borderId="8" xfId="0" applyNumberFormat="1" applyFont="1" applyFill="1" applyBorder="1" applyAlignment="1">
      <alignment horizontal="center"/>
    </xf>
    <xf numFmtId="3" fontId="14" fillId="11" borderId="8" xfId="0" applyNumberFormat="1" applyFont="1" applyFill="1" applyBorder="1" applyAlignment="1">
      <alignment horizontal="center" vertical="center"/>
    </xf>
    <xf numFmtId="0" fontId="14" fillId="12" borderId="8" xfId="0" applyFont="1" applyFill="1" applyBorder="1" applyAlignment="1">
      <alignment horizontal="center" vertical="center"/>
    </xf>
    <xf numFmtId="0" fontId="5" fillId="12" borderId="8" xfId="0" applyFont="1" applyFill="1" applyBorder="1" applyAlignment="1">
      <alignment horizontal="center" vertical="center"/>
    </xf>
    <xf numFmtId="0" fontId="14" fillId="12" borderId="8" xfId="0" applyFont="1" applyFill="1" applyBorder="1" applyAlignment="1">
      <alignment horizontal="left" vertical="center"/>
    </xf>
    <xf numFmtId="49" fontId="5" fillId="12" borderId="8" xfId="0" applyNumberFormat="1" applyFont="1" applyFill="1" applyBorder="1" applyAlignment="1">
      <alignment horizontal="center"/>
    </xf>
    <xf numFmtId="49" fontId="5" fillId="12" borderId="8" xfId="0" applyNumberFormat="1" applyFont="1" applyFill="1" applyBorder="1" applyAlignment="1">
      <alignment horizontal="center" vertical="center"/>
    </xf>
    <xf numFmtId="3" fontId="14" fillId="12" borderId="8" xfId="0" applyNumberFormat="1" applyFont="1" applyFill="1" applyBorder="1" applyAlignment="1">
      <alignment horizontal="center" vertical="center"/>
    </xf>
    <xf numFmtId="49" fontId="10" fillId="11" borderId="8" xfId="0" applyNumberFormat="1" applyFont="1" applyFill="1" applyBorder="1" applyAlignment="1">
      <alignment horizontal="center" vertical="center"/>
    </xf>
    <xf numFmtId="0" fontId="16" fillId="11" borderId="8" xfId="0" applyFont="1" applyFill="1" applyBorder="1" applyAlignment="1">
      <alignment horizontal="center" vertical="center"/>
    </xf>
    <xf numFmtId="0" fontId="14" fillId="11" borderId="8" xfId="0" applyFont="1" applyFill="1" applyBorder="1" applyAlignment="1">
      <alignment vertical="center"/>
    </xf>
    <xf numFmtId="0" fontId="14" fillId="12" borderId="8" xfId="0" applyFont="1" applyFill="1" applyBorder="1" applyAlignment="1">
      <alignment vertical="center"/>
    </xf>
    <xf numFmtId="0" fontId="16" fillId="12" borderId="8" xfId="0" applyFont="1" applyFill="1" applyBorder="1" applyAlignment="1">
      <alignment horizontal="center" vertical="center"/>
    </xf>
    <xf numFmtId="0" fontId="14" fillId="11" borderId="8" xfId="0" applyFont="1" applyFill="1" applyBorder="1" applyAlignment="1">
      <alignment horizontal="center" vertical="center"/>
    </xf>
    <xf numFmtId="49" fontId="26" fillId="11" borderId="8" xfId="0" applyNumberFormat="1" applyFont="1" applyFill="1" applyBorder="1" applyAlignment="1">
      <alignment horizontal="center" vertical="center"/>
    </xf>
    <xf numFmtId="0" fontId="24" fillId="7" borderId="8" xfId="0" applyFont="1" applyFill="1" applyBorder="1" applyAlignment="1">
      <alignment horizontal="center" vertical="center"/>
    </xf>
    <xf numFmtId="0" fontId="21" fillId="11" borderId="8" xfId="0" applyFont="1" applyFill="1" applyBorder="1" applyAlignment="1">
      <alignment horizontal="center" vertical="center"/>
    </xf>
    <xf numFmtId="0" fontId="21" fillId="12" borderId="8" xfId="0" applyFont="1" applyFill="1" applyBorder="1" applyAlignment="1">
      <alignment horizontal="center" vertical="center"/>
    </xf>
    <xf numFmtId="20" fontId="16" fillId="11" borderId="8" xfId="0" applyNumberFormat="1" applyFont="1" applyFill="1" applyBorder="1" applyAlignment="1">
      <alignment horizontal="center" vertical="center"/>
    </xf>
    <xf numFmtId="0" fontId="20" fillId="12" borderId="8" xfId="0" applyFont="1" applyFill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5" borderId="8" xfId="0" applyFont="1" applyFill="1" applyBorder="1" applyAlignment="1">
      <alignment horizontal="center" vertical="center"/>
    </xf>
    <xf numFmtId="0" fontId="5" fillId="13" borderId="8" xfId="0" applyFont="1" applyFill="1" applyBorder="1" applyAlignment="1">
      <alignment horizontal="center" vertical="center"/>
    </xf>
    <xf numFmtId="0" fontId="14" fillId="13" borderId="8" xfId="0" applyFont="1" applyFill="1" applyBorder="1" applyAlignment="1">
      <alignment horizontal="left" vertical="center"/>
    </xf>
    <xf numFmtId="49" fontId="5" fillId="13" borderId="8" xfId="0" applyNumberFormat="1" applyFont="1" applyFill="1" applyBorder="1" applyAlignment="1">
      <alignment horizontal="center"/>
    </xf>
    <xf numFmtId="49" fontId="5" fillId="13" borderId="8" xfId="0" applyNumberFormat="1" applyFont="1" applyFill="1" applyBorder="1" applyAlignment="1">
      <alignment horizontal="center" vertical="center"/>
    </xf>
    <xf numFmtId="49" fontId="27" fillId="13" borderId="8" xfId="0" applyNumberFormat="1" applyFont="1" applyFill="1" applyBorder="1" applyAlignment="1">
      <alignment horizontal="center" vertical="center"/>
    </xf>
    <xf numFmtId="3" fontId="14" fillId="13" borderId="8" xfId="0" applyNumberFormat="1" applyFont="1" applyFill="1" applyBorder="1" applyAlignment="1">
      <alignment horizontal="center" vertical="center"/>
    </xf>
    <xf numFmtId="0" fontId="21" fillId="13" borderId="8" xfId="0" applyFont="1" applyFill="1" applyBorder="1" applyAlignment="1">
      <alignment horizontal="center" vertical="center"/>
    </xf>
    <xf numFmtId="0" fontId="24" fillId="13" borderId="8" xfId="0" applyFont="1" applyFill="1" applyBorder="1" applyAlignment="1">
      <alignment horizontal="center" vertical="center"/>
    </xf>
    <xf numFmtId="0" fontId="16" fillId="13" borderId="8" xfId="0" applyFont="1" applyFill="1" applyBorder="1" applyAlignment="1">
      <alignment horizontal="center" vertical="center"/>
    </xf>
    <xf numFmtId="0" fontId="5" fillId="11" borderId="9" xfId="0" applyFont="1" applyFill="1" applyBorder="1" applyAlignment="1">
      <alignment horizontal="center" vertical="center"/>
    </xf>
    <xf numFmtId="0" fontId="14" fillId="11" borderId="9" xfId="0" applyFont="1" applyFill="1" applyBorder="1" applyAlignment="1">
      <alignment horizontal="left" vertical="center"/>
    </xf>
    <xf numFmtId="49" fontId="5" fillId="11" borderId="9" xfId="0" applyNumberFormat="1" applyFont="1" applyFill="1" applyBorder="1" applyAlignment="1">
      <alignment horizontal="center" vertical="center"/>
    </xf>
    <xf numFmtId="49" fontId="5" fillId="11" borderId="9" xfId="0" applyNumberFormat="1" applyFont="1" applyFill="1" applyBorder="1" applyAlignment="1">
      <alignment horizontal="center"/>
    </xf>
    <xf numFmtId="3" fontId="14" fillId="11" borderId="9" xfId="0" applyNumberFormat="1" applyFont="1" applyFill="1" applyBorder="1" applyAlignment="1">
      <alignment horizontal="center" vertical="center"/>
    </xf>
    <xf numFmtId="0" fontId="14" fillId="12" borderId="9" xfId="0" applyFont="1" applyFill="1" applyBorder="1" applyAlignment="1">
      <alignment horizontal="center" vertical="center"/>
    </xf>
    <xf numFmtId="0" fontId="16" fillId="11" borderId="9" xfId="0" applyFont="1" applyFill="1" applyBorder="1" applyAlignment="1">
      <alignment horizontal="center" vertical="center"/>
    </xf>
    <xf numFmtId="0" fontId="4" fillId="0" borderId="8" xfId="0" applyFont="1" applyBorder="1"/>
    <xf numFmtId="0" fontId="30" fillId="6" borderId="8" xfId="1" applyFont="1" applyFill="1" applyBorder="1" applyAlignment="1">
      <alignment horizontal="center"/>
    </xf>
    <xf numFmtId="0" fontId="4" fillId="13" borderId="8" xfId="0" applyFont="1" applyFill="1" applyBorder="1"/>
    <xf numFmtId="3" fontId="21" fillId="11" borderId="9" xfId="0" applyNumberFormat="1" applyFont="1" applyFill="1" applyBorder="1" applyAlignment="1">
      <alignment horizontal="center" vertical="center"/>
    </xf>
    <xf numFmtId="0" fontId="14" fillId="8" borderId="8" xfId="0" applyFont="1" applyFill="1" applyBorder="1" applyAlignment="1">
      <alignment horizontal="left" vertical="center"/>
    </xf>
    <xf numFmtId="49" fontId="5" fillId="8" borderId="8" xfId="0" applyNumberFormat="1" applyFont="1" applyFill="1" applyBorder="1" applyAlignment="1">
      <alignment horizontal="center" vertical="center"/>
    </xf>
    <xf numFmtId="49" fontId="10" fillId="8" borderId="8" xfId="0" applyNumberFormat="1" applyFont="1" applyFill="1" applyBorder="1" applyAlignment="1">
      <alignment horizontal="center" vertical="center"/>
    </xf>
    <xf numFmtId="3" fontId="14" fillId="8" borderId="8" xfId="0" applyNumberFormat="1" applyFont="1" applyFill="1" applyBorder="1" applyAlignment="1">
      <alignment horizontal="center" vertical="center"/>
    </xf>
    <xf numFmtId="3" fontId="21" fillId="14" borderId="9" xfId="0" applyNumberFormat="1" applyFont="1" applyFill="1" applyBorder="1" applyAlignment="1">
      <alignment horizontal="center" vertical="center"/>
    </xf>
    <xf numFmtId="0" fontId="31" fillId="7" borderId="8" xfId="0" applyFont="1" applyFill="1" applyBorder="1" applyAlignment="1">
      <alignment horizontal="center" vertical="center"/>
    </xf>
    <xf numFmtId="0" fontId="31" fillId="0" borderId="8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1" fillId="15" borderId="8" xfId="0" applyFont="1" applyFill="1" applyBorder="1" applyAlignment="1">
      <alignment horizontal="center" vertical="center"/>
    </xf>
    <xf numFmtId="3" fontId="14" fillId="14" borderId="8" xfId="0" applyNumberFormat="1" applyFont="1" applyFill="1" applyBorder="1" applyAlignment="1">
      <alignment horizontal="center" vertical="center"/>
    </xf>
    <xf numFmtId="0" fontId="5" fillId="0" borderId="8" xfId="0" applyFont="1" applyBorder="1"/>
    <xf numFmtId="49" fontId="4" fillId="0" borderId="8" xfId="0" applyNumberFormat="1" applyFont="1" applyBorder="1"/>
    <xf numFmtId="0" fontId="20" fillId="11" borderId="8" xfId="0" applyFont="1" applyFill="1" applyBorder="1" applyAlignment="1">
      <alignment horizontal="center" vertical="center"/>
    </xf>
    <xf numFmtId="3" fontId="14" fillId="16" borderId="8" xfId="0" applyNumberFormat="1" applyFont="1" applyFill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14" fillId="0" borderId="8" xfId="0" applyFont="1" applyBorder="1" applyAlignment="1">
      <alignment horizontal="left" vertical="center"/>
    </xf>
    <xf numFmtId="3" fontId="14" fillId="0" borderId="8" xfId="0" applyNumberFormat="1" applyFont="1" applyBorder="1" applyAlignment="1">
      <alignment horizontal="center" vertical="center"/>
    </xf>
    <xf numFmtId="49" fontId="5" fillId="0" borderId="8" xfId="0" applyNumberFormat="1" applyFont="1" applyBorder="1" applyAlignment="1">
      <alignment horizontal="center" vertical="center"/>
    </xf>
    <xf numFmtId="0" fontId="4" fillId="13" borderId="0" xfId="0" applyFont="1" applyFill="1"/>
    <xf numFmtId="0" fontId="0" fillId="13" borderId="0" xfId="0" applyFill="1"/>
    <xf numFmtId="3" fontId="13" fillId="3" borderId="8" xfId="2" applyNumberFormat="1" applyFont="1" applyBorder="1" applyAlignment="1">
      <alignment horizontal="right"/>
    </xf>
    <xf numFmtId="0" fontId="24" fillId="12" borderId="8" xfId="0" applyFont="1" applyFill="1" applyBorder="1" applyAlignment="1">
      <alignment horizontal="center" vertical="center"/>
    </xf>
    <xf numFmtId="3" fontId="23" fillId="11" borderId="8" xfId="0" applyNumberFormat="1" applyFont="1" applyFill="1" applyBorder="1" applyAlignment="1">
      <alignment horizontal="center" vertical="center"/>
    </xf>
    <xf numFmtId="3" fontId="23" fillId="12" borderId="8" xfId="0" applyNumberFormat="1" applyFont="1" applyFill="1" applyBorder="1" applyAlignment="1">
      <alignment horizontal="center" vertical="center"/>
    </xf>
    <xf numFmtId="3" fontId="23" fillId="0" borderId="8" xfId="0" applyNumberFormat="1" applyFont="1" applyBorder="1" applyAlignment="1">
      <alignment horizontal="center" vertical="center"/>
    </xf>
    <xf numFmtId="3" fontId="23" fillId="0" borderId="8" xfId="0" applyNumberFormat="1" applyFont="1" applyBorder="1" applyAlignment="1">
      <alignment horizontal="center"/>
    </xf>
    <xf numFmtId="0" fontId="16" fillId="11" borderId="8" xfId="0" applyFont="1" applyFill="1" applyBorder="1" applyAlignment="1">
      <alignment horizontal="center" vertical="center" wrapText="1"/>
    </xf>
    <xf numFmtId="0" fontId="30" fillId="6" borderId="8" xfId="1" applyFont="1" applyFill="1" applyBorder="1" applyAlignment="1">
      <alignment horizontal="center" vertical="center"/>
    </xf>
    <xf numFmtId="0" fontId="30" fillId="6" borderId="8" xfId="1" applyFont="1" applyFill="1" applyBorder="1" applyAlignment="1">
      <alignment horizontal="center" vertical="center" wrapText="1"/>
    </xf>
    <xf numFmtId="0" fontId="31" fillId="0" borderId="8" xfId="0" applyFont="1" applyBorder="1" applyAlignment="1">
      <alignment horizontal="center" vertical="center" wrapText="1"/>
    </xf>
    <xf numFmtId="0" fontId="23" fillId="18" borderId="8" xfId="0" applyFont="1" applyFill="1" applyBorder="1" applyAlignment="1">
      <alignment horizontal="center" vertical="center"/>
    </xf>
    <xf numFmtId="0" fontId="14" fillId="19" borderId="8" xfId="0" applyFont="1" applyFill="1" applyBorder="1" applyAlignment="1">
      <alignment vertical="center"/>
    </xf>
    <xf numFmtId="49" fontId="10" fillId="19" borderId="8" xfId="0" applyNumberFormat="1" applyFont="1" applyFill="1" applyBorder="1" applyAlignment="1">
      <alignment horizontal="center" vertical="center"/>
    </xf>
    <xf numFmtId="3" fontId="14" fillId="19" borderId="8" xfId="0" applyNumberFormat="1" applyFont="1" applyFill="1" applyBorder="1" applyAlignment="1">
      <alignment horizontal="center" vertical="center"/>
    </xf>
    <xf numFmtId="3" fontId="14" fillId="18" borderId="8" xfId="0" applyNumberFormat="1" applyFont="1" applyFill="1" applyBorder="1" applyAlignment="1">
      <alignment horizontal="center" vertical="center"/>
    </xf>
    <xf numFmtId="0" fontId="0" fillId="0" borderId="8" xfId="0" applyBorder="1"/>
    <xf numFmtId="3" fontId="0" fillId="0" borderId="0" xfId="0" applyNumberFormat="1"/>
    <xf numFmtId="3" fontId="16" fillId="13" borderId="8" xfId="0" applyNumberFormat="1" applyFont="1" applyFill="1" applyBorder="1" applyAlignment="1">
      <alignment horizontal="center" vertical="center"/>
    </xf>
    <xf numFmtId="3" fontId="0" fillId="0" borderId="8" xfId="0" applyNumberFormat="1" applyBorder="1"/>
    <xf numFmtId="3" fontId="0" fillId="13" borderId="0" xfId="0" applyNumberFormat="1" applyFill="1"/>
    <xf numFmtId="0" fontId="14" fillId="18" borderId="8" xfId="0" applyFont="1" applyFill="1" applyBorder="1" applyAlignment="1">
      <alignment horizontal="center" vertical="center"/>
    </xf>
    <xf numFmtId="0" fontId="14" fillId="19" borderId="8" xfId="0" applyFont="1" applyFill="1" applyBorder="1" applyAlignment="1">
      <alignment horizontal="center" vertical="center"/>
    </xf>
    <xf numFmtId="49" fontId="5" fillId="19" borderId="8" xfId="0" applyNumberFormat="1" applyFont="1" applyFill="1" applyBorder="1" applyAlignment="1">
      <alignment horizontal="center" vertical="center"/>
    </xf>
    <xf numFmtId="0" fontId="14" fillId="19" borderId="8" xfId="0" applyFont="1" applyFill="1" applyBorder="1" applyAlignment="1">
      <alignment horizontal="left" vertical="center"/>
    </xf>
    <xf numFmtId="49" fontId="5" fillId="19" borderId="8" xfId="0" applyNumberFormat="1" applyFont="1" applyFill="1" applyBorder="1" applyAlignment="1">
      <alignment horizontal="center"/>
    </xf>
    <xf numFmtId="0" fontId="24" fillId="18" borderId="8" xfId="0" applyFont="1" applyFill="1" applyBorder="1" applyAlignment="1">
      <alignment horizontal="center" vertical="center"/>
    </xf>
    <xf numFmtId="0" fontId="16" fillId="20" borderId="8" xfId="0" applyFont="1" applyFill="1" applyBorder="1" applyAlignment="1">
      <alignment horizontal="center" vertical="center"/>
    </xf>
    <xf numFmtId="0" fontId="32" fillId="3" borderId="1" xfId="3" applyFont="1"/>
    <xf numFmtId="0" fontId="33" fillId="6" borderId="8" xfId="1" applyFont="1" applyFill="1" applyBorder="1" applyAlignment="1">
      <alignment horizontal="center" vertical="center"/>
    </xf>
    <xf numFmtId="0" fontId="33" fillId="6" borderId="8" xfId="1" applyFont="1" applyFill="1" applyBorder="1" applyAlignment="1">
      <alignment horizontal="center" vertical="center" wrapText="1"/>
    </xf>
    <xf numFmtId="3" fontId="34" fillId="3" borderId="8" xfId="2" applyNumberFormat="1" applyFont="1" applyBorder="1" applyAlignment="1">
      <alignment horizontal="right"/>
    </xf>
    <xf numFmtId="0" fontId="21" fillId="8" borderId="8" xfId="0" applyFont="1" applyFill="1" applyBorder="1" applyAlignment="1">
      <alignment horizontal="center"/>
    </xf>
    <xf numFmtId="0" fontId="23" fillId="3" borderId="2" xfId="2" applyFont="1"/>
    <xf numFmtId="0" fontId="23" fillId="3" borderId="1" xfId="3" applyFont="1"/>
    <xf numFmtId="0" fontId="17" fillId="0" borderId="0" xfId="0" applyFont="1"/>
    <xf numFmtId="49" fontId="16" fillId="5" borderId="8" xfId="0" applyNumberFormat="1" applyFont="1" applyFill="1" applyBorder="1" applyAlignment="1">
      <alignment horizontal="center"/>
    </xf>
    <xf numFmtId="3" fontId="23" fillId="18" borderId="8" xfId="0" applyNumberFormat="1" applyFont="1" applyFill="1" applyBorder="1" applyAlignment="1">
      <alignment horizontal="center" vertical="center"/>
    </xf>
    <xf numFmtId="3" fontId="23" fillId="19" borderId="8" xfId="0" applyNumberFormat="1" applyFont="1" applyFill="1" applyBorder="1" applyAlignment="1">
      <alignment horizontal="center" vertical="center"/>
    </xf>
    <xf numFmtId="0" fontId="5" fillId="19" borderId="8" xfId="0" applyFont="1" applyFill="1" applyBorder="1" applyAlignment="1">
      <alignment horizontal="center" vertical="center"/>
    </xf>
    <xf numFmtId="0" fontId="4" fillId="18" borderId="8" xfId="0" applyFont="1" applyFill="1" applyBorder="1"/>
    <xf numFmtId="49" fontId="26" fillId="19" borderId="8" xfId="0" applyNumberFormat="1" applyFont="1" applyFill="1" applyBorder="1" applyAlignment="1">
      <alignment horizontal="center" vertical="center"/>
    </xf>
    <xf numFmtId="0" fontId="16" fillId="19" borderId="8" xfId="0" applyFont="1" applyFill="1" applyBorder="1" applyAlignment="1">
      <alignment horizontal="center" vertical="center"/>
    </xf>
    <xf numFmtId="0" fontId="25" fillId="18" borderId="8" xfId="0" applyFont="1" applyFill="1" applyBorder="1" applyAlignment="1">
      <alignment horizontal="center" vertical="center"/>
    </xf>
    <xf numFmtId="49" fontId="16" fillId="12" borderId="8" xfId="0" applyNumberFormat="1" applyFont="1" applyFill="1" applyBorder="1" applyAlignment="1">
      <alignment horizontal="center"/>
    </xf>
    <xf numFmtId="0" fontId="16" fillId="21" borderId="8" xfId="0" applyFont="1" applyFill="1" applyBorder="1" applyAlignment="1">
      <alignment horizontal="center" vertical="center"/>
    </xf>
    <xf numFmtId="0" fontId="4" fillId="12" borderId="0" xfId="0" applyFont="1" applyFill="1"/>
    <xf numFmtId="3" fontId="4" fillId="12" borderId="0" xfId="0" applyNumberFormat="1" applyFont="1" applyFill="1"/>
    <xf numFmtId="0" fontId="4" fillId="12" borderId="8" xfId="0" applyFont="1" applyFill="1" applyBorder="1"/>
    <xf numFmtId="49" fontId="10" fillId="12" borderId="8" xfId="0" applyNumberFormat="1" applyFont="1" applyFill="1" applyBorder="1" applyAlignment="1">
      <alignment horizontal="center" vertical="center"/>
    </xf>
    <xf numFmtId="3" fontId="23" fillId="12" borderId="8" xfId="0" applyNumberFormat="1" applyFont="1" applyFill="1" applyBorder="1" applyAlignment="1">
      <alignment horizontal="center"/>
    </xf>
    <xf numFmtId="0" fontId="14" fillId="18" borderId="8" xfId="0" applyFont="1" applyFill="1" applyBorder="1" applyAlignment="1">
      <alignment vertical="center"/>
    </xf>
    <xf numFmtId="0" fontId="20" fillId="19" borderId="8" xfId="0" applyFont="1" applyFill="1" applyBorder="1" applyAlignment="1">
      <alignment horizontal="center" vertical="center"/>
    </xf>
    <xf numFmtId="49" fontId="16" fillId="18" borderId="8" xfId="0" applyNumberFormat="1" applyFont="1" applyFill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2" fillId="3" borderId="1" xfId="3" applyFont="1" applyAlignment="1">
      <alignment horizontal="center"/>
    </xf>
    <xf numFmtId="0" fontId="12" fillId="3" borderId="6" xfId="3" applyFont="1" applyBorder="1" applyAlignment="1">
      <alignment horizontal="center"/>
    </xf>
    <xf numFmtId="0" fontId="12" fillId="3" borderId="7" xfId="3" applyFont="1" applyBorder="1" applyAlignment="1">
      <alignment horizontal="center"/>
    </xf>
    <xf numFmtId="0" fontId="28" fillId="10" borderId="8" xfId="0" applyFont="1" applyFill="1" applyBorder="1" applyAlignment="1">
      <alignment horizontal="center" vertical="center" wrapText="1"/>
    </xf>
    <xf numFmtId="0" fontId="16" fillId="10" borderId="8" xfId="0" applyFont="1" applyFill="1" applyBorder="1" applyAlignment="1">
      <alignment horizontal="center" vertical="center" wrapText="1"/>
    </xf>
    <xf numFmtId="0" fontId="29" fillId="6" borderId="8" xfId="0" applyFont="1" applyFill="1" applyBorder="1" applyAlignment="1">
      <alignment horizontal="center" vertical="center" wrapText="1"/>
    </xf>
    <xf numFmtId="0" fontId="29" fillId="17" borderId="10" xfId="0" applyFont="1" applyFill="1" applyBorder="1" applyAlignment="1">
      <alignment horizontal="center" vertical="center" wrapText="1"/>
    </xf>
    <xf numFmtId="0" fontId="29" fillId="17" borderId="11" xfId="0" applyFont="1" applyFill="1" applyBorder="1" applyAlignment="1">
      <alignment horizontal="center" vertical="center" wrapText="1"/>
    </xf>
    <xf numFmtId="0" fontId="12" fillId="3" borderId="8" xfId="3" applyFont="1" applyBorder="1" applyAlignment="1">
      <alignment horizontal="center" vertical="center" wrapText="1"/>
    </xf>
    <xf numFmtId="3" fontId="13" fillId="3" borderId="8" xfId="2" applyNumberFormat="1" applyFont="1" applyBorder="1" applyAlignment="1">
      <alignment horizontal="right" vertical="center"/>
    </xf>
    <xf numFmtId="0" fontId="12" fillId="3" borderId="8" xfId="3" applyFont="1" applyBorder="1" applyAlignment="1">
      <alignment horizontal="center"/>
    </xf>
    <xf numFmtId="0" fontId="29" fillId="10" borderId="10" xfId="0" applyFont="1" applyFill="1" applyBorder="1" applyAlignment="1">
      <alignment horizontal="center" vertical="center" wrapText="1"/>
    </xf>
    <xf numFmtId="0" fontId="29" fillId="10" borderId="11" xfId="0" applyFont="1" applyFill="1" applyBorder="1" applyAlignment="1">
      <alignment horizontal="center" vertical="center" wrapText="1"/>
    </xf>
    <xf numFmtId="0" fontId="29" fillId="10" borderId="9" xfId="0" applyFont="1" applyFill="1" applyBorder="1" applyAlignment="1">
      <alignment horizontal="center" vertical="center" wrapText="1"/>
    </xf>
    <xf numFmtId="0" fontId="12" fillId="3" borderId="8" xfId="3" applyFont="1" applyBorder="1" applyAlignment="1">
      <alignment horizontal="center" vertical="center"/>
    </xf>
    <xf numFmtId="0" fontId="29" fillId="6" borderId="12" xfId="0" applyFont="1" applyFill="1" applyBorder="1" applyAlignment="1">
      <alignment horizontal="center" vertical="center" wrapText="1"/>
    </xf>
    <xf numFmtId="0" fontId="29" fillId="6" borderId="0" xfId="0" applyFont="1" applyFill="1" applyAlignment="1">
      <alignment horizontal="center" vertical="center" wrapText="1"/>
    </xf>
    <xf numFmtId="0" fontId="32" fillId="3" borderId="8" xfId="3" applyFont="1" applyBorder="1" applyAlignment="1">
      <alignment horizontal="center" vertical="center"/>
    </xf>
    <xf numFmtId="3" fontId="34" fillId="3" borderId="8" xfId="2" applyNumberFormat="1" applyFont="1" applyBorder="1" applyAlignment="1">
      <alignment horizontal="right" vertical="center"/>
    </xf>
    <xf numFmtId="0" fontId="32" fillId="3" borderId="8" xfId="3" applyFont="1" applyBorder="1" applyAlignment="1">
      <alignment horizontal="center" vertical="center" wrapText="1"/>
    </xf>
    <xf numFmtId="0" fontId="32" fillId="3" borderId="8" xfId="3" applyFont="1" applyBorder="1" applyAlignment="1">
      <alignment horizontal="center"/>
    </xf>
  </cellXfs>
  <cellStyles count="4">
    <cellStyle name="Bad" xfId="1" builtinId="27"/>
    <cellStyle name="Calculation" xfId="3" builtinId="22"/>
    <cellStyle name="Normal" xfId="0" builtinId="0"/>
    <cellStyle name="Output" xfId="2" builtinId="21"/>
  </cellStyles>
  <dxfs count="150">
    <dxf>
      <font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border outline="0">
        <bottom style="thick">
          <color rgb="FF5B9BD5"/>
        </bottom>
      </border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rgb="FF9C0006"/>
        <name val="Times New Roman"/>
        <family val="2"/>
        <scheme val="none"/>
      </font>
      <alignment horizontal="center" vertical="bottom" textRotation="0" wrapText="0" indent="0" justifyLastLine="0" shrinkToFit="0" readingOrder="0"/>
    </dxf>
    <dxf>
      <font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border outline="0">
        <bottom style="thick">
          <color rgb="FF5B9BD5"/>
        </bottom>
      </border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rgb="FF9C0006"/>
        <name val="Times New Roman"/>
        <family val="2"/>
        <scheme val="none"/>
      </font>
      <alignment horizontal="center" vertical="bottom" textRotation="0" wrapText="0" indent="0" justifyLastLine="0" shrinkToFit="0" readingOrder="0"/>
    </dxf>
    <dxf>
      <font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border outline="0">
        <bottom style="thick">
          <color rgb="FF5B9BD5"/>
        </bottom>
      </border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rgb="FF9C0006"/>
        <name val="Times New Roman"/>
        <family val="2"/>
        <scheme val="none"/>
      </font>
      <alignment horizontal="center" vertical="bottom" textRotation="0" wrapText="0" indent="0" justifyLastLine="0" shrinkToFit="0" readingOrder="0"/>
    </dxf>
    <dxf>
      <font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border outline="0">
        <bottom style="thick">
          <color rgb="FF5B9BD5"/>
        </bottom>
      </border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rgb="FF9C0006"/>
        <name val="Times New Roman"/>
        <family val="2"/>
        <scheme val="none"/>
      </font>
      <alignment horizontal="center" vertical="bottom" textRotation="0" wrapText="0" indent="0" justifyLastLine="0" shrinkToFit="0" readingOrder="0"/>
    </dxf>
    <dxf>
      <font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border outline="0">
        <bottom style="thick">
          <color rgb="FF5B9BD5"/>
        </bottom>
      </border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rgb="FF9C0006"/>
        <name val="Times New Roman"/>
        <family val="2"/>
        <scheme val="none"/>
      </font>
      <alignment horizontal="center" vertical="bottom" textRotation="0" wrapText="0" indent="0" justifyLastLine="0" shrinkToFit="0" readingOrder="0"/>
    </dxf>
    <dxf>
      <font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border outline="0">
        <bottom style="thick">
          <color rgb="FF5B9BD5"/>
        </bottom>
      </border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rgb="FF9C0006"/>
        <name val="Times New Roman"/>
        <family val="2"/>
        <scheme val="none"/>
      </font>
      <alignment horizontal="center" vertical="bottom" textRotation="0" wrapText="0" indent="0" justifyLastLine="0" shrinkToFit="0" readingOrder="0"/>
    </dxf>
    <dxf>
      <font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border outline="0">
        <bottom style="thick">
          <color rgb="FF5B9BD5"/>
        </bottom>
      </border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rgb="FF9C0006"/>
        <name val="Times New Roman"/>
        <family val="2"/>
        <scheme val="none"/>
      </font>
      <alignment horizontal="center" vertical="bottom" textRotation="0" wrapText="0" indent="0" justifyLastLine="0" shrinkToFit="0" readingOrder="0"/>
    </dxf>
    <dxf>
      <font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border outline="0">
        <bottom style="thick">
          <color rgb="FF5B9BD5"/>
        </bottom>
      </border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rgb="FF9C0006"/>
        <name val="Times New Roman"/>
        <family val="2"/>
        <scheme val="none"/>
      </font>
      <alignment horizontal="center" vertical="bottom" textRotation="0" wrapText="0" indent="0" justifyLastLine="0" shrinkToFit="0" readingOrder="0"/>
    </dxf>
    <dxf>
      <font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border outline="0">
        <bottom style="thick">
          <color rgb="FF5B9BD5"/>
        </bottom>
      </border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rgb="FF9C0006"/>
        <name val="Times New Roman"/>
        <family val="2"/>
        <scheme val="none"/>
      </font>
      <alignment horizontal="center" vertical="bottom" textRotation="0" wrapText="0" indent="0" justifyLastLine="0" shrinkToFit="0" readingOrder="0"/>
    </dxf>
    <dxf>
      <font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border outline="0">
        <bottom style="thick">
          <color rgb="FF5B9BD5"/>
        </bottom>
      </border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rgb="FF9C0006"/>
        <name val="Times New Roman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10215</xdr:colOff>
      <xdr:row>40</xdr:row>
      <xdr:rowOff>2954</xdr:rowOff>
    </xdr:from>
    <xdr:to>
      <xdr:col>3</xdr:col>
      <xdr:colOff>16565</xdr:colOff>
      <xdr:row>68</xdr:row>
      <xdr:rowOff>185939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71F77C-764B-C8C5-D5A0-A7373A8457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37628" y="8757671"/>
          <a:ext cx="2648502" cy="57323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10215</xdr:colOff>
      <xdr:row>40</xdr:row>
      <xdr:rowOff>2954</xdr:rowOff>
    </xdr:from>
    <xdr:to>
      <xdr:col>3</xdr:col>
      <xdr:colOff>16565</xdr:colOff>
      <xdr:row>68</xdr:row>
      <xdr:rowOff>185939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6E2731-B975-463C-8074-9B80D50936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34315" y="9004079"/>
          <a:ext cx="2644775" cy="5764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10215</xdr:colOff>
      <xdr:row>40</xdr:row>
      <xdr:rowOff>2954</xdr:rowOff>
    </xdr:from>
    <xdr:to>
      <xdr:col>3</xdr:col>
      <xdr:colOff>16565</xdr:colOff>
      <xdr:row>68</xdr:row>
      <xdr:rowOff>185939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B65FA9-4DC0-49E7-9DAA-8D40719E55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34315" y="9004079"/>
          <a:ext cx="2644775" cy="57646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10215</xdr:colOff>
      <xdr:row>40</xdr:row>
      <xdr:rowOff>2954</xdr:rowOff>
    </xdr:from>
    <xdr:to>
      <xdr:col>3</xdr:col>
      <xdr:colOff>16565</xdr:colOff>
      <xdr:row>68</xdr:row>
      <xdr:rowOff>185939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650C50-0832-4E2E-A26D-7193DFCF6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34315" y="9004079"/>
          <a:ext cx="2644775" cy="576463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10215</xdr:colOff>
      <xdr:row>40</xdr:row>
      <xdr:rowOff>2954</xdr:rowOff>
    </xdr:from>
    <xdr:to>
      <xdr:col>3</xdr:col>
      <xdr:colOff>16565</xdr:colOff>
      <xdr:row>68</xdr:row>
      <xdr:rowOff>185939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974F8E-CDA7-4E6D-A8B4-2AD416152B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34315" y="9004079"/>
          <a:ext cx="2644775" cy="576463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10215</xdr:colOff>
      <xdr:row>40</xdr:row>
      <xdr:rowOff>2954</xdr:rowOff>
    </xdr:from>
    <xdr:to>
      <xdr:col>3</xdr:col>
      <xdr:colOff>16565</xdr:colOff>
      <xdr:row>68</xdr:row>
      <xdr:rowOff>185939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BFD11D-6C15-48BF-A22F-AF308A14FD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34315" y="9004079"/>
          <a:ext cx="2644775" cy="576463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10215</xdr:colOff>
      <xdr:row>40</xdr:row>
      <xdr:rowOff>2954</xdr:rowOff>
    </xdr:from>
    <xdr:to>
      <xdr:col>3</xdr:col>
      <xdr:colOff>16565</xdr:colOff>
      <xdr:row>68</xdr:row>
      <xdr:rowOff>118704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2A9CBF-BD05-4005-9C59-0DBBCC2D19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34315" y="9004079"/>
          <a:ext cx="2644775" cy="576463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10215</xdr:colOff>
      <xdr:row>40</xdr:row>
      <xdr:rowOff>2954</xdr:rowOff>
    </xdr:from>
    <xdr:to>
      <xdr:col>3</xdr:col>
      <xdr:colOff>16565</xdr:colOff>
      <xdr:row>68</xdr:row>
      <xdr:rowOff>118704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362463-7AC2-4BA7-AC4F-6E808A2984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2895" y="8826914"/>
          <a:ext cx="2719070" cy="560977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10215</xdr:colOff>
      <xdr:row>40</xdr:row>
      <xdr:rowOff>2954</xdr:rowOff>
    </xdr:from>
    <xdr:to>
      <xdr:col>3</xdr:col>
      <xdr:colOff>16565</xdr:colOff>
      <xdr:row>68</xdr:row>
      <xdr:rowOff>118704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F65E46-EAB2-40AD-8E1F-E309462A1F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34315" y="9004079"/>
          <a:ext cx="2644775" cy="575455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259D2E9-CBBA-448C-8826-9D32D86A1C8E}" name="Table1453" displayName="Table1453" ref="B6:M23" totalsRowShown="0" headerRowDxfId="149" dataDxfId="148" tableBorderDxfId="147" headerRowCellStyle="Bad" dataCellStyle="Normal">
  <autoFilter ref="B6:M23" xr:uid="{8259D2E9-CBBA-448C-8826-9D32D86A1C8E}"/>
  <tableColumns count="12">
    <tableColumn id="1" xr3:uid="{E4641425-2A19-4B49-9673-70283C00A0C9}" name="STT" dataDxfId="146" dataCellStyle="Normal"/>
    <tableColumn id="2" xr3:uid="{025A0EEF-1CDF-4C0C-B939-08C1DD0A727D}" name="HỌ TÊN" dataDxfId="145" dataCellStyle="Normal"/>
    <tableColumn id="3" xr3:uid="{6BCA469E-875E-4DB8-B8F1-4CEF36B099CF}" name="SDT" dataDxfId="144" dataCellStyle="Normal"/>
    <tableColumn id="4" xr3:uid="{D9F1E73A-B9F0-40EF-AFAA-8EA36E51E6E5}" name="CCCD" dataDxfId="143" dataCellStyle="Normal"/>
    <tableColumn id="5" xr3:uid="{14CA9924-9789-4C5A-9CF8-07EBE7D52A04}" name="ĐỊA CHỈ" dataDxfId="142" dataCellStyle="Normal"/>
    <tableColumn id="6" xr3:uid="{6C450420-5538-4DFE-9199-B536E9A8E96F}" name="BIỂN SỐ" dataDxfId="141" dataCellStyle="Normal"/>
    <tableColumn id="7" xr3:uid="{AC3D7AF1-8B94-4F38-AB66-E23F1838615A}" name="DOANH THU" dataDxfId="140" dataCellStyle="Normal"/>
    <tableColumn id="8" xr3:uid="{EFCE95F7-84BE-4DDC-8F47-D72FEE60EEAF}" name="THỰC LÃNH" dataDxfId="139" dataCellStyle="Normal"/>
    <tableColumn id="9" xr3:uid="{8C4F1F4F-862F-4F19-89BC-03E1A18529D1}" name="HÌNH THỨC" dataDxfId="138" dataCellStyle="Normal"/>
    <tableColumn id="10" xr3:uid="{C632D7F3-C2D1-4A7E-8E44-63D7A4528237}" name="BILL" dataDxfId="137" dataCellStyle="Normal"/>
    <tableColumn id="12" xr3:uid="{41EE3F26-FB65-4525-BED8-40D96AC73E16}" name="NOTE" dataDxfId="136" dataCellStyle="Normal"/>
    <tableColumn id="11" xr3:uid="{95690A3D-EBB8-4295-8DD1-172792A9523E}" name="TIME" dataDxfId="135" dataCellStyle="Norm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BE112E-9FFD-4DE3-AB43-DC2522DF0F97}" name="Table1452" displayName="Table1452" ref="B6:M24" totalsRowShown="0" headerRowDxfId="134" dataDxfId="133" tableBorderDxfId="132" headerRowCellStyle="Bad" dataCellStyle="Normal">
  <autoFilter ref="B6:M24" xr:uid="{D102E08B-F339-41A7-8779-8E498408C686}"/>
  <tableColumns count="12">
    <tableColumn id="1" xr3:uid="{A0647350-C5C2-4A5A-9CE6-9C91A4BF1448}" name="STT" dataDxfId="131" dataCellStyle="Normal"/>
    <tableColumn id="2" xr3:uid="{E5CB0A83-0EE8-4763-BEA5-F47D20895CEB}" name="HỌ TÊN" dataDxfId="130" dataCellStyle="Normal"/>
    <tableColumn id="3" xr3:uid="{55163D38-55AB-49C5-AFDB-11106B1FB5EA}" name="SDT" dataDxfId="129" dataCellStyle="Normal"/>
    <tableColumn id="4" xr3:uid="{9DEEAE65-0EE6-4FDE-B947-A5EF76C2BD87}" name="CCCD" dataDxfId="128" dataCellStyle="Normal"/>
    <tableColumn id="5" xr3:uid="{5AFA717A-7A2A-4331-928B-98CBBDCDA0A2}" name="ĐỊA CHỈ" dataDxfId="127" dataCellStyle="Normal"/>
    <tableColumn id="6" xr3:uid="{F2FCA384-1F8E-40F4-BB65-79B0B14C2A89}" name="BIỂN SỐ" dataDxfId="126" dataCellStyle="Normal"/>
    <tableColumn id="7" xr3:uid="{FAE54719-B24E-4B85-BE9E-FBF95DD0E092}" name="DOANH THU" dataDxfId="125" dataCellStyle="Normal"/>
    <tableColumn id="8" xr3:uid="{36C3D2A6-4BF9-4A93-AD0A-18E2598162BA}" name="THỰC LÃNH" dataDxfId="124" dataCellStyle="Normal"/>
    <tableColumn id="9" xr3:uid="{BE0DF11B-4989-41AA-BEA3-81D6A56606B1}" name="HÌNH THỨC" dataDxfId="123" dataCellStyle="Normal"/>
    <tableColumn id="10" xr3:uid="{E428066A-6A33-430A-95DD-8E25B28D626C}" name="BILL" dataDxfId="122" dataCellStyle="Normal"/>
    <tableColumn id="12" xr3:uid="{928FFCBD-7074-4A5E-93E9-512B6CDBAC46}" name="NOTE" dataDxfId="121" dataCellStyle="Normal"/>
    <tableColumn id="11" xr3:uid="{054F524A-B0EB-4441-9D2F-48D3D98CB664}" name="TIME" dataDxfId="120" dataCellStyle="Norma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11EE2EE-55E9-4D50-8E60-6BD69129A816}" name="Table14524" displayName="Table14524" ref="B6:M24" totalsRowShown="0" headerRowDxfId="119" dataDxfId="118" tableBorderDxfId="117" headerRowCellStyle="Bad" dataCellStyle="Normal">
  <autoFilter ref="B6:M24" xr:uid="{D102E08B-F339-41A7-8779-8E498408C686}"/>
  <tableColumns count="12">
    <tableColumn id="1" xr3:uid="{984C32DA-9CD0-4E13-B865-6EAED834D984}" name="STT" dataDxfId="116" dataCellStyle="Normal"/>
    <tableColumn id="2" xr3:uid="{F1DCB155-1D62-4027-A3DA-A9FBDBBDFC4D}" name="HỌ TÊN" dataDxfId="115" dataCellStyle="Normal"/>
    <tableColumn id="3" xr3:uid="{5C330DB0-1E19-466E-AB2C-E562D46DC243}" name="SDT" dataDxfId="114" dataCellStyle="Normal"/>
    <tableColumn id="4" xr3:uid="{AB7FBF00-4E37-4D6D-A82A-571965487148}" name="CCCD" dataDxfId="113" dataCellStyle="Normal"/>
    <tableColumn id="5" xr3:uid="{25AD663F-C9DC-45FA-87E3-EC98289C695D}" name="ĐỊA CHỈ" dataDxfId="112" dataCellStyle="Normal"/>
    <tableColumn id="6" xr3:uid="{0C05E7D7-64B8-43E4-BC46-95EB52EF87B4}" name="BIỂN SỐ" dataDxfId="111" dataCellStyle="Normal"/>
    <tableColumn id="7" xr3:uid="{DCE2CCF7-5F06-4F7F-8168-BF276332F656}" name="DOANH THU" dataDxfId="110" dataCellStyle="Normal"/>
    <tableColumn id="8" xr3:uid="{D07BFE34-76E9-4F19-A23E-07516BD1AFC9}" name="THỰC LÃNH" dataDxfId="109" dataCellStyle="Normal"/>
    <tableColumn id="9" xr3:uid="{F536DCC4-4F00-4248-B00E-1B801BDDEBBD}" name="HÌNH THỨC" dataDxfId="108" dataCellStyle="Normal"/>
    <tableColumn id="10" xr3:uid="{E474DC06-F263-48D8-BAD2-21F369101CD6}" name="BILL" dataDxfId="107" dataCellStyle="Normal"/>
    <tableColumn id="12" xr3:uid="{569676A8-F060-4B81-9319-D9A824EB8B46}" name="NOTE" dataDxfId="106" dataCellStyle="Normal"/>
    <tableColumn id="11" xr3:uid="{4C9FE953-00AF-4D77-B446-CBEC0FFE32D6}" name="TIME" dataDxfId="105" dataCellStyle="Norma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9B02BE1-C610-460C-B461-D64E7BB29649}" name="Table145245" displayName="Table145245" ref="B6:M24" totalsRowShown="0" headerRowDxfId="104" dataDxfId="103" tableBorderDxfId="102" headerRowCellStyle="Bad" dataCellStyle="Normal">
  <autoFilter ref="B6:M24" xr:uid="{D102E08B-F339-41A7-8779-8E498408C686}"/>
  <tableColumns count="12">
    <tableColumn id="1" xr3:uid="{DF404508-0107-419A-8FEC-EFB55BF001F1}" name="STT" dataDxfId="101" dataCellStyle="Normal"/>
    <tableColumn id="2" xr3:uid="{2D3FD697-D6D5-47C8-8441-D73D89975778}" name="HỌ TÊN" dataDxfId="100" dataCellStyle="Normal"/>
    <tableColumn id="3" xr3:uid="{E973C6FC-7D49-4C09-A7B8-491118C8F7ED}" name="SDT" dataDxfId="99" dataCellStyle="Normal"/>
    <tableColumn id="4" xr3:uid="{99802D82-09B1-4FB0-9F42-DB0D0E4E1880}" name="CCCD" dataDxfId="98" dataCellStyle="Normal"/>
    <tableColumn id="5" xr3:uid="{545E75FC-89EF-4EBD-8E8A-E21A7C5DD983}" name="ĐỊA CHỈ" dataDxfId="97" dataCellStyle="Normal"/>
    <tableColumn id="6" xr3:uid="{C61AD627-F01B-49BC-BE72-C4BA72782E0C}" name="BIỂN SỐ" dataDxfId="96" dataCellStyle="Normal"/>
    <tableColumn id="7" xr3:uid="{F71F42D2-0017-499B-BD73-6CA3452798B2}" name="DOANH THU" dataDxfId="95" dataCellStyle="Normal"/>
    <tableColumn id="8" xr3:uid="{17E776BC-FFDB-49A9-BA7F-F74CA3FA1E79}" name="THỰC LÃNH" dataDxfId="94" dataCellStyle="Normal"/>
    <tableColumn id="9" xr3:uid="{83DA542A-3997-424B-A7B2-D25B6B1B1F4A}" name="HÌNH THỨC" dataDxfId="93" dataCellStyle="Normal"/>
    <tableColumn id="10" xr3:uid="{94F40CAA-EBD9-440E-B930-2150A3120D38}" name="BILL" dataDxfId="92" dataCellStyle="Normal"/>
    <tableColumn id="12" xr3:uid="{6AB0CF3E-D0A0-4DAB-B8CE-54B1CB07881A}" name="NOTE" dataDxfId="91" dataCellStyle="Normal"/>
    <tableColumn id="11" xr3:uid="{2C692775-6E51-48EE-92EB-4FB2B57D99B9}" name="TIME" dataDxfId="90" dataCellStyle="Normal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6D51770-D13F-4F99-B376-86240AE4A636}" name="Table1452456" displayName="Table1452456" ref="B6:M24" totalsRowShown="0" headerRowDxfId="89" dataDxfId="88" tableBorderDxfId="87" headerRowCellStyle="Bad" dataCellStyle="Normal">
  <autoFilter ref="B6:M24" xr:uid="{D102E08B-F339-41A7-8779-8E498408C686}"/>
  <tableColumns count="12">
    <tableColumn id="1" xr3:uid="{021C7381-52B0-487C-BDC0-1BFAE6723B42}" name="STT" dataDxfId="86" dataCellStyle="Normal"/>
    <tableColumn id="2" xr3:uid="{FCC93C85-2562-4DEC-8FE4-78554E01B098}" name="HỌ TÊN" dataDxfId="85" dataCellStyle="Normal"/>
    <tableColumn id="3" xr3:uid="{CBAF7620-956C-46F1-B90E-FF881C020840}" name="SDT" dataDxfId="84" dataCellStyle="Normal"/>
    <tableColumn id="4" xr3:uid="{5AA80C72-14CD-4ECA-B274-7E6DB4C710F0}" name="CCCD" dataDxfId="83" dataCellStyle="Normal"/>
    <tableColumn id="5" xr3:uid="{BBDC8231-A509-4F67-9641-21E894B6F3BB}" name="ĐỊA CHỈ" dataDxfId="82" dataCellStyle="Normal"/>
    <tableColumn id="6" xr3:uid="{4E5C67CA-7F62-46A7-B67B-D1F0D77BC2D0}" name="BIỂN SỐ" dataDxfId="81" dataCellStyle="Normal"/>
    <tableColumn id="7" xr3:uid="{7828CFFD-4ACF-4B8C-87C1-9BA98BDD2B3B}" name="DOANH THU" dataDxfId="80" dataCellStyle="Normal"/>
    <tableColumn id="8" xr3:uid="{C4C0E649-5B5C-4262-A054-DC4554985799}" name="THỰC LÃNH" dataDxfId="79" dataCellStyle="Normal"/>
    <tableColumn id="9" xr3:uid="{246DAA9C-7CDE-43CE-A7E0-A306769DE0F8}" name="HÌNH THỨC" dataDxfId="78" dataCellStyle="Normal"/>
    <tableColumn id="10" xr3:uid="{FEAFBFBE-1AF4-43B8-891C-A417A9898E29}" name="BILL" dataDxfId="77" dataCellStyle="Normal"/>
    <tableColumn id="12" xr3:uid="{74D4B397-CBE7-4110-8F80-F23CDA73BBFE}" name="NOTE" dataDxfId="76" dataCellStyle="Normal"/>
    <tableColumn id="11" xr3:uid="{BF91805E-61E6-49C9-9C35-3B13279CADD4}" name="TIME" dataDxfId="75" dataCellStyle="Normal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04C3A58-D406-453F-8AC1-A5B4A47BB0C4}" name="Table14524567" displayName="Table14524567" ref="B6:M24" totalsRowShown="0" headerRowDxfId="74" dataDxfId="73" tableBorderDxfId="72" headerRowCellStyle="Bad" dataCellStyle="Normal">
  <autoFilter ref="B6:M24" xr:uid="{D102E08B-F339-41A7-8779-8E498408C686}"/>
  <tableColumns count="12">
    <tableColumn id="1" xr3:uid="{395E0AEF-65DD-4F52-8E14-3F35D9FC3368}" name="STT" dataDxfId="71" dataCellStyle="Normal"/>
    <tableColumn id="2" xr3:uid="{9AE4DC19-F9B6-43F0-A90F-B4F19B4ECECB}" name="HỌ TÊN" dataDxfId="70" dataCellStyle="Normal"/>
    <tableColumn id="3" xr3:uid="{F2807F19-50E8-43E8-AAA8-2736AB34EA40}" name="SDT" dataDxfId="69" dataCellStyle="Normal"/>
    <tableColumn id="4" xr3:uid="{A9CAB30F-7177-438D-BC24-B95AE3E4F2E1}" name="CCCD" dataDxfId="68" dataCellStyle="Normal"/>
    <tableColumn id="5" xr3:uid="{79CCA633-E92E-4399-8A6F-9187CFA8C624}" name="ĐỊA CHỈ" dataDxfId="67" dataCellStyle="Normal"/>
    <tableColumn id="6" xr3:uid="{920798EF-484E-41FD-B789-6C522DE8129F}" name="BIỂN SỐ" dataDxfId="66" dataCellStyle="Normal"/>
    <tableColumn id="7" xr3:uid="{E1C353DD-B746-4FDC-8D04-BDA2D046D60D}" name="DOANH THU" dataDxfId="65" dataCellStyle="Normal"/>
    <tableColumn id="8" xr3:uid="{9C97F9DB-7299-4176-861A-6A82D87978B7}" name="THỰC LÃNH" dataDxfId="64" dataCellStyle="Normal"/>
    <tableColumn id="9" xr3:uid="{DE161CA4-4F2C-42F2-ACFF-92650F7DAAEB}" name="HÌNH THỨC" dataDxfId="63" dataCellStyle="Normal"/>
    <tableColumn id="10" xr3:uid="{96EECF95-D222-4AB7-920D-12768887EF5B}" name="BILL" dataDxfId="62" dataCellStyle="Normal"/>
    <tableColumn id="12" xr3:uid="{39B7E33C-421D-41BB-9FB6-ECF9EB938AB4}" name="NOTE" dataDxfId="61" dataCellStyle="Normal"/>
    <tableColumn id="11" xr3:uid="{83A24DE4-F137-463F-9772-3D3919BAE1E9}" name="TIME" dataDxfId="60" dataCellStyle="Normal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00679E0-EE2D-4EE0-8D49-BD93EAE287BF}" name="Table145245678" displayName="Table145245678" ref="B6:M24" totalsRowShown="0" headerRowDxfId="59" dataDxfId="58" tableBorderDxfId="57" headerRowCellStyle="Bad" dataCellStyle="Normal">
  <autoFilter ref="B6:M24" xr:uid="{D102E08B-F339-41A7-8779-8E498408C686}"/>
  <tableColumns count="12">
    <tableColumn id="1" xr3:uid="{FE5E9CEF-58C1-4672-8B6E-C5046C4F970F}" name="STT" dataDxfId="56" dataCellStyle="Normal"/>
    <tableColumn id="2" xr3:uid="{A2DA5362-86C1-4D95-969F-62FCF30900C9}" name="HỌ TÊN" dataDxfId="55" dataCellStyle="Normal"/>
    <tableColumn id="3" xr3:uid="{8B1983FB-CAD9-4F22-8DE7-E134AE6A9F70}" name="SDT" dataDxfId="54" dataCellStyle="Normal"/>
    <tableColumn id="4" xr3:uid="{498B51D9-B2C9-4D7B-BBBD-082B2067379C}" name="CCCD" dataDxfId="53" dataCellStyle="Normal"/>
    <tableColumn id="5" xr3:uid="{C63756CC-CCDE-4370-8B2E-B494A7DC813D}" name="ĐỊA CHỈ" dataDxfId="52" dataCellStyle="Normal"/>
    <tableColumn id="6" xr3:uid="{6B166947-75EF-4D67-92F8-79B3BFFB2F5E}" name="BIỂN SỐ" dataDxfId="51" dataCellStyle="Normal"/>
    <tableColumn id="7" xr3:uid="{133865C5-3727-420D-8494-5560F77B5277}" name="DOANH THU" dataDxfId="50" dataCellStyle="Normal"/>
    <tableColumn id="8" xr3:uid="{2270A241-369C-4D02-A8E4-2AAB5F44362E}" name="THỰC LÃNH" dataDxfId="49" dataCellStyle="Normal"/>
    <tableColumn id="9" xr3:uid="{45C5A9A4-B5C2-4DE5-B6E1-557D6B332D47}" name="HÌNH THỨC" dataDxfId="48" dataCellStyle="Normal"/>
    <tableColumn id="10" xr3:uid="{8CB9BE29-AE4B-4972-B577-50C9BE6F5188}" name="BILL" dataDxfId="47" dataCellStyle="Normal"/>
    <tableColumn id="12" xr3:uid="{D6FC356D-48E7-4DA9-B7CD-69A2C3E105E5}" name="NOTE" dataDxfId="46" dataCellStyle="Normal"/>
    <tableColumn id="11" xr3:uid="{EC0104D6-C23A-4791-8BD0-03B669770D6D}" name="TIME" dataDxfId="45" dataCellStyle="Normal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6B294FA-FBE8-4560-9B90-DC686FD21438}" name="Table1452456789" displayName="Table1452456789" ref="B6:M24" totalsRowShown="0" headerRowDxfId="44" dataDxfId="43" tableBorderDxfId="42" headerRowCellStyle="Bad" dataCellStyle="Normal">
  <autoFilter ref="B6:M24" xr:uid="{D102E08B-F339-41A7-8779-8E498408C686}"/>
  <tableColumns count="12">
    <tableColumn id="1" xr3:uid="{AF0208C4-E4FE-4DFD-BAF4-BF1165EEA465}" name="STT" dataDxfId="41" dataCellStyle="Normal"/>
    <tableColumn id="2" xr3:uid="{CDE784D9-BEC1-45FE-9CFA-FBFFA9772F9D}" name="HỌ TÊN" dataDxfId="40" dataCellStyle="Normal"/>
    <tableColumn id="3" xr3:uid="{3F06EBB4-066C-4D70-BCDB-6385DD5521D0}" name="SDT" dataDxfId="39" dataCellStyle="Normal"/>
    <tableColumn id="4" xr3:uid="{6716FF64-CBA6-41E2-AC66-8E6674578FB1}" name="CCCD" dataDxfId="38" dataCellStyle="Normal"/>
    <tableColumn id="5" xr3:uid="{E9AF3165-7AF3-4802-8A2B-C4778B4E6C54}" name="ĐỊA CHỈ" dataDxfId="37" dataCellStyle="Normal"/>
    <tableColumn id="6" xr3:uid="{68CEAC9B-947C-49B6-A2BB-6DE884DDEBFB}" name="BIỂN SỐ" dataDxfId="36" dataCellStyle="Normal"/>
    <tableColumn id="7" xr3:uid="{4F868D74-6BC9-4BE1-B4C6-159BCF2EDA47}" name="DOANH THU" dataDxfId="35" dataCellStyle="Normal"/>
    <tableColumn id="8" xr3:uid="{D5E9904F-827E-445C-B51C-F330CC45F31E}" name="THỰC LÃNH" dataDxfId="34" dataCellStyle="Normal"/>
    <tableColumn id="9" xr3:uid="{11E0E58A-8F57-4240-A051-39E671386B4D}" name="HÌNH THỨC" dataDxfId="33" dataCellStyle="Normal"/>
    <tableColumn id="10" xr3:uid="{1CB6152F-EB83-4348-AC14-5DFBE58A8396}" name="BILL" dataDxfId="32" dataCellStyle="Normal"/>
    <tableColumn id="12" xr3:uid="{94A817A4-0B58-40F9-974C-34BF9DC3FEC2}" name="NOTE" dataDxfId="31" dataCellStyle="Normal"/>
    <tableColumn id="11" xr3:uid="{31980D75-0507-4AF0-9CE2-8238A4185BB5}" name="TIME" dataDxfId="30" dataCellStyle="Norma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417A03-54AF-4CD5-ACE5-D93CFF57121A}" name="Table145245678910" displayName="Table145245678910" ref="B6:M24" totalsRowShown="0" headerRowDxfId="29" dataDxfId="28" tableBorderDxfId="27" headerRowCellStyle="Bad" dataCellStyle="Normal">
  <autoFilter ref="B6:M24" xr:uid="{D102E08B-F339-41A7-8779-8E498408C686}"/>
  <tableColumns count="12">
    <tableColumn id="1" xr3:uid="{46F63323-68E0-4510-BA08-C9DB0457E239}" name="STT" dataDxfId="26" dataCellStyle="Normal"/>
    <tableColumn id="2" xr3:uid="{DFFE4649-68A2-46AF-9EB2-F9BCC12F0326}" name="HỌ TÊN" dataDxfId="25" dataCellStyle="Normal"/>
    <tableColumn id="3" xr3:uid="{044325E6-629C-47E6-AD1F-1668BE3F6282}" name="SDT" dataDxfId="24" dataCellStyle="Normal"/>
    <tableColumn id="4" xr3:uid="{EBF1E448-4F61-4D59-A0A4-4A4CD1B729A0}" name="CCCD" dataDxfId="23" dataCellStyle="Normal"/>
    <tableColumn id="5" xr3:uid="{61DE7A23-28E7-447B-BC88-192F90C3530C}" name="ĐỊA CHỈ" dataDxfId="22" dataCellStyle="Normal"/>
    <tableColumn id="6" xr3:uid="{FB3C372D-64BB-4DE7-9784-B0486D1440AE}" name="BIỂN SỐ" dataDxfId="21" dataCellStyle="Normal"/>
    <tableColumn id="7" xr3:uid="{8E94CCD3-47C5-495A-8218-D190EA4CC0F9}" name="DOANH THU" dataDxfId="20" dataCellStyle="Normal"/>
    <tableColumn id="8" xr3:uid="{A2A5BB41-6A08-4052-8051-0822BDE7DF81}" name="THỰC LÃNH" dataDxfId="19" dataCellStyle="Normal">
      <calculatedColumnFormula>H7*$E$26</calculatedColumnFormula>
    </tableColumn>
    <tableColumn id="9" xr3:uid="{B22F578A-3E37-45C7-921C-CE20D5830508}" name="HÌNH THỨC" dataDxfId="18" dataCellStyle="Normal"/>
    <tableColumn id="10" xr3:uid="{84F487C4-8284-4D17-8D43-13F61D066D7B}" name="BILL" dataDxfId="17" dataCellStyle="Normal"/>
    <tableColumn id="12" xr3:uid="{5178B337-902A-48D7-96F7-964B735DEEC3}" name="NOTE" dataDxfId="16" dataCellStyle="Normal"/>
    <tableColumn id="11" xr3:uid="{C25FF628-EA2A-4D04-B390-A6CA292E6FF9}" name="TIME" dataDxfId="15" dataCellStyle="Normal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9C32991-C196-45AC-9CCE-343DDDFF9042}" name="Table14524567891011" displayName="Table14524567891011" ref="B6:M24" totalsRowShown="0" headerRowDxfId="14" dataDxfId="13" tableBorderDxfId="12" headerRowCellStyle="Bad" dataCellStyle="Normal">
  <autoFilter ref="B6:M24" xr:uid="{D102E08B-F339-41A7-8779-8E498408C686}"/>
  <tableColumns count="12">
    <tableColumn id="1" xr3:uid="{FF62048D-BC3D-4279-AE9D-CFA904ACD01C}" name="STT" dataDxfId="11" dataCellStyle="Normal"/>
    <tableColumn id="2" xr3:uid="{354DE058-CC1B-4595-88E9-5E5FB7322C9C}" name="HỌ TÊN" dataDxfId="10" dataCellStyle="Normal"/>
    <tableColumn id="3" xr3:uid="{A8265EBA-DEE0-4D4D-A2DF-8DAA96F62658}" name="SDT" dataDxfId="9" dataCellStyle="Normal"/>
    <tableColumn id="4" xr3:uid="{906819BD-C97A-4455-A5C0-685D9A531CE9}" name="CCCD" dataDxfId="8" dataCellStyle="Normal"/>
    <tableColumn id="5" xr3:uid="{9974C645-EE2D-4159-ACBD-8B42C422DEB8}" name="ĐỊA CHỈ" dataDxfId="7" dataCellStyle="Normal"/>
    <tableColumn id="6" xr3:uid="{304DB0C4-51FF-4ED4-AD3D-43AE1EEAFB78}" name="BIỂN SỐ" dataDxfId="6" dataCellStyle="Normal"/>
    <tableColumn id="7" xr3:uid="{DEB339AA-9214-4D9C-AF89-49BA203D0C97}" name="DOANH THU" dataDxfId="5" dataCellStyle="Normal"/>
    <tableColumn id="8" xr3:uid="{618AF904-1F91-4D32-96CF-8BEA69AF2EF1}" name="THỰC LÃNH" dataDxfId="4" dataCellStyle="Normal">
      <calculatedColumnFormula>H7*$E$26</calculatedColumnFormula>
    </tableColumn>
    <tableColumn id="9" xr3:uid="{F5F25720-672F-4226-89F8-CE1E5D920957}" name="HÌNH THỨC" dataDxfId="3" dataCellStyle="Normal"/>
    <tableColumn id="10" xr3:uid="{53BF063A-70F2-45AF-80E2-A347591C3884}" name="BILL" dataDxfId="2" dataCellStyle="Normal"/>
    <tableColumn id="12" xr3:uid="{6D42694B-8634-42D7-8AAA-77404E5558C9}" name="NOTE" dataDxfId="1" dataCellStyle="Normal"/>
    <tableColumn id="11" xr3:uid="{B2912CD1-2E6D-4459-AF0A-8735D4975982}" name="TIME" dataDxfId="0" data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D051F-5AB5-4322-8DCE-3E8716B57ED4}">
  <sheetPr codeName="Sheet16"/>
  <dimension ref="A1:C18"/>
  <sheetViews>
    <sheetView workbookViewId="0">
      <selection activeCell="H10" sqref="H10"/>
    </sheetView>
  </sheetViews>
  <sheetFormatPr defaultRowHeight="15" x14ac:dyDescent="0.25"/>
  <cols>
    <col min="2" max="2" width="35.85546875" customWidth="1"/>
    <col min="3" max="3" width="21.42578125" customWidth="1"/>
  </cols>
  <sheetData>
    <row r="1" spans="1:3" ht="20.25" x14ac:dyDescent="0.25">
      <c r="A1" s="137" t="s">
        <v>0</v>
      </c>
      <c r="B1" s="137" t="s">
        <v>1</v>
      </c>
      <c r="C1" s="137" t="s">
        <v>49</v>
      </c>
    </row>
    <row r="2" spans="1:3" ht="16.5" x14ac:dyDescent="0.25">
      <c r="A2" s="64">
        <v>1</v>
      </c>
      <c r="B2" s="80" t="s">
        <v>132</v>
      </c>
      <c r="C2" s="66" t="s">
        <v>16</v>
      </c>
    </row>
    <row r="3" spans="1:3" ht="16.5" x14ac:dyDescent="0.25">
      <c r="A3" s="64">
        <f>A2+1</f>
        <v>2</v>
      </c>
      <c r="B3" s="80" t="s">
        <v>150</v>
      </c>
      <c r="C3" s="75" t="s">
        <v>36</v>
      </c>
    </row>
    <row r="4" spans="1:3" ht="16.5" x14ac:dyDescent="0.25">
      <c r="A4" s="64">
        <f t="shared" ref="A4:A18" si="0">A3+1</f>
        <v>3</v>
      </c>
      <c r="B4" s="80" t="s">
        <v>134</v>
      </c>
      <c r="C4" s="66" t="s">
        <v>83</v>
      </c>
    </row>
    <row r="5" spans="1:3" ht="16.5" x14ac:dyDescent="0.25">
      <c r="A5" s="64">
        <f t="shared" si="0"/>
        <v>4</v>
      </c>
      <c r="B5" s="69" t="s">
        <v>135</v>
      </c>
      <c r="C5" s="127" t="s">
        <v>73</v>
      </c>
    </row>
    <row r="6" spans="1:3" ht="16.5" x14ac:dyDescent="0.25">
      <c r="A6" s="64">
        <f t="shared" si="0"/>
        <v>5</v>
      </c>
      <c r="B6" s="151" t="s">
        <v>40</v>
      </c>
      <c r="C6" s="152" t="s">
        <v>14</v>
      </c>
    </row>
    <row r="7" spans="1:3" ht="16.5" x14ac:dyDescent="0.25">
      <c r="A7" s="64">
        <f t="shared" si="0"/>
        <v>6</v>
      </c>
      <c r="B7" s="69" t="s">
        <v>67</v>
      </c>
      <c r="C7" s="73" t="s">
        <v>48</v>
      </c>
    </row>
    <row r="8" spans="1:3" ht="16.5" x14ac:dyDescent="0.25">
      <c r="A8" s="64">
        <f t="shared" si="0"/>
        <v>7</v>
      </c>
      <c r="B8" s="80" t="s">
        <v>43</v>
      </c>
      <c r="C8" s="75" t="s">
        <v>22</v>
      </c>
    </row>
    <row r="9" spans="1:3" ht="16.5" x14ac:dyDescent="0.25">
      <c r="A9" s="64">
        <f t="shared" si="0"/>
        <v>8</v>
      </c>
      <c r="B9" s="80" t="s">
        <v>44</v>
      </c>
      <c r="C9" s="75" t="s">
        <v>32</v>
      </c>
    </row>
    <row r="10" spans="1:3" ht="16.5" x14ac:dyDescent="0.25">
      <c r="A10" s="64">
        <f t="shared" si="0"/>
        <v>9</v>
      </c>
      <c r="B10" s="80" t="s">
        <v>79</v>
      </c>
      <c r="C10" s="75" t="s">
        <v>27</v>
      </c>
    </row>
    <row r="11" spans="1:3" ht="16.5" x14ac:dyDescent="0.25">
      <c r="A11" s="64">
        <f t="shared" si="0"/>
        <v>10</v>
      </c>
      <c r="B11" s="151" t="s">
        <v>98</v>
      </c>
      <c r="C11" s="142" t="s">
        <v>57</v>
      </c>
    </row>
    <row r="12" spans="1:3" ht="16.5" x14ac:dyDescent="0.25">
      <c r="A12" s="64">
        <f t="shared" si="0"/>
        <v>11</v>
      </c>
      <c r="B12" s="80" t="s">
        <v>52</v>
      </c>
      <c r="C12" s="64" t="s">
        <v>35</v>
      </c>
    </row>
    <row r="13" spans="1:3" ht="16.5" x14ac:dyDescent="0.25">
      <c r="A13" s="64">
        <f t="shared" si="0"/>
        <v>12</v>
      </c>
      <c r="B13" s="69" t="s">
        <v>92</v>
      </c>
      <c r="C13" s="64" t="s">
        <v>137</v>
      </c>
    </row>
    <row r="14" spans="1:3" ht="16.5" x14ac:dyDescent="0.25">
      <c r="A14" s="64">
        <f t="shared" si="0"/>
        <v>13</v>
      </c>
      <c r="B14" s="69" t="s">
        <v>131</v>
      </c>
      <c r="C14" s="122" t="s">
        <v>93</v>
      </c>
    </row>
    <row r="15" spans="1:3" ht="16.5" x14ac:dyDescent="0.25">
      <c r="A15" s="64">
        <f t="shared" si="0"/>
        <v>14</v>
      </c>
      <c r="B15" s="80" t="s">
        <v>139</v>
      </c>
      <c r="C15" s="75" t="s">
        <v>25</v>
      </c>
    </row>
    <row r="16" spans="1:3" ht="16.5" x14ac:dyDescent="0.25">
      <c r="A16" s="64">
        <f t="shared" si="0"/>
        <v>15</v>
      </c>
      <c r="B16" s="80" t="s">
        <v>138</v>
      </c>
      <c r="C16" s="64" t="s">
        <v>19</v>
      </c>
    </row>
    <row r="17" spans="1:3" ht="16.5" x14ac:dyDescent="0.25">
      <c r="A17" s="64">
        <f t="shared" si="0"/>
        <v>16</v>
      </c>
      <c r="B17" s="80" t="s">
        <v>148</v>
      </c>
      <c r="C17" s="75" t="s">
        <v>56</v>
      </c>
    </row>
    <row r="18" spans="1:3" ht="16.5" x14ac:dyDescent="0.25">
      <c r="A18" s="64">
        <f t="shared" si="0"/>
        <v>17</v>
      </c>
      <c r="B18" s="151" t="s">
        <v>41</v>
      </c>
      <c r="C18" s="15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FD608-160F-4BF1-86F8-D9455234BF27}">
  <sheetPr codeName="Sheet4"/>
  <dimension ref="B2:M55"/>
  <sheetViews>
    <sheetView zoomScaleNormal="100" workbookViewId="0">
      <selection activeCell="I7" sqref="I7"/>
    </sheetView>
  </sheetViews>
  <sheetFormatPr defaultColWidth="9.140625" defaultRowHeight="15" x14ac:dyDescent="0.25"/>
  <cols>
    <col min="1" max="1" width="15.85546875" style="1" customWidth="1"/>
    <col min="2" max="2" width="19" style="1" customWidth="1"/>
    <col min="3" max="3" width="39.5703125" style="1" customWidth="1"/>
    <col min="4" max="4" width="16.5703125" style="1" customWidth="1"/>
    <col min="5" max="5" width="16" style="1" customWidth="1"/>
    <col min="6" max="6" width="25.140625" style="1" customWidth="1"/>
    <col min="7" max="7" width="22.28515625" style="1" customWidth="1"/>
    <col min="8" max="8" width="21.28515625" style="1" customWidth="1"/>
    <col min="9" max="9" width="20.28515625" style="1" customWidth="1"/>
    <col min="10" max="10" width="24.5703125" style="1" customWidth="1"/>
    <col min="11" max="11" width="23.42578125" style="1" hidden="1" customWidth="1"/>
    <col min="12" max="12" width="21" style="1" customWidth="1"/>
    <col min="13" max="13" width="19.42578125" style="1" customWidth="1"/>
    <col min="14" max="16384" width="9.140625" style="1"/>
  </cols>
  <sheetData>
    <row r="2" spans="2:13" ht="60.75" customHeight="1" x14ac:dyDescent="0.25">
      <c r="B2" s="183" t="s">
        <v>31</v>
      </c>
      <c r="C2" s="183"/>
      <c r="D2" s="183"/>
      <c r="E2" s="183"/>
      <c r="F2" s="183"/>
      <c r="G2" s="183"/>
      <c r="H2" s="183"/>
      <c r="I2" s="183"/>
      <c r="J2" s="183"/>
      <c r="K2" s="183"/>
    </row>
    <row r="3" spans="2:13" ht="30.75" x14ac:dyDescent="0.25">
      <c r="B3" s="184" t="s">
        <v>55</v>
      </c>
      <c r="C3" s="185"/>
      <c r="D3" s="185"/>
      <c r="E3" s="185"/>
      <c r="F3" s="185"/>
      <c r="G3" s="185"/>
      <c r="H3" s="185"/>
      <c r="I3" s="185"/>
      <c r="J3" s="185"/>
      <c r="K3" s="185"/>
    </row>
    <row r="4" spans="2:13" x14ac:dyDescent="0.25">
      <c r="J4" s="26"/>
    </row>
    <row r="6" spans="2:13" ht="20.25" x14ac:dyDescent="0.3">
      <c r="B6" s="5" t="s">
        <v>0</v>
      </c>
      <c r="C6" s="5" t="s">
        <v>1</v>
      </c>
      <c r="D6" s="5" t="s">
        <v>50</v>
      </c>
      <c r="E6" s="5" t="s">
        <v>2</v>
      </c>
      <c r="F6" s="5" t="s">
        <v>3</v>
      </c>
      <c r="G6" s="5" t="s">
        <v>49</v>
      </c>
      <c r="H6" s="5" t="s">
        <v>4</v>
      </c>
      <c r="I6" s="5" t="s">
        <v>20</v>
      </c>
      <c r="J6" s="5" t="s">
        <v>7</v>
      </c>
      <c r="K6" s="5" t="s">
        <v>5</v>
      </c>
      <c r="L6" s="5" t="s">
        <v>34</v>
      </c>
      <c r="M6" s="5" t="s">
        <v>51</v>
      </c>
    </row>
    <row r="7" spans="2:13" ht="16.5" x14ac:dyDescent="0.25">
      <c r="B7" s="3">
        <v>1</v>
      </c>
      <c r="C7" s="11" t="s">
        <v>40</v>
      </c>
      <c r="D7" s="3" t="s">
        <v>8</v>
      </c>
      <c r="E7" s="4">
        <v>38096003688</v>
      </c>
      <c r="F7" s="3" t="s">
        <v>13</v>
      </c>
      <c r="G7" s="3" t="s">
        <v>14</v>
      </c>
      <c r="H7" s="10">
        <v>1940000</v>
      </c>
      <c r="I7" s="28">
        <v>660000</v>
      </c>
      <c r="J7" s="3" t="s">
        <v>69</v>
      </c>
      <c r="K7" s="2"/>
      <c r="L7" s="38" t="s">
        <v>70</v>
      </c>
      <c r="M7" s="12"/>
    </row>
    <row r="8" spans="2:13" ht="16.5" x14ac:dyDescent="0.25">
      <c r="B8" s="3">
        <f t="shared" ref="B8:B23" si="0">B7 +1</f>
        <v>2</v>
      </c>
      <c r="C8" s="11" t="s">
        <v>38</v>
      </c>
      <c r="D8" s="3" t="s">
        <v>9</v>
      </c>
      <c r="E8" s="4">
        <v>91203011680</v>
      </c>
      <c r="F8" s="3" t="s">
        <v>15</v>
      </c>
      <c r="G8" s="3" t="s">
        <v>16</v>
      </c>
      <c r="H8" s="10">
        <v>1960000</v>
      </c>
      <c r="I8" s="10">
        <v>1180000</v>
      </c>
      <c r="J8" s="29" t="s">
        <v>26</v>
      </c>
      <c r="K8" s="2"/>
      <c r="L8" s="27"/>
      <c r="M8" s="12"/>
    </row>
    <row r="9" spans="2:13" ht="16.5" x14ac:dyDescent="0.25">
      <c r="B9" s="3">
        <f t="shared" si="0"/>
        <v>3</v>
      </c>
      <c r="C9" s="11" t="s">
        <v>41</v>
      </c>
      <c r="D9" s="3" t="s">
        <v>10</v>
      </c>
      <c r="E9" s="4">
        <v>89078016404</v>
      </c>
      <c r="F9" s="3" t="s">
        <v>18</v>
      </c>
      <c r="G9" s="3" t="s">
        <v>17</v>
      </c>
      <c r="H9" s="10">
        <v>1450000</v>
      </c>
      <c r="I9" s="10">
        <f>H9*$E$25</f>
        <v>870000</v>
      </c>
      <c r="J9" s="3" t="s">
        <v>69</v>
      </c>
      <c r="K9" s="2"/>
      <c r="L9" s="2"/>
      <c r="M9" s="12"/>
    </row>
    <row r="10" spans="2:13" ht="16.5" x14ac:dyDescent="0.25">
      <c r="B10" s="3">
        <f t="shared" si="0"/>
        <v>4</v>
      </c>
      <c r="C10" s="11" t="s">
        <v>67</v>
      </c>
      <c r="D10" s="3" t="s">
        <v>11</v>
      </c>
      <c r="E10" s="4">
        <v>89099008054</v>
      </c>
      <c r="F10" s="3" t="s">
        <v>18</v>
      </c>
      <c r="G10" s="3" t="s">
        <v>48</v>
      </c>
      <c r="H10" s="10">
        <v>1700000</v>
      </c>
      <c r="I10" s="10">
        <f>H10*$E$25</f>
        <v>1020000</v>
      </c>
      <c r="J10" s="3" t="s">
        <v>69</v>
      </c>
      <c r="K10" s="2"/>
      <c r="L10" s="2"/>
      <c r="M10" s="12"/>
    </row>
    <row r="11" spans="2:13" ht="16.5" x14ac:dyDescent="0.25">
      <c r="B11" s="3">
        <f t="shared" si="0"/>
        <v>5</v>
      </c>
      <c r="C11" s="11" t="s">
        <v>39</v>
      </c>
      <c r="D11" s="4" t="s">
        <v>12</v>
      </c>
      <c r="E11" s="4">
        <v>91088020664</v>
      </c>
      <c r="F11" s="3" t="s">
        <v>15</v>
      </c>
      <c r="G11" s="3" t="s">
        <v>19</v>
      </c>
      <c r="H11" s="10">
        <v>1950000</v>
      </c>
      <c r="I11" s="10">
        <f>H11*$E$25</f>
        <v>1170000</v>
      </c>
      <c r="J11" s="29" t="s">
        <v>26</v>
      </c>
      <c r="K11" s="2"/>
      <c r="L11" s="2"/>
      <c r="M11" s="12"/>
    </row>
    <row r="12" spans="2:13" ht="16.5" x14ac:dyDescent="0.25">
      <c r="B12" s="3">
        <f t="shared" si="0"/>
        <v>6</v>
      </c>
      <c r="C12" s="11" t="s">
        <v>42</v>
      </c>
      <c r="D12" s="8" t="s">
        <v>59</v>
      </c>
      <c r="E12" s="8">
        <v>89082022656</v>
      </c>
      <c r="F12" s="8" t="s">
        <v>18</v>
      </c>
      <c r="G12" s="8" t="s">
        <v>56</v>
      </c>
      <c r="H12" s="10">
        <v>1955000</v>
      </c>
      <c r="I12" s="10">
        <f>H12*$E$25</f>
        <v>1173000</v>
      </c>
      <c r="J12" s="3" t="s">
        <v>69</v>
      </c>
      <c r="K12" s="2"/>
      <c r="L12" s="2"/>
      <c r="M12" s="13"/>
    </row>
    <row r="13" spans="2:13" ht="16.5" x14ac:dyDescent="0.25">
      <c r="B13" s="3">
        <f t="shared" si="0"/>
        <v>7</v>
      </c>
      <c r="C13" s="11" t="s">
        <v>43</v>
      </c>
      <c r="D13" s="8" t="s">
        <v>23</v>
      </c>
      <c r="E13" s="8">
        <v>42088019031</v>
      </c>
      <c r="F13" s="8" t="s">
        <v>21</v>
      </c>
      <c r="G13" s="8" t="s">
        <v>22</v>
      </c>
      <c r="H13" s="10">
        <v>1720000</v>
      </c>
      <c r="I13" s="10">
        <v>1030000</v>
      </c>
      <c r="J13" s="3" t="s">
        <v>69</v>
      </c>
      <c r="K13" s="2"/>
      <c r="L13" s="2"/>
      <c r="M13" s="12"/>
    </row>
    <row r="14" spans="2:13" ht="16.5" x14ac:dyDescent="0.25">
      <c r="B14" s="3">
        <f t="shared" si="0"/>
        <v>8</v>
      </c>
      <c r="C14" s="11" t="s">
        <v>44</v>
      </c>
      <c r="D14" s="8" t="s">
        <v>33</v>
      </c>
      <c r="E14" s="8">
        <v>49202008987</v>
      </c>
      <c r="F14" s="8" t="s">
        <v>15</v>
      </c>
      <c r="G14" s="8" t="s">
        <v>32</v>
      </c>
      <c r="H14" s="10">
        <v>1750000</v>
      </c>
      <c r="I14" s="10">
        <f t="shared" ref="I14:I19" si="1">H14*$E$25</f>
        <v>1050000</v>
      </c>
      <c r="J14" s="3" t="s">
        <v>69</v>
      </c>
      <c r="K14" s="2"/>
      <c r="L14" s="2"/>
      <c r="M14" s="13"/>
    </row>
    <row r="15" spans="2:13" ht="16.5" x14ac:dyDescent="0.25">
      <c r="B15" s="3">
        <f t="shared" si="0"/>
        <v>9</v>
      </c>
      <c r="C15" s="11" t="s">
        <v>45</v>
      </c>
      <c r="D15" s="8" t="s">
        <v>24</v>
      </c>
      <c r="E15" s="8">
        <v>93097001330</v>
      </c>
      <c r="F15" s="8" t="s">
        <v>60</v>
      </c>
      <c r="G15" s="8" t="s">
        <v>25</v>
      </c>
      <c r="H15" s="10">
        <v>1750000</v>
      </c>
      <c r="I15" s="10">
        <f t="shared" si="1"/>
        <v>1050000</v>
      </c>
      <c r="J15" s="3" t="s">
        <v>69</v>
      </c>
      <c r="K15" s="2"/>
      <c r="L15" s="2"/>
      <c r="M15" s="12"/>
    </row>
    <row r="16" spans="2:13" ht="16.5" x14ac:dyDescent="0.25">
      <c r="B16" s="3">
        <f t="shared" si="0"/>
        <v>10</v>
      </c>
      <c r="C16" s="11" t="s">
        <v>46</v>
      </c>
      <c r="D16" s="8" t="s">
        <v>61</v>
      </c>
      <c r="E16" s="8">
        <v>95095009661</v>
      </c>
      <c r="F16" s="8" t="s">
        <v>62</v>
      </c>
      <c r="G16" s="8" t="s">
        <v>27</v>
      </c>
      <c r="H16" s="10">
        <v>1710000</v>
      </c>
      <c r="I16" s="10">
        <f t="shared" si="1"/>
        <v>1026000</v>
      </c>
      <c r="J16" s="3" t="s">
        <v>69</v>
      </c>
      <c r="K16" s="2"/>
      <c r="L16" s="2"/>
      <c r="M16" s="12"/>
    </row>
    <row r="17" spans="2:13" ht="16.5" x14ac:dyDescent="0.25">
      <c r="B17" s="3">
        <f t="shared" si="0"/>
        <v>11</v>
      </c>
      <c r="C17" s="11" t="s">
        <v>47</v>
      </c>
      <c r="D17" s="8" t="s">
        <v>63</v>
      </c>
      <c r="E17" s="8">
        <v>80083017871</v>
      </c>
      <c r="F17" s="8" t="s">
        <v>64</v>
      </c>
      <c r="G17" s="8" t="s">
        <v>57</v>
      </c>
      <c r="H17" s="10">
        <v>1760000</v>
      </c>
      <c r="I17" s="10">
        <f t="shared" si="1"/>
        <v>1056000</v>
      </c>
      <c r="J17" s="3" t="s">
        <v>69</v>
      </c>
      <c r="K17" s="2"/>
      <c r="L17" s="2"/>
      <c r="M17" s="12"/>
    </row>
    <row r="18" spans="2:13" ht="16.5" x14ac:dyDescent="0.25">
      <c r="B18" s="3">
        <f t="shared" si="0"/>
        <v>12</v>
      </c>
      <c r="C18" s="11" t="s">
        <v>37</v>
      </c>
      <c r="D18" s="8" t="s">
        <v>28</v>
      </c>
      <c r="E18" s="8">
        <v>42094001136</v>
      </c>
      <c r="F18" s="8" t="s">
        <v>15</v>
      </c>
      <c r="G18" s="8" t="s">
        <v>36</v>
      </c>
      <c r="H18" s="10">
        <v>1940000</v>
      </c>
      <c r="I18" s="10">
        <f t="shared" si="1"/>
        <v>1164000</v>
      </c>
      <c r="J18" s="29" t="s">
        <v>26</v>
      </c>
      <c r="K18" s="2"/>
      <c r="L18" s="2"/>
      <c r="M18" s="12"/>
    </row>
    <row r="19" spans="2:13" ht="16.5" x14ac:dyDescent="0.25">
      <c r="B19" s="3">
        <f t="shared" si="0"/>
        <v>13</v>
      </c>
      <c r="C19" s="15" t="s">
        <v>52</v>
      </c>
      <c r="D19" s="8" t="s">
        <v>54</v>
      </c>
      <c r="E19" s="37" t="s">
        <v>74</v>
      </c>
      <c r="F19" s="8" t="s">
        <v>53</v>
      </c>
      <c r="G19" s="14" t="s">
        <v>35</v>
      </c>
      <c r="H19" s="10">
        <v>3235000</v>
      </c>
      <c r="I19" s="10">
        <f t="shared" si="1"/>
        <v>1941000</v>
      </c>
      <c r="J19" s="3" t="s">
        <v>69</v>
      </c>
      <c r="K19" s="2"/>
      <c r="L19" s="32"/>
      <c r="M19" s="12"/>
    </row>
    <row r="20" spans="2:13" ht="16.5" x14ac:dyDescent="0.25">
      <c r="B20" s="3">
        <f t="shared" si="0"/>
        <v>14</v>
      </c>
      <c r="C20" s="11"/>
      <c r="D20" s="7"/>
      <c r="E20" s="7"/>
      <c r="F20" s="7"/>
      <c r="G20" s="7"/>
      <c r="H20" s="10"/>
      <c r="I20" s="10"/>
      <c r="J20" s="3"/>
      <c r="K20" s="2"/>
      <c r="L20" s="2"/>
      <c r="M20" s="12"/>
    </row>
    <row r="21" spans="2:13" ht="16.5" x14ac:dyDescent="0.25">
      <c r="B21" s="3">
        <f t="shared" si="0"/>
        <v>15</v>
      </c>
      <c r="C21" s="16"/>
      <c r="D21" s="3"/>
      <c r="E21" s="3"/>
      <c r="F21" s="3"/>
      <c r="G21" s="3"/>
      <c r="H21" s="3"/>
      <c r="I21" s="10"/>
      <c r="J21" s="3"/>
      <c r="K21" s="2"/>
      <c r="L21" s="2"/>
      <c r="M21" s="12"/>
    </row>
    <row r="22" spans="2:13" ht="16.5" x14ac:dyDescent="0.25">
      <c r="B22" s="3">
        <f t="shared" si="0"/>
        <v>16</v>
      </c>
      <c r="C22" s="3" t="s">
        <v>68</v>
      </c>
      <c r="D22" s="3"/>
      <c r="E22" s="3"/>
      <c r="F22" s="3"/>
      <c r="G22" s="3"/>
      <c r="H22" s="3"/>
      <c r="I22" s="6" t="str">
        <f>IF(ISNUMBER(H22),H22/2,"")</f>
        <v/>
      </c>
      <c r="J22" s="3"/>
      <c r="K22" s="2"/>
      <c r="L22" s="2"/>
      <c r="M22" s="12"/>
    </row>
    <row r="23" spans="2:13" ht="16.5" x14ac:dyDescent="0.25">
      <c r="B23" s="3">
        <f t="shared" si="0"/>
        <v>17</v>
      </c>
      <c r="C23" s="3" t="s">
        <v>6</v>
      </c>
      <c r="D23" s="3"/>
      <c r="E23" s="3"/>
      <c r="F23" s="3"/>
      <c r="G23" s="3"/>
      <c r="H23" s="3"/>
      <c r="I23" s="6" t="str">
        <f>IF(ISNUMBER(H23),H23/2,"")</f>
        <v/>
      </c>
      <c r="J23" s="3"/>
      <c r="K23" s="2"/>
      <c r="L23" s="2"/>
      <c r="M23" s="12"/>
    </row>
    <row r="25" spans="2:13" ht="22.5" x14ac:dyDescent="0.3">
      <c r="D25" s="23" t="s">
        <v>65</v>
      </c>
      <c r="E25" s="24">
        <v>0.6</v>
      </c>
      <c r="F25" s="25" t="s">
        <v>66</v>
      </c>
      <c r="H25" s="186" t="s">
        <v>29</v>
      </c>
      <c r="I25" s="186"/>
      <c r="J25" s="9">
        <f>SUM(H7:H1000)</f>
        <v>24820000</v>
      </c>
    </row>
    <row r="26" spans="2:13" ht="22.5" x14ac:dyDescent="0.3">
      <c r="H26" s="186" t="s">
        <v>30</v>
      </c>
      <c r="I26" s="186"/>
      <c r="J26" s="9">
        <f>SUM(I7:I1000)</f>
        <v>14390000</v>
      </c>
    </row>
    <row r="42" spans="2:2" x14ac:dyDescent="0.25">
      <c r="B42" s="22" t="s">
        <v>58</v>
      </c>
    </row>
    <row r="43" spans="2:2" ht="16.5" x14ac:dyDescent="0.25">
      <c r="B43" s="17" t="s">
        <v>14</v>
      </c>
    </row>
    <row r="44" spans="2:2" ht="16.5" x14ac:dyDescent="0.25">
      <c r="B44" s="18" t="s">
        <v>16</v>
      </c>
    </row>
    <row r="45" spans="2:2" ht="16.5" x14ac:dyDescent="0.25">
      <c r="B45" s="17" t="s">
        <v>17</v>
      </c>
    </row>
    <row r="46" spans="2:2" ht="16.5" x14ac:dyDescent="0.25">
      <c r="B46" s="18" t="s">
        <v>48</v>
      </c>
    </row>
    <row r="47" spans="2:2" ht="16.5" x14ac:dyDescent="0.25">
      <c r="B47" s="17" t="s">
        <v>19</v>
      </c>
    </row>
    <row r="48" spans="2:2" ht="16.5" x14ac:dyDescent="0.25">
      <c r="B48" s="19" t="s">
        <v>56</v>
      </c>
    </row>
    <row r="49" spans="2:2" ht="16.5" x14ac:dyDescent="0.25">
      <c r="B49" s="20" t="s">
        <v>22</v>
      </c>
    </row>
    <row r="50" spans="2:2" ht="16.5" x14ac:dyDescent="0.25">
      <c r="B50" s="19" t="s">
        <v>32</v>
      </c>
    </row>
    <row r="51" spans="2:2" ht="16.5" x14ac:dyDescent="0.25">
      <c r="B51" s="20" t="s">
        <v>25</v>
      </c>
    </row>
    <row r="52" spans="2:2" ht="16.5" x14ac:dyDescent="0.25">
      <c r="B52" s="19" t="s">
        <v>27</v>
      </c>
    </row>
    <row r="53" spans="2:2" ht="16.5" x14ac:dyDescent="0.25">
      <c r="B53" s="20" t="s">
        <v>57</v>
      </c>
    </row>
    <row r="54" spans="2:2" ht="16.5" x14ac:dyDescent="0.25">
      <c r="B54" s="19" t="s">
        <v>36</v>
      </c>
    </row>
    <row r="55" spans="2:2" ht="16.5" x14ac:dyDescent="0.25">
      <c r="B55" s="21" t="s">
        <v>35</v>
      </c>
    </row>
  </sheetData>
  <sheetProtection sheet="1" objects="1" scenarios="1"/>
  <mergeCells count="4">
    <mergeCell ref="B2:K2"/>
    <mergeCell ref="B3:K3"/>
    <mergeCell ref="H25:I25"/>
    <mergeCell ref="H26:I26"/>
  </mergeCells>
  <phoneticPr fontId="2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A5E95-9A1F-428C-A980-7358A9B2F390}">
  <sheetPr codeName="Sheet5"/>
  <dimension ref="A2:M56"/>
  <sheetViews>
    <sheetView topLeftCell="B1" zoomScaleNormal="100" workbookViewId="0">
      <selection activeCell="I8" sqref="I8:I20"/>
    </sheetView>
  </sheetViews>
  <sheetFormatPr defaultColWidth="9.140625" defaultRowHeight="15" x14ac:dyDescent="0.25"/>
  <cols>
    <col min="1" max="1" width="15.85546875" style="1" customWidth="1"/>
    <col min="2" max="2" width="19" style="1" customWidth="1"/>
    <col min="3" max="3" width="39.5703125" style="1" customWidth="1"/>
    <col min="4" max="4" width="16.5703125" style="1" customWidth="1"/>
    <col min="5" max="5" width="16" style="1" customWidth="1"/>
    <col min="6" max="6" width="25.140625" style="1" customWidth="1"/>
    <col min="7" max="7" width="22.28515625" style="1" customWidth="1"/>
    <col min="8" max="8" width="21.28515625" style="1" customWidth="1"/>
    <col min="9" max="9" width="20.28515625" style="1" customWidth="1"/>
    <col min="10" max="10" width="24.5703125" style="1" customWidth="1"/>
    <col min="11" max="11" width="23.42578125" style="1" hidden="1" customWidth="1"/>
    <col min="12" max="12" width="21" style="1" customWidth="1"/>
    <col min="13" max="13" width="19.42578125" style="1" customWidth="1"/>
    <col min="14" max="16384" width="9.140625" style="1"/>
  </cols>
  <sheetData>
    <row r="2" spans="2:13" ht="60.75" customHeight="1" x14ac:dyDescent="0.25">
      <c r="B2" s="183" t="s">
        <v>31</v>
      </c>
      <c r="C2" s="183"/>
      <c r="D2" s="183"/>
      <c r="E2" s="183"/>
      <c r="F2" s="183"/>
      <c r="G2" s="183"/>
      <c r="H2" s="183"/>
      <c r="I2" s="183"/>
      <c r="J2" s="183"/>
      <c r="K2" s="183"/>
    </row>
    <row r="3" spans="2:13" ht="30.75" x14ac:dyDescent="0.25">
      <c r="B3" s="184" t="s">
        <v>77</v>
      </c>
      <c r="C3" s="185"/>
      <c r="D3" s="185"/>
      <c r="E3" s="185"/>
      <c r="F3" s="185"/>
      <c r="G3" s="185"/>
      <c r="H3" s="185"/>
      <c r="I3" s="185"/>
      <c r="J3" s="185"/>
      <c r="K3" s="185"/>
    </row>
    <row r="4" spans="2:13" x14ac:dyDescent="0.25">
      <c r="J4" s="26"/>
    </row>
    <row r="6" spans="2:13" ht="20.25" x14ac:dyDescent="0.3">
      <c r="B6" s="5" t="s">
        <v>0</v>
      </c>
      <c r="C6" s="5" t="s">
        <v>1</v>
      </c>
      <c r="D6" s="5" t="s">
        <v>50</v>
      </c>
      <c r="E6" s="5" t="s">
        <v>2</v>
      </c>
      <c r="F6" s="5" t="s">
        <v>3</v>
      </c>
      <c r="G6" s="5" t="s">
        <v>49</v>
      </c>
      <c r="H6" s="5" t="s">
        <v>4</v>
      </c>
      <c r="I6" s="5" t="s">
        <v>20</v>
      </c>
      <c r="J6" s="5" t="s">
        <v>7</v>
      </c>
      <c r="K6" s="5" t="s">
        <v>5</v>
      </c>
      <c r="L6" s="5" t="s">
        <v>34</v>
      </c>
      <c r="M6" s="5" t="s">
        <v>51</v>
      </c>
    </row>
    <row r="7" spans="2:13" ht="16.5" x14ac:dyDescent="0.25">
      <c r="B7" s="3">
        <v>1</v>
      </c>
      <c r="C7" s="11" t="s">
        <v>40</v>
      </c>
      <c r="D7" s="3" t="s">
        <v>8</v>
      </c>
      <c r="E7" s="4">
        <v>38096003688</v>
      </c>
      <c r="F7" s="3" t="s">
        <v>13</v>
      </c>
      <c r="G7" s="3" t="s">
        <v>14</v>
      </c>
      <c r="H7" s="10">
        <v>1720000</v>
      </c>
      <c r="I7" s="10">
        <v>1020000</v>
      </c>
      <c r="J7" s="16" t="s">
        <v>69</v>
      </c>
      <c r="K7" s="2"/>
      <c r="L7" s="2"/>
      <c r="M7" s="12"/>
    </row>
    <row r="8" spans="2:13" ht="16.5" x14ac:dyDescent="0.25">
      <c r="B8" s="3">
        <f>B7 +1</f>
        <v>2</v>
      </c>
      <c r="C8" s="11" t="s">
        <v>38</v>
      </c>
      <c r="D8" s="3" t="s">
        <v>9</v>
      </c>
      <c r="E8" s="4">
        <v>91203011680</v>
      </c>
      <c r="F8" s="3" t="s">
        <v>15</v>
      </c>
      <c r="G8" s="3" t="s">
        <v>16</v>
      </c>
      <c r="H8" s="10">
        <v>2500000</v>
      </c>
      <c r="I8" s="10">
        <f>H8*$E$26</f>
        <v>1500000</v>
      </c>
      <c r="J8" s="39" t="s">
        <v>26</v>
      </c>
      <c r="K8" s="33" t="s">
        <v>72</v>
      </c>
      <c r="L8" s="35"/>
      <c r="M8" s="12"/>
    </row>
    <row r="9" spans="2:13" ht="16.5" x14ac:dyDescent="0.25">
      <c r="B9" s="3">
        <f>B8 +1</f>
        <v>3</v>
      </c>
      <c r="C9" s="11" t="s">
        <v>41</v>
      </c>
      <c r="D9" s="3" t="s">
        <v>10</v>
      </c>
      <c r="E9" s="4">
        <v>89078016404</v>
      </c>
      <c r="F9" s="3" t="s">
        <v>18</v>
      </c>
      <c r="G9" s="3" t="s">
        <v>17</v>
      </c>
      <c r="H9" s="10">
        <v>2080000</v>
      </c>
      <c r="I9" s="10">
        <v>1250000</v>
      </c>
      <c r="J9" s="16" t="s">
        <v>69</v>
      </c>
      <c r="K9" s="2"/>
      <c r="L9" s="2"/>
      <c r="M9" s="12"/>
    </row>
    <row r="10" spans="2:13" ht="16.5" x14ac:dyDescent="0.25">
      <c r="B10" s="3">
        <f t="shared" ref="B10:B24" si="0">B9 +1</f>
        <v>4</v>
      </c>
      <c r="C10" s="11" t="s">
        <v>67</v>
      </c>
      <c r="D10" s="3" t="s">
        <v>11</v>
      </c>
      <c r="E10" s="4">
        <v>89099008054</v>
      </c>
      <c r="F10" s="3" t="s">
        <v>18</v>
      </c>
      <c r="G10" s="3" t="s">
        <v>48</v>
      </c>
      <c r="H10" s="10">
        <v>1760000</v>
      </c>
      <c r="I10" s="10">
        <f t="shared" ref="I10:I21" si="1">H10*$E$26</f>
        <v>1056000</v>
      </c>
      <c r="J10" s="16" t="s">
        <v>69</v>
      </c>
      <c r="K10" s="2"/>
      <c r="L10" s="16"/>
      <c r="M10" s="12"/>
    </row>
    <row r="11" spans="2:13" ht="16.5" x14ac:dyDescent="0.25">
      <c r="B11" s="3">
        <f t="shared" si="0"/>
        <v>5</v>
      </c>
      <c r="C11" s="11" t="s">
        <v>39</v>
      </c>
      <c r="D11" s="4" t="s">
        <v>12</v>
      </c>
      <c r="E11" s="4">
        <v>91088020664</v>
      </c>
      <c r="F11" s="3" t="s">
        <v>15</v>
      </c>
      <c r="G11" s="3" t="s">
        <v>19</v>
      </c>
      <c r="H11" s="10">
        <v>1950000</v>
      </c>
      <c r="I11" s="10">
        <f t="shared" si="1"/>
        <v>1170000</v>
      </c>
      <c r="J11" s="39" t="s">
        <v>26</v>
      </c>
      <c r="K11" s="33" t="s">
        <v>72</v>
      </c>
      <c r="L11" s="35"/>
      <c r="M11" s="12"/>
    </row>
    <row r="12" spans="2:13" ht="16.5" x14ac:dyDescent="0.25">
      <c r="B12" s="3">
        <f t="shared" si="0"/>
        <v>6</v>
      </c>
      <c r="C12" s="11" t="s">
        <v>42</v>
      </c>
      <c r="D12" s="8" t="s">
        <v>59</v>
      </c>
      <c r="E12" s="8">
        <v>89082022656</v>
      </c>
      <c r="F12" s="8" t="s">
        <v>18</v>
      </c>
      <c r="G12" s="8" t="s">
        <v>56</v>
      </c>
      <c r="H12" s="10">
        <v>1975000</v>
      </c>
      <c r="I12" s="10">
        <f t="shared" si="1"/>
        <v>1185000</v>
      </c>
      <c r="J12" s="16" t="s">
        <v>69</v>
      </c>
      <c r="K12" s="2"/>
      <c r="L12" s="2"/>
      <c r="M12" s="13"/>
    </row>
    <row r="13" spans="2:13" ht="16.5" x14ac:dyDescent="0.25">
      <c r="B13" s="3">
        <f t="shared" si="0"/>
        <v>7</v>
      </c>
      <c r="C13" s="11" t="s">
        <v>43</v>
      </c>
      <c r="D13" s="8" t="s">
        <v>23</v>
      </c>
      <c r="E13" s="8">
        <v>42088019031</v>
      </c>
      <c r="F13" s="8" t="s">
        <v>21</v>
      </c>
      <c r="G13" s="8" t="s">
        <v>22</v>
      </c>
      <c r="H13" s="10">
        <v>2050000</v>
      </c>
      <c r="I13" s="10">
        <f t="shared" si="1"/>
        <v>1230000</v>
      </c>
      <c r="J13" s="16" t="s">
        <v>69</v>
      </c>
      <c r="K13" s="33" t="s">
        <v>72</v>
      </c>
      <c r="L13" s="35"/>
      <c r="M13" s="12"/>
    </row>
    <row r="14" spans="2:13" ht="16.5" x14ac:dyDescent="0.25">
      <c r="B14" s="3">
        <f t="shared" si="0"/>
        <v>8</v>
      </c>
      <c r="C14" s="11" t="s">
        <v>44</v>
      </c>
      <c r="D14" s="8" t="s">
        <v>33</v>
      </c>
      <c r="E14" s="8">
        <v>49202008987</v>
      </c>
      <c r="F14" s="8" t="s">
        <v>15</v>
      </c>
      <c r="G14" s="8" t="s">
        <v>32</v>
      </c>
      <c r="H14" s="10">
        <v>2200000</v>
      </c>
      <c r="I14" s="10">
        <f t="shared" si="1"/>
        <v>1320000</v>
      </c>
      <c r="J14" s="16" t="s">
        <v>69</v>
      </c>
      <c r="K14" s="2"/>
      <c r="L14" s="2"/>
      <c r="M14" s="13"/>
    </row>
    <row r="15" spans="2:13" ht="16.5" x14ac:dyDescent="0.25">
      <c r="B15" s="3">
        <f t="shared" si="0"/>
        <v>9</v>
      </c>
      <c r="C15" s="11" t="s">
        <v>45</v>
      </c>
      <c r="D15" s="8" t="s">
        <v>24</v>
      </c>
      <c r="E15" s="8">
        <v>93097001330</v>
      </c>
      <c r="F15" s="8" t="s">
        <v>60</v>
      </c>
      <c r="G15" s="8" t="s">
        <v>25</v>
      </c>
      <c r="H15" s="10">
        <v>1870000</v>
      </c>
      <c r="I15" s="10">
        <f t="shared" si="1"/>
        <v>1122000</v>
      </c>
      <c r="J15" s="16" t="s">
        <v>69</v>
      </c>
      <c r="K15" s="2"/>
      <c r="L15" s="2"/>
      <c r="M15" s="12"/>
    </row>
    <row r="16" spans="2:13" ht="16.5" x14ac:dyDescent="0.25">
      <c r="B16" s="3">
        <f t="shared" si="0"/>
        <v>10</v>
      </c>
      <c r="C16" s="11" t="s">
        <v>79</v>
      </c>
      <c r="D16" s="8" t="s">
        <v>61</v>
      </c>
      <c r="E16" s="8">
        <v>95095009661</v>
      </c>
      <c r="F16" s="8" t="s">
        <v>62</v>
      </c>
      <c r="G16" s="8" t="s">
        <v>27</v>
      </c>
      <c r="H16" s="10">
        <v>2130000</v>
      </c>
      <c r="I16" s="10">
        <f t="shared" si="1"/>
        <v>1278000</v>
      </c>
      <c r="J16" s="16" t="s">
        <v>69</v>
      </c>
      <c r="K16" s="2"/>
      <c r="L16" s="35"/>
      <c r="M16" s="12"/>
    </row>
    <row r="17" spans="1:13" ht="16.5" x14ac:dyDescent="0.25">
      <c r="B17" s="3">
        <f t="shared" si="0"/>
        <v>11</v>
      </c>
      <c r="C17" s="11" t="s">
        <v>47</v>
      </c>
      <c r="D17" s="8" t="s">
        <v>63</v>
      </c>
      <c r="E17" s="8">
        <v>80083017871</v>
      </c>
      <c r="F17" s="8" t="s">
        <v>64</v>
      </c>
      <c r="G17" s="8" t="s">
        <v>57</v>
      </c>
      <c r="H17" s="10">
        <v>1730000</v>
      </c>
      <c r="I17" s="10">
        <v>1080000</v>
      </c>
      <c r="J17" s="16" t="s">
        <v>69</v>
      </c>
      <c r="K17" s="2"/>
      <c r="L17" s="2"/>
      <c r="M17" s="12"/>
    </row>
    <row r="18" spans="1:13" ht="16.5" x14ac:dyDescent="0.25">
      <c r="B18" s="3">
        <f t="shared" si="0"/>
        <v>12</v>
      </c>
      <c r="C18" s="11" t="s">
        <v>111</v>
      </c>
      <c r="D18" s="8" t="s">
        <v>28</v>
      </c>
      <c r="E18" s="8">
        <v>42094001136</v>
      </c>
      <c r="F18" s="8" t="s">
        <v>15</v>
      </c>
      <c r="G18" s="8" t="s">
        <v>36</v>
      </c>
      <c r="H18" s="10">
        <v>2190000</v>
      </c>
      <c r="I18" s="10">
        <v>1315000</v>
      </c>
      <c r="J18" s="39" t="s">
        <v>26</v>
      </c>
      <c r="K18" s="33" t="s">
        <v>72</v>
      </c>
      <c r="L18" s="35"/>
      <c r="M18" s="12"/>
    </row>
    <row r="19" spans="1:13" ht="16.5" x14ac:dyDescent="0.25">
      <c r="B19" s="3">
        <f t="shared" si="0"/>
        <v>13</v>
      </c>
      <c r="C19" s="15" t="s">
        <v>52</v>
      </c>
      <c r="D19" s="8" t="s">
        <v>54</v>
      </c>
      <c r="E19" s="7" t="s">
        <v>74</v>
      </c>
      <c r="F19" s="8" t="s">
        <v>53</v>
      </c>
      <c r="G19" s="14" t="s">
        <v>35</v>
      </c>
      <c r="H19" s="10">
        <v>2080000</v>
      </c>
      <c r="I19" s="10">
        <v>1250000</v>
      </c>
      <c r="J19" s="16" t="s">
        <v>69</v>
      </c>
      <c r="K19" s="2"/>
      <c r="L19" s="2"/>
      <c r="M19" s="12"/>
    </row>
    <row r="20" spans="1:13" ht="16.5" x14ac:dyDescent="0.25">
      <c r="A20" s="30" t="s">
        <v>71</v>
      </c>
      <c r="B20" s="31">
        <f t="shared" si="0"/>
        <v>14</v>
      </c>
      <c r="C20" s="36" t="s">
        <v>80</v>
      </c>
      <c r="D20" s="3" t="s">
        <v>75</v>
      </c>
      <c r="E20" s="8">
        <v>38085004911</v>
      </c>
      <c r="F20" s="8" t="s">
        <v>13</v>
      </c>
      <c r="G20" s="14" t="s">
        <v>73</v>
      </c>
      <c r="H20" s="10">
        <v>1750000</v>
      </c>
      <c r="I20" s="10">
        <v>880000</v>
      </c>
      <c r="J20" s="39" t="s">
        <v>26</v>
      </c>
      <c r="K20" s="35"/>
      <c r="L20" s="35"/>
      <c r="M20" s="12"/>
    </row>
    <row r="21" spans="1:13" ht="16.5" x14ac:dyDescent="0.25">
      <c r="A21" s="30" t="s">
        <v>71</v>
      </c>
      <c r="B21" s="31">
        <f>B20 +1</f>
        <v>15</v>
      </c>
      <c r="C21" s="36" t="s">
        <v>110</v>
      </c>
      <c r="D21" s="3" t="s">
        <v>76</v>
      </c>
      <c r="E21" s="3">
        <v>89201007075</v>
      </c>
      <c r="F21" s="3" t="s">
        <v>18</v>
      </c>
      <c r="G21" s="37" t="s">
        <v>84</v>
      </c>
      <c r="H21" s="10">
        <v>1150000</v>
      </c>
      <c r="I21" s="10">
        <f t="shared" si="1"/>
        <v>690000</v>
      </c>
      <c r="J21" s="16" t="s">
        <v>69</v>
      </c>
      <c r="K21" s="2"/>
      <c r="L21" s="35"/>
      <c r="M21" s="12"/>
    </row>
    <row r="22" spans="1:13" ht="16.5" x14ac:dyDescent="0.25">
      <c r="B22" s="3">
        <f t="shared" si="0"/>
        <v>16</v>
      </c>
      <c r="C22" s="3" t="s">
        <v>6</v>
      </c>
      <c r="D22" s="3" t="s">
        <v>6</v>
      </c>
      <c r="E22" s="3" t="s">
        <v>6</v>
      </c>
      <c r="F22" s="3" t="s">
        <v>6</v>
      </c>
      <c r="G22" s="14" t="s">
        <v>82</v>
      </c>
      <c r="H22" s="3" t="s">
        <v>6</v>
      </c>
      <c r="I22" s="3" t="s">
        <v>6</v>
      </c>
      <c r="J22" s="3" t="s">
        <v>6</v>
      </c>
      <c r="K22" s="2"/>
      <c r="L22" s="2"/>
      <c r="M22" s="12"/>
    </row>
    <row r="23" spans="1:13" ht="16.5" x14ac:dyDescent="0.25">
      <c r="B23" s="3">
        <f t="shared" si="0"/>
        <v>17</v>
      </c>
      <c r="C23" s="3" t="s">
        <v>6</v>
      </c>
      <c r="D23" s="3" t="s">
        <v>6</v>
      </c>
      <c r="E23" s="3" t="s">
        <v>6</v>
      </c>
      <c r="F23" s="3" t="s">
        <v>6</v>
      </c>
      <c r="G23" s="3" t="s">
        <v>83</v>
      </c>
      <c r="H23" s="3" t="s">
        <v>6</v>
      </c>
      <c r="I23" s="3" t="s">
        <v>6</v>
      </c>
      <c r="J23" s="3" t="s">
        <v>6</v>
      </c>
      <c r="K23" s="2"/>
      <c r="L23" s="2"/>
      <c r="M23" s="12"/>
    </row>
    <row r="24" spans="1:13" ht="16.5" x14ac:dyDescent="0.25">
      <c r="B24" s="3">
        <f t="shared" si="0"/>
        <v>18</v>
      </c>
      <c r="C24" s="3" t="s">
        <v>6</v>
      </c>
      <c r="D24" s="3" t="s">
        <v>6</v>
      </c>
      <c r="E24" s="3" t="s">
        <v>6</v>
      </c>
      <c r="F24" s="3" t="s">
        <v>6</v>
      </c>
      <c r="G24" s="3" t="s">
        <v>73</v>
      </c>
      <c r="H24" s="3" t="s">
        <v>6</v>
      </c>
      <c r="I24" s="3" t="s">
        <v>6</v>
      </c>
      <c r="J24" s="3" t="s">
        <v>6</v>
      </c>
      <c r="K24" s="2"/>
      <c r="L24" s="2"/>
      <c r="M24" s="12"/>
    </row>
    <row r="26" spans="1:13" ht="22.5" x14ac:dyDescent="0.3">
      <c r="D26" s="23" t="s">
        <v>65</v>
      </c>
      <c r="E26" s="24">
        <v>0.6</v>
      </c>
      <c r="F26" s="25" t="s">
        <v>66</v>
      </c>
      <c r="H26" s="186" t="s">
        <v>29</v>
      </c>
      <c r="I26" s="186"/>
      <c r="J26" s="9">
        <f>SUM(H7:H1001)</f>
        <v>29135000</v>
      </c>
    </row>
    <row r="27" spans="1:13" ht="22.5" x14ac:dyDescent="0.3">
      <c r="H27" s="186" t="s">
        <v>30</v>
      </c>
      <c r="I27" s="186"/>
      <c r="J27" s="9">
        <f>SUM(I7:I1001)</f>
        <v>17346000</v>
      </c>
    </row>
    <row r="40" spans="2:3" x14ac:dyDescent="0.25">
      <c r="C40" s="34" t="s">
        <v>78</v>
      </c>
    </row>
    <row r="43" spans="2:3" x14ac:dyDescent="0.25">
      <c r="B43" s="22" t="s">
        <v>58</v>
      </c>
    </row>
    <row r="44" spans="2:3" ht="16.5" x14ac:dyDescent="0.25">
      <c r="B44" s="17" t="s">
        <v>14</v>
      </c>
    </row>
    <row r="45" spans="2:3" ht="16.5" x14ac:dyDescent="0.25">
      <c r="B45" s="18" t="s">
        <v>16</v>
      </c>
    </row>
    <row r="46" spans="2:3" ht="16.5" x14ac:dyDescent="0.25">
      <c r="B46" s="17" t="s">
        <v>17</v>
      </c>
    </row>
    <row r="47" spans="2:3" ht="16.5" x14ac:dyDescent="0.25">
      <c r="B47" s="18" t="s">
        <v>48</v>
      </c>
    </row>
    <row r="48" spans="2:3" ht="16.5" x14ac:dyDescent="0.25">
      <c r="B48" s="17" t="s">
        <v>19</v>
      </c>
    </row>
    <row r="49" spans="2:2" ht="16.5" x14ac:dyDescent="0.25">
      <c r="B49" s="19" t="s">
        <v>56</v>
      </c>
    </row>
    <row r="50" spans="2:2" ht="16.5" x14ac:dyDescent="0.25">
      <c r="B50" s="20" t="s">
        <v>22</v>
      </c>
    </row>
    <row r="51" spans="2:2" ht="16.5" x14ac:dyDescent="0.25">
      <c r="B51" s="19" t="s">
        <v>32</v>
      </c>
    </row>
    <row r="52" spans="2:2" ht="16.5" x14ac:dyDescent="0.25">
      <c r="B52" s="20" t="s">
        <v>25</v>
      </c>
    </row>
    <row r="53" spans="2:2" ht="16.5" x14ac:dyDescent="0.25">
      <c r="B53" s="19" t="s">
        <v>27</v>
      </c>
    </row>
    <row r="54" spans="2:2" ht="16.5" x14ac:dyDescent="0.25">
      <c r="B54" s="20" t="s">
        <v>57</v>
      </c>
    </row>
    <row r="55" spans="2:2" ht="16.5" x14ac:dyDescent="0.25">
      <c r="B55" s="19" t="s">
        <v>36</v>
      </c>
    </row>
    <row r="56" spans="2:2" ht="16.5" x14ac:dyDescent="0.25">
      <c r="B56" s="21" t="s">
        <v>35</v>
      </c>
    </row>
  </sheetData>
  <sheetProtection sheet="1" objects="1" scenarios="1"/>
  <mergeCells count="4">
    <mergeCell ref="B2:K2"/>
    <mergeCell ref="B3:K3"/>
    <mergeCell ref="H26:I26"/>
    <mergeCell ref="H27:I27"/>
  </mergeCells>
  <phoneticPr fontId="22" type="noConversion"/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816DB-42BB-432B-9938-04B7FA91672A}">
  <sheetPr codeName="Sheet1"/>
  <dimension ref="A2:M56"/>
  <sheetViews>
    <sheetView zoomScale="115" zoomScaleNormal="115" workbookViewId="0">
      <selection activeCell="Q26" sqref="Q26"/>
    </sheetView>
  </sheetViews>
  <sheetFormatPr defaultColWidth="9.140625" defaultRowHeight="15" x14ac:dyDescent="0.25"/>
  <cols>
    <col min="1" max="1" width="15.85546875" style="1" customWidth="1"/>
    <col min="2" max="2" width="19" style="1" customWidth="1"/>
    <col min="3" max="3" width="39.5703125" style="1" customWidth="1"/>
    <col min="4" max="4" width="16.5703125" style="1" customWidth="1"/>
    <col min="5" max="5" width="16" style="1" customWidth="1"/>
    <col min="6" max="6" width="25.140625" style="1" customWidth="1"/>
    <col min="7" max="7" width="22.28515625" style="1" customWidth="1"/>
    <col min="8" max="8" width="21.28515625" style="1" customWidth="1"/>
    <col min="9" max="9" width="20.28515625" style="1" customWidth="1"/>
    <col min="10" max="10" width="24.5703125" style="1" customWidth="1"/>
    <col min="11" max="11" width="23.42578125" style="1" hidden="1" customWidth="1"/>
    <col min="12" max="12" width="21" style="1" customWidth="1"/>
    <col min="13" max="13" width="19.42578125" style="1" customWidth="1"/>
    <col min="14" max="16384" width="9.140625" style="1"/>
  </cols>
  <sheetData>
    <row r="2" spans="2:13" ht="60.75" customHeight="1" x14ac:dyDescent="0.25">
      <c r="B2" s="183" t="s">
        <v>31</v>
      </c>
      <c r="C2" s="183"/>
      <c r="D2" s="183"/>
      <c r="E2" s="183"/>
      <c r="F2" s="183"/>
      <c r="G2" s="183"/>
      <c r="H2" s="183"/>
      <c r="I2" s="183"/>
      <c r="J2" s="183"/>
      <c r="K2" s="183"/>
    </row>
    <row r="3" spans="2:13" ht="30.75" x14ac:dyDescent="0.25">
      <c r="B3" s="184" t="s">
        <v>85</v>
      </c>
      <c r="C3" s="185"/>
      <c r="D3" s="185"/>
      <c r="E3" s="185"/>
      <c r="F3" s="185"/>
      <c r="G3" s="185"/>
      <c r="H3" s="185"/>
      <c r="I3" s="185"/>
      <c r="J3" s="185"/>
      <c r="K3" s="185"/>
    </row>
    <row r="4" spans="2:13" x14ac:dyDescent="0.25">
      <c r="J4" s="26"/>
    </row>
    <row r="6" spans="2:13" ht="20.25" x14ac:dyDescent="0.3">
      <c r="B6" s="5" t="s">
        <v>0</v>
      </c>
      <c r="C6" s="5" t="s">
        <v>1</v>
      </c>
      <c r="D6" s="5" t="s">
        <v>50</v>
      </c>
      <c r="E6" s="5" t="s">
        <v>2</v>
      </c>
      <c r="F6" s="5" t="s">
        <v>3</v>
      </c>
      <c r="G6" s="5" t="s">
        <v>49</v>
      </c>
      <c r="H6" s="5" t="s">
        <v>4</v>
      </c>
      <c r="I6" s="5" t="s">
        <v>20</v>
      </c>
      <c r="J6" s="5" t="s">
        <v>7</v>
      </c>
      <c r="K6" s="5" t="s">
        <v>5</v>
      </c>
      <c r="L6" s="5" t="s">
        <v>34</v>
      </c>
      <c r="M6" s="5" t="s">
        <v>51</v>
      </c>
    </row>
    <row r="7" spans="2:13" ht="16.5" x14ac:dyDescent="0.25">
      <c r="B7" s="3">
        <v>1</v>
      </c>
      <c r="C7" s="11" t="s">
        <v>40</v>
      </c>
      <c r="D7" s="3" t="s">
        <v>8</v>
      </c>
      <c r="E7" s="4">
        <v>38096003688</v>
      </c>
      <c r="F7" s="3" t="s">
        <v>13</v>
      </c>
      <c r="G7" s="3" t="s">
        <v>14</v>
      </c>
      <c r="H7" s="10">
        <v>2420000</v>
      </c>
      <c r="I7" s="10">
        <v>1390000</v>
      </c>
      <c r="J7" s="16" t="s">
        <v>69</v>
      </c>
      <c r="K7" s="2"/>
      <c r="L7" s="2"/>
      <c r="M7" s="12"/>
    </row>
    <row r="8" spans="2:13" ht="16.5" x14ac:dyDescent="0.25">
      <c r="B8" s="3">
        <f>B7 +1</f>
        <v>2</v>
      </c>
      <c r="C8" s="11" t="s">
        <v>38</v>
      </c>
      <c r="D8" s="3" t="s">
        <v>9</v>
      </c>
      <c r="E8" s="4">
        <v>91203011680</v>
      </c>
      <c r="F8" s="3" t="s">
        <v>15</v>
      </c>
      <c r="G8" s="3" t="s">
        <v>16</v>
      </c>
      <c r="H8" s="10">
        <v>2610000</v>
      </c>
      <c r="I8" s="10">
        <v>1570000</v>
      </c>
      <c r="J8" s="42" t="s">
        <v>26</v>
      </c>
      <c r="K8" s="33" t="s">
        <v>72</v>
      </c>
      <c r="L8" s="12"/>
      <c r="M8" s="12"/>
    </row>
    <row r="9" spans="2:13" ht="16.5" x14ac:dyDescent="0.25">
      <c r="B9" s="3">
        <f>B8 +1</f>
        <v>3</v>
      </c>
      <c r="C9" s="11" t="s">
        <v>41</v>
      </c>
      <c r="D9" s="3" t="s">
        <v>10</v>
      </c>
      <c r="E9" s="4">
        <v>89078016404</v>
      </c>
      <c r="F9" s="3" t="s">
        <v>18</v>
      </c>
      <c r="G9" s="3" t="s">
        <v>17</v>
      </c>
      <c r="H9" s="10">
        <v>2080000</v>
      </c>
      <c r="I9" s="10">
        <v>1250000</v>
      </c>
      <c r="J9" s="16" t="s">
        <v>69</v>
      </c>
      <c r="K9" s="2"/>
      <c r="L9" s="2"/>
      <c r="M9" s="12"/>
    </row>
    <row r="10" spans="2:13" ht="16.5" x14ac:dyDescent="0.25">
      <c r="B10" s="3">
        <f t="shared" ref="B10:B24" si="0">B9 +1</f>
        <v>4</v>
      </c>
      <c r="C10" s="11" t="s">
        <v>67</v>
      </c>
      <c r="D10" s="3" t="s">
        <v>11</v>
      </c>
      <c r="E10" s="4">
        <v>89099008054</v>
      </c>
      <c r="F10" s="3" t="s">
        <v>18</v>
      </c>
      <c r="G10" s="3" t="s">
        <v>48</v>
      </c>
      <c r="H10" s="10">
        <v>1850000</v>
      </c>
      <c r="I10" s="10">
        <f t="shared" ref="I10:I17" si="1">H10*$E$26</f>
        <v>1110000</v>
      </c>
      <c r="J10" s="16" t="s">
        <v>69</v>
      </c>
      <c r="K10" s="41" t="s">
        <v>86</v>
      </c>
      <c r="L10" s="12"/>
      <c r="M10" s="12"/>
    </row>
    <row r="11" spans="2:13" ht="16.5" x14ac:dyDescent="0.25">
      <c r="B11" s="3">
        <f t="shared" si="0"/>
        <v>5</v>
      </c>
      <c r="C11" s="11" t="s">
        <v>39</v>
      </c>
      <c r="D11" s="4" t="s">
        <v>12</v>
      </c>
      <c r="E11" s="4">
        <v>91088020664</v>
      </c>
      <c r="F11" s="3" t="s">
        <v>15</v>
      </c>
      <c r="G11" s="3" t="s">
        <v>19</v>
      </c>
      <c r="H11" s="10">
        <v>2500000</v>
      </c>
      <c r="I11" s="10">
        <f t="shared" si="1"/>
        <v>1500000</v>
      </c>
      <c r="J11" s="42" t="s">
        <v>26</v>
      </c>
      <c r="K11" s="33" t="s">
        <v>72</v>
      </c>
      <c r="L11" s="12"/>
      <c r="M11" s="12"/>
    </row>
    <row r="12" spans="2:13" ht="16.5" x14ac:dyDescent="0.25">
      <c r="B12" s="3">
        <f t="shared" si="0"/>
        <v>6</v>
      </c>
      <c r="C12" s="11" t="s">
        <v>42</v>
      </c>
      <c r="D12" s="8" t="s">
        <v>59</v>
      </c>
      <c r="E12" s="8">
        <v>89082022656</v>
      </c>
      <c r="F12" s="8" t="s">
        <v>18</v>
      </c>
      <c r="G12" s="8" t="s">
        <v>56</v>
      </c>
      <c r="H12" s="10">
        <v>2220000</v>
      </c>
      <c r="I12" s="10">
        <f t="shared" si="1"/>
        <v>1332000</v>
      </c>
      <c r="J12" s="16" t="s">
        <v>69</v>
      </c>
      <c r="K12" s="2"/>
      <c r="L12" s="2"/>
      <c r="M12" s="13"/>
    </row>
    <row r="13" spans="2:13" ht="16.5" x14ac:dyDescent="0.25">
      <c r="B13" s="3">
        <f t="shared" si="0"/>
        <v>7</v>
      </c>
      <c r="C13" s="11" t="s">
        <v>43</v>
      </c>
      <c r="D13" s="8" t="s">
        <v>23</v>
      </c>
      <c r="E13" s="8">
        <v>42088019031</v>
      </c>
      <c r="F13" s="8" t="s">
        <v>21</v>
      </c>
      <c r="G13" s="8" t="s">
        <v>22</v>
      </c>
      <c r="H13" s="10">
        <v>1880000</v>
      </c>
      <c r="I13" s="10">
        <f t="shared" si="1"/>
        <v>1128000</v>
      </c>
      <c r="J13" s="16" t="s">
        <v>69</v>
      </c>
      <c r="K13" s="33" t="s">
        <v>72</v>
      </c>
      <c r="L13" s="35"/>
      <c r="M13" s="12"/>
    </row>
    <row r="14" spans="2:13" ht="16.5" x14ac:dyDescent="0.25">
      <c r="B14" s="3">
        <f t="shared" si="0"/>
        <v>8</v>
      </c>
      <c r="C14" s="11" t="s">
        <v>44</v>
      </c>
      <c r="D14" s="8" t="s">
        <v>33</v>
      </c>
      <c r="E14" s="8">
        <v>49202008987</v>
      </c>
      <c r="F14" s="8" t="s">
        <v>15</v>
      </c>
      <c r="G14" s="8" t="s">
        <v>32</v>
      </c>
      <c r="H14" s="10">
        <v>2245000</v>
      </c>
      <c r="I14" s="10">
        <v>1392000</v>
      </c>
      <c r="J14" s="16" t="s">
        <v>69</v>
      </c>
      <c r="K14" s="2"/>
      <c r="L14" s="2"/>
      <c r="M14" s="13"/>
    </row>
    <row r="15" spans="2:13" ht="16.5" x14ac:dyDescent="0.25">
      <c r="B15" s="3">
        <f t="shared" si="0"/>
        <v>9</v>
      </c>
      <c r="C15" s="11" t="s">
        <v>45</v>
      </c>
      <c r="D15" s="8" t="s">
        <v>24</v>
      </c>
      <c r="E15" s="8">
        <v>93097001330</v>
      </c>
      <c r="F15" s="8" t="s">
        <v>60</v>
      </c>
      <c r="G15" s="8" t="s">
        <v>25</v>
      </c>
      <c r="H15" s="10">
        <v>1780000</v>
      </c>
      <c r="I15" s="10">
        <f t="shared" si="1"/>
        <v>1068000</v>
      </c>
      <c r="J15" s="16" t="s">
        <v>69</v>
      </c>
      <c r="K15" s="2"/>
      <c r="L15" s="2"/>
      <c r="M15" s="12"/>
    </row>
    <row r="16" spans="2:13" ht="16.5" x14ac:dyDescent="0.25">
      <c r="B16" s="3">
        <f t="shared" si="0"/>
        <v>10</v>
      </c>
      <c r="C16" s="11" t="s">
        <v>79</v>
      </c>
      <c r="D16" s="8" t="s">
        <v>61</v>
      </c>
      <c r="E16" s="8">
        <v>95095009661</v>
      </c>
      <c r="F16" s="8" t="s">
        <v>62</v>
      </c>
      <c r="G16" s="8" t="s">
        <v>27</v>
      </c>
      <c r="H16" s="10">
        <v>2130000</v>
      </c>
      <c r="I16" s="10">
        <f t="shared" si="1"/>
        <v>1278000</v>
      </c>
      <c r="J16" s="16" t="s">
        <v>69</v>
      </c>
      <c r="K16" s="2"/>
      <c r="L16" s="35"/>
      <c r="M16" s="12"/>
    </row>
    <row r="17" spans="1:13" ht="16.5" x14ac:dyDescent="0.25">
      <c r="B17" s="3">
        <f t="shared" si="0"/>
        <v>11</v>
      </c>
      <c r="C17" s="11" t="s">
        <v>47</v>
      </c>
      <c r="D17" s="8" t="s">
        <v>63</v>
      </c>
      <c r="E17" s="8">
        <v>80083017871</v>
      </c>
      <c r="F17" s="8" t="s">
        <v>64</v>
      </c>
      <c r="G17" s="8" t="s">
        <v>57</v>
      </c>
      <c r="H17" s="10">
        <v>2245000</v>
      </c>
      <c r="I17" s="10">
        <f t="shared" si="1"/>
        <v>1347000</v>
      </c>
      <c r="J17" s="16" t="s">
        <v>69</v>
      </c>
      <c r="K17" s="2"/>
      <c r="L17" s="2"/>
      <c r="M17" s="12"/>
    </row>
    <row r="18" spans="1:13" ht="16.5" x14ac:dyDescent="0.25">
      <c r="B18" s="3">
        <f t="shared" si="0"/>
        <v>12</v>
      </c>
      <c r="C18" s="11" t="s">
        <v>111</v>
      </c>
      <c r="D18" s="8" t="s">
        <v>28</v>
      </c>
      <c r="E18" s="8">
        <v>42094001136</v>
      </c>
      <c r="F18" s="8" t="s">
        <v>15</v>
      </c>
      <c r="G18" s="8" t="s">
        <v>36</v>
      </c>
      <c r="H18" s="10">
        <v>2520000</v>
      </c>
      <c r="I18" s="10">
        <v>1510000</v>
      </c>
      <c r="J18" s="42" t="s">
        <v>26</v>
      </c>
      <c r="K18" s="33" t="s">
        <v>72</v>
      </c>
      <c r="L18" s="12"/>
      <c r="M18" s="12"/>
    </row>
    <row r="19" spans="1:13" ht="16.5" x14ac:dyDescent="0.25">
      <c r="B19" s="3">
        <f t="shared" si="0"/>
        <v>13</v>
      </c>
      <c r="C19" s="15" t="s">
        <v>52</v>
      </c>
      <c r="D19" s="8" t="s">
        <v>54</v>
      </c>
      <c r="E19" s="7" t="s">
        <v>74</v>
      </c>
      <c r="F19" s="8" t="s">
        <v>53</v>
      </c>
      <c r="G19" s="14" t="s">
        <v>35</v>
      </c>
      <c r="H19" s="10">
        <v>1880000</v>
      </c>
      <c r="I19" s="10">
        <v>1130000</v>
      </c>
      <c r="J19" s="16" t="s">
        <v>69</v>
      </c>
      <c r="K19" s="2"/>
      <c r="L19" s="2"/>
      <c r="M19" s="12"/>
    </row>
    <row r="20" spans="1:13" ht="16.5" x14ac:dyDescent="0.25">
      <c r="A20" s="40"/>
      <c r="B20" s="3">
        <f t="shared" si="0"/>
        <v>14</v>
      </c>
      <c r="C20" s="11" t="s">
        <v>80</v>
      </c>
      <c r="D20" s="3" t="s">
        <v>75</v>
      </c>
      <c r="E20" s="8">
        <v>38085004911</v>
      </c>
      <c r="F20" s="8" t="s">
        <v>13</v>
      </c>
      <c r="G20" s="14" t="s">
        <v>73</v>
      </c>
      <c r="H20" s="10">
        <v>2100000</v>
      </c>
      <c r="I20" s="10">
        <v>1050000</v>
      </c>
      <c r="J20" s="42" t="s">
        <v>26</v>
      </c>
      <c r="K20" s="35"/>
      <c r="L20" s="43"/>
      <c r="M20" s="12"/>
    </row>
    <row r="21" spans="1:13" ht="16.5" x14ac:dyDescent="0.25">
      <c r="A21" s="40"/>
      <c r="B21" s="3">
        <f>B20 +1</f>
        <v>15</v>
      </c>
      <c r="C21" s="11" t="s">
        <v>81</v>
      </c>
      <c r="D21" s="3" t="s">
        <v>76</v>
      </c>
      <c r="E21" s="3">
        <v>89201007075</v>
      </c>
      <c r="F21" s="3" t="s">
        <v>18</v>
      </c>
      <c r="G21" s="37" t="s">
        <v>84</v>
      </c>
      <c r="H21" s="10">
        <v>1710000</v>
      </c>
      <c r="I21" s="10">
        <v>1020000</v>
      </c>
      <c r="J21" s="16" t="s">
        <v>69</v>
      </c>
      <c r="K21" s="2"/>
      <c r="L21" s="2"/>
      <c r="M21" s="12"/>
    </row>
    <row r="22" spans="1:13" ht="16.5" x14ac:dyDescent="0.25">
      <c r="B22" s="3">
        <f t="shared" si="0"/>
        <v>16</v>
      </c>
      <c r="C22" s="3" t="s">
        <v>6</v>
      </c>
      <c r="D22" s="3" t="s">
        <v>6</v>
      </c>
      <c r="E22" s="3" t="s">
        <v>6</v>
      </c>
      <c r="F22" s="3" t="s">
        <v>6</v>
      </c>
      <c r="G22" s="14" t="s">
        <v>82</v>
      </c>
      <c r="H22" s="3" t="s">
        <v>6</v>
      </c>
      <c r="I22" s="3" t="s">
        <v>6</v>
      </c>
      <c r="J22" s="3" t="s">
        <v>6</v>
      </c>
      <c r="K22" s="2"/>
      <c r="L22" s="2"/>
      <c r="M22" s="12"/>
    </row>
    <row r="23" spans="1:13" ht="16.5" x14ac:dyDescent="0.25">
      <c r="B23" s="3">
        <f t="shared" si="0"/>
        <v>17</v>
      </c>
      <c r="C23" s="3" t="s">
        <v>6</v>
      </c>
      <c r="D23" s="3" t="s">
        <v>6</v>
      </c>
      <c r="E23" s="3" t="s">
        <v>6</v>
      </c>
      <c r="F23" s="3" t="s">
        <v>6</v>
      </c>
      <c r="G23" s="3" t="s">
        <v>83</v>
      </c>
      <c r="H23" s="3" t="s">
        <v>6</v>
      </c>
      <c r="I23" s="3" t="s">
        <v>6</v>
      </c>
      <c r="J23" s="3" t="s">
        <v>6</v>
      </c>
      <c r="K23" s="2"/>
      <c r="L23" s="2"/>
      <c r="M23" s="12"/>
    </row>
    <row r="24" spans="1:13" ht="16.5" x14ac:dyDescent="0.25">
      <c r="B24" s="3">
        <f t="shared" si="0"/>
        <v>18</v>
      </c>
      <c r="C24" s="3" t="s">
        <v>6</v>
      </c>
      <c r="D24" s="3" t="s">
        <v>6</v>
      </c>
      <c r="E24" s="3" t="s">
        <v>6</v>
      </c>
      <c r="F24" s="3" t="s">
        <v>6</v>
      </c>
      <c r="G24" s="3" t="s">
        <v>73</v>
      </c>
      <c r="H24" s="3" t="s">
        <v>6</v>
      </c>
      <c r="I24" s="3" t="s">
        <v>6</v>
      </c>
      <c r="J24" s="3" t="s">
        <v>6</v>
      </c>
      <c r="K24" s="2"/>
      <c r="L24" s="2"/>
      <c r="M24" s="12"/>
    </row>
    <row r="26" spans="1:13" ht="22.5" x14ac:dyDescent="0.3">
      <c r="D26" s="23" t="s">
        <v>65</v>
      </c>
      <c r="E26" s="24">
        <v>0.6</v>
      </c>
      <c r="F26" s="25" t="s">
        <v>66</v>
      </c>
      <c r="H26" s="186" t="s">
        <v>29</v>
      </c>
      <c r="I26" s="186"/>
      <c r="J26" s="9">
        <f>SUM(H7:H1001)</f>
        <v>32170000</v>
      </c>
    </row>
    <row r="27" spans="1:13" ht="22.5" x14ac:dyDescent="0.3">
      <c r="H27" s="186" t="s">
        <v>30</v>
      </c>
      <c r="I27" s="186"/>
      <c r="J27" s="9">
        <f>SUM(I7:I1001)</f>
        <v>19075000</v>
      </c>
    </row>
    <row r="40" spans="2:3" x14ac:dyDescent="0.25">
      <c r="C40" s="34" t="s">
        <v>78</v>
      </c>
    </row>
    <row r="43" spans="2:3" x14ac:dyDescent="0.25">
      <c r="B43" s="22" t="s">
        <v>58</v>
      </c>
    </row>
    <row r="44" spans="2:3" ht="16.5" x14ac:dyDescent="0.25">
      <c r="B44" s="17" t="s">
        <v>14</v>
      </c>
    </row>
    <row r="45" spans="2:3" ht="16.5" x14ac:dyDescent="0.25">
      <c r="B45" s="18" t="s">
        <v>16</v>
      </c>
    </row>
    <row r="46" spans="2:3" ht="16.5" x14ac:dyDescent="0.25">
      <c r="B46" s="17" t="s">
        <v>17</v>
      </c>
    </row>
    <row r="47" spans="2:3" ht="16.5" x14ac:dyDescent="0.25">
      <c r="B47" s="18" t="s">
        <v>48</v>
      </c>
    </row>
    <row r="48" spans="2:3" ht="16.5" x14ac:dyDescent="0.25">
      <c r="B48" s="17" t="s">
        <v>19</v>
      </c>
    </row>
    <row r="49" spans="2:2" ht="16.5" x14ac:dyDescent="0.25">
      <c r="B49" s="19" t="s">
        <v>56</v>
      </c>
    </row>
    <row r="50" spans="2:2" ht="16.5" x14ac:dyDescent="0.25">
      <c r="B50" s="20" t="s">
        <v>22</v>
      </c>
    </row>
    <row r="51" spans="2:2" ht="16.5" x14ac:dyDescent="0.25">
      <c r="B51" s="19" t="s">
        <v>32</v>
      </c>
    </row>
    <row r="52" spans="2:2" ht="16.5" x14ac:dyDescent="0.25">
      <c r="B52" s="20" t="s">
        <v>25</v>
      </c>
    </row>
    <row r="53" spans="2:2" ht="16.5" x14ac:dyDescent="0.25">
      <c r="B53" s="19" t="s">
        <v>27</v>
      </c>
    </row>
    <row r="54" spans="2:2" ht="16.5" x14ac:dyDescent="0.25">
      <c r="B54" s="20" t="s">
        <v>57</v>
      </c>
    </row>
    <row r="55" spans="2:2" ht="16.5" x14ac:dyDescent="0.25">
      <c r="B55" s="19" t="s">
        <v>36</v>
      </c>
    </row>
    <row r="56" spans="2:2" ht="16.5" x14ac:dyDescent="0.25">
      <c r="B56" s="21" t="s">
        <v>35</v>
      </c>
    </row>
  </sheetData>
  <sheetProtection sheet="1" objects="1" scenarios="1"/>
  <mergeCells count="4">
    <mergeCell ref="B2:K2"/>
    <mergeCell ref="B3:K3"/>
    <mergeCell ref="H26:I26"/>
    <mergeCell ref="H27:I27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ED9B6-886A-446F-AED9-2F677C1B01AE}">
  <sheetPr codeName="Sheet2"/>
  <dimension ref="A2:M56"/>
  <sheetViews>
    <sheetView zoomScale="85" zoomScaleNormal="85" workbookViewId="0">
      <selection activeCell="Q26" sqref="Q26"/>
    </sheetView>
  </sheetViews>
  <sheetFormatPr defaultColWidth="9.140625" defaultRowHeight="15" x14ac:dyDescent="0.25"/>
  <cols>
    <col min="1" max="1" width="15.85546875" style="1" customWidth="1"/>
    <col min="2" max="2" width="19" style="1" customWidth="1"/>
    <col min="3" max="3" width="39.5703125" style="1" customWidth="1"/>
    <col min="4" max="4" width="16.5703125" style="1" customWidth="1"/>
    <col min="5" max="5" width="16" style="1" customWidth="1"/>
    <col min="6" max="6" width="25.140625" style="1" customWidth="1"/>
    <col min="7" max="7" width="22.28515625" style="1" customWidth="1"/>
    <col min="8" max="8" width="21.28515625" style="1" customWidth="1"/>
    <col min="9" max="9" width="20.28515625" style="1" customWidth="1"/>
    <col min="10" max="10" width="24.5703125" style="1" customWidth="1"/>
    <col min="11" max="11" width="23.42578125" style="1" hidden="1" customWidth="1"/>
    <col min="12" max="12" width="21" style="1" customWidth="1"/>
    <col min="13" max="13" width="19.42578125" style="1" customWidth="1"/>
    <col min="14" max="16384" width="9.140625" style="1"/>
  </cols>
  <sheetData>
    <row r="2" spans="2:13" ht="60.75" customHeight="1" x14ac:dyDescent="0.25">
      <c r="B2" s="183" t="s">
        <v>31</v>
      </c>
      <c r="C2" s="183"/>
      <c r="D2" s="183"/>
      <c r="E2" s="183"/>
      <c r="F2" s="183"/>
      <c r="G2" s="183"/>
      <c r="H2" s="183"/>
      <c r="I2" s="183"/>
      <c r="J2" s="183"/>
      <c r="K2" s="183"/>
    </row>
    <row r="3" spans="2:13" ht="30.75" x14ac:dyDescent="0.25">
      <c r="B3" s="184" t="s">
        <v>87</v>
      </c>
      <c r="C3" s="185"/>
      <c r="D3" s="185"/>
      <c r="E3" s="185"/>
      <c r="F3" s="185"/>
      <c r="G3" s="185"/>
      <c r="H3" s="185"/>
      <c r="I3" s="185"/>
      <c r="J3" s="185"/>
      <c r="K3" s="185"/>
    </row>
    <row r="4" spans="2:13" x14ac:dyDescent="0.25">
      <c r="J4" s="26"/>
    </row>
    <row r="6" spans="2:13" ht="20.25" x14ac:dyDescent="0.3">
      <c r="B6" s="5" t="s">
        <v>0</v>
      </c>
      <c r="C6" s="5" t="s">
        <v>1</v>
      </c>
      <c r="D6" s="5" t="s">
        <v>50</v>
      </c>
      <c r="E6" s="5" t="s">
        <v>2</v>
      </c>
      <c r="F6" s="5" t="s">
        <v>3</v>
      </c>
      <c r="G6" s="5" t="s">
        <v>49</v>
      </c>
      <c r="H6" s="5" t="s">
        <v>4</v>
      </c>
      <c r="I6" s="5" t="s">
        <v>20</v>
      </c>
      <c r="J6" s="5" t="s">
        <v>7</v>
      </c>
      <c r="K6" s="5" t="s">
        <v>5</v>
      </c>
      <c r="L6" s="5" t="s">
        <v>34</v>
      </c>
      <c r="M6" s="5" t="s">
        <v>51</v>
      </c>
    </row>
    <row r="7" spans="2:13" ht="16.5" x14ac:dyDescent="0.25">
      <c r="B7" s="3">
        <v>1</v>
      </c>
      <c r="C7" s="11" t="s">
        <v>40</v>
      </c>
      <c r="D7" s="3" t="s">
        <v>8</v>
      </c>
      <c r="E7" s="4">
        <v>38096003688</v>
      </c>
      <c r="F7" s="3" t="s">
        <v>13</v>
      </c>
      <c r="G7" s="3" t="s">
        <v>14</v>
      </c>
      <c r="H7" s="10">
        <v>2600000</v>
      </c>
      <c r="I7" s="10">
        <f>H7*$E$26</f>
        <v>1560000</v>
      </c>
      <c r="J7" s="16" t="s">
        <v>69</v>
      </c>
      <c r="K7" s="2"/>
      <c r="L7" s="12"/>
      <c r="M7" s="12"/>
    </row>
    <row r="8" spans="2:13" ht="16.5" x14ac:dyDescent="0.25">
      <c r="B8" s="3">
        <f>B7 +1</f>
        <v>2</v>
      </c>
      <c r="C8" s="11" t="s">
        <v>38</v>
      </c>
      <c r="D8" s="3" t="s">
        <v>9</v>
      </c>
      <c r="E8" s="4">
        <v>91203011680</v>
      </c>
      <c r="F8" s="3" t="s">
        <v>15</v>
      </c>
      <c r="G8" s="3" t="s">
        <v>16</v>
      </c>
      <c r="H8" s="10">
        <v>2550000</v>
      </c>
      <c r="I8" s="10">
        <f>H8*$E$26</f>
        <v>1530000</v>
      </c>
      <c r="J8" s="29" t="s">
        <v>26</v>
      </c>
      <c r="K8" s="33" t="s">
        <v>72</v>
      </c>
      <c r="L8" s="12"/>
      <c r="M8" s="12"/>
    </row>
    <row r="9" spans="2:13" ht="16.5" x14ac:dyDescent="0.25">
      <c r="B9" s="3">
        <f>B8 +1</f>
        <v>3</v>
      </c>
      <c r="C9" s="11" t="s">
        <v>41</v>
      </c>
      <c r="D9" s="3" t="s">
        <v>10</v>
      </c>
      <c r="E9" s="4">
        <v>89078016404</v>
      </c>
      <c r="F9" s="3" t="s">
        <v>18</v>
      </c>
      <c r="G9" s="3" t="s">
        <v>17</v>
      </c>
      <c r="H9" s="10">
        <v>1790000</v>
      </c>
      <c r="I9" s="10">
        <v>1075000</v>
      </c>
      <c r="J9" s="16" t="s">
        <v>69</v>
      </c>
      <c r="K9" s="2"/>
      <c r="L9" s="2"/>
      <c r="M9" s="12"/>
    </row>
    <row r="10" spans="2:13" ht="16.5" x14ac:dyDescent="0.25">
      <c r="B10" s="3">
        <f t="shared" ref="B10:B23" si="0">B9 +1</f>
        <v>4</v>
      </c>
      <c r="C10" s="11" t="s">
        <v>67</v>
      </c>
      <c r="D10" s="3" t="s">
        <v>11</v>
      </c>
      <c r="E10" s="4">
        <v>89099008054</v>
      </c>
      <c r="F10" s="3" t="s">
        <v>18</v>
      </c>
      <c r="G10" s="3" t="s">
        <v>48</v>
      </c>
      <c r="H10" s="10">
        <v>1270000</v>
      </c>
      <c r="I10" s="10">
        <v>850000</v>
      </c>
      <c r="J10" s="16" t="s">
        <v>69</v>
      </c>
      <c r="K10" s="41" t="s">
        <v>86</v>
      </c>
      <c r="L10" s="12"/>
      <c r="M10" s="12"/>
    </row>
    <row r="11" spans="2:13" ht="16.5" x14ac:dyDescent="0.25">
      <c r="B11" s="3">
        <f t="shared" si="0"/>
        <v>5</v>
      </c>
      <c r="C11" s="11" t="s">
        <v>39</v>
      </c>
      <c r="D11" s="4" t="s">
        <v>12</v>
      </c>
      <c r="E11" s="4">
        <v>91088020664</v>
      </c>
      <c r="F11" s="3" t="s">
        <v>15</v>
      </c>
      <c r="G11" s="3" t="s">
        <v>19</v>
      </c>
      <c r="H11" s="10">
        <v>1400000</v>
      </c>
      <c r="I11" s="10">
        <f t="shared" ref="I11:I19" si="1">H11*$E$26</f>
        <v>840000</v>
      </c>
      <c r="J11" s="29" t="s">
        <v>26</v>
      </c>
      <c r="K11" s="33" t="s">
        <v>72</v>
      </c>
      <c r="L11" s="12"/>
      <c r="M11" s="12"/>
    </row>
    <row r="12" spans="2:13" ht="16.5" x14ac:dyDescent="0.25">
      <c r="B12" s="3">
        <f t="shared" si="0"/>
        <v>6</v>
      </c>
      <c r="C12" s="11" t="s">
        <v>42</v>
      </c>
      <c r="D12" s="8" t="s">
        <v>59</v>
      </c>
      <c r="E12" s="8">
        <v>89082022656</v>
      </c>
      <c r="F12" s="8" t="s">
        <v>18</v>
      </c>
      <c r="G12" s="8" t="s">
        <v>56</v>
      </c>
      <c r="H12" s="10">
        <v>2090000</v>
      </c>
      <c r="I12" s="10">
        <f t="shared" si="1"/>
        <v>1254000</v>
      </c>
      <c r="J12" s="16" t="s">
        <v>69</v>
      </c>
      <c r="K12" s="2"/>
      <c r="L12" s="2"/>
      <c r="M12" s="13"/>
    </row>
    <row r="13" spans="2:13" ht="16.5" x14ac:dyDescent="0.25">
      <c r="B13" s="3">
        <f t="shared" si="0"/>
        <v>7</v>
      </c>
      <c r="C13" s="11" t="s">
        <v>43</v>
      </c>
      <c r="D13" s="8" t="s">
        <v>23</v>
      </c>
      <c r="E13" s="8">
        <v>42088019031</v>
      </c>
      <c r="F13" s="8" t="s">
        <v>21</v>
      </c>
      <c r="G13" s="8" t="s">
        <v>22</v>
      </c>
      <c r="H13" s="10">
        <v>1900000</v>
      </c>
      <c r="I13" s="10">
        <f t="shared" si="1"/>
        <v>1140000</v>
      </c>
      <c r="J13" s="16" t="s">
        <v>69</v>
      </c>
      <c r="K13" s="33" t="s">
        <v>72</v>
      </c>
      <c r="L13" s="12"/>
      <c r="M13" s="12"/>
    </row>
    <row r="14" spans="2:13" ht="16.5" x14ac:dyDescent="0.25">
      <c r="B14" s="3">
        <f t="shared" si="0"/>
        <v>8</v>
      </c>
      <c r="C14" s="11" t="s">
        <v>44</v>
      </c>
      <c r="D14" s="8" t="s">
        <v>33</v>
      </c>
      <c r="E14" s="8">
        <v>49202008987</v>
      </c>
      <c r="F14" s="8" t="s">
        <v>15</v>
      </c>
      <c r="G14" s="8" t="s">
        <v>32</v>
      </c>
      <c r="H14" s="10">
        <v>2230000</v>
      </c>
      <c r="I14" s="10">
        <f t="shared" si="1"/>
        <v>1338000</v>
      </c>
      <c r="J14" s="16" t="s">
        <v>69</v>
      </c>
      <c r="K14" s="2"/>
      <c r="L14" s="2"/>
      <c r="M14" s="13"/>
    </row>
    <row r="15" spans="2:13" ht="16.5" x14ac:dyDescent="0.25">
      <c r="B15" s="3">
        <f t="shared" si="0"/>
        <v>9</v>
      </c>
      <c r="C15" s="11" t="s">
        <v>45</v>
      </c>
      <c r="D15" s="8" t="s">
        <v>24</v>
      </c>
      <c r="E15" s="8">
        <v>93097001330</v>
      </c>
      <c r="F15" s="8" t="s">
        <v>60</v>
      </c>
      <c r="G15" s="8" t="s">
        <v>25</v>
      </c>
      <c r="H15" s="10">
        <v>2410000</v>
      </c>
      <c r="I15" s="10">
        <f t="shared" si="1"/>
        <v>1446000</v>
      </c>
      <c r="J15" s="16" t="s">
        <v>69</v>
      </c>
      <c r="K15" s="2"/>
      <c r="L15" s="12"/>
      <c r="M15" s="12"/>
    </row>
    <row r="16" spans="2:13" ht="16.5" x14ac:dyDescent="0.25">
      <c r="B16" s="3">
        <f t="shared" si="0"/>
        <v>10</v>
      </c>
      <c r="C16" s="11" t="s">
        <v>79</v>
      </c>
      <c r="D16" s="8" t="s">
        <v>61</v>
      </c>
      <c r="E16" s="8">
        <v>95095009661</v>
      </c>
      <c r="F16" s="8" t="s">
        <v>62</v>
      </c>
      <c r="G16" s="8" t="s">
        <v>27</v>
      </c>
      <c r="H16" s="10">
        <v>1790000</v>
      </c>
      <c r="I16" s="10">
        <f t="shared" si="1"/>
        <v>1074000</v>
      </c>
      <c r="J16" s="16" t="s">
        <v>69</v>
      </c>
      <c r="K16" s="2"/>
      <c r="L16" s="35"/>
      <c r="M16" s="12"/>
    </row>
    <row r="17" spans="1:13" ht="16.5" x14ac:dyDescent="0.25">
      <c r="B17" s="3">
        <f t="shared" si="0"/>
        <v>11</v>
      </c>
      <c r="C17" s="11" t="s">
        <v>47</v>
      </c>
      <c r="D17" s="8" t="s">
        <v>63</v>
      </c>
      <c r="E17" s="8">
        <v>80083017871</v>
      </c>
      <c r="F17" s="8" t="s">
        <v>64</v>
      </c>
      <c r="G17" s="8" t="s">
        <v>57</v>
      </c>
      <c r="H17" s="10">
        <v>1760000</v>
      </c>
      <c r="I17" s="10">
        <f t="shared" si="1"/>
        <v>1056000</v>
      </c>
      <c r="J17" s="16" t="s">
        <v>69</v>
      </c>
      <c r="K17" s="2"/>
      <c r="L17" s="2"/>
      <c r="M17" s="12"/>
    </row>
    <row r="18" spans="1:13" ht="16.5" x14ac:dyDescent="0.25">
      <c r="B18" s="3">
        <f t="shared" si="0"/>
        <v>12</v>
      </c>
      <c r="C18" s="11" t="s">
        <v>37</v>
      </c>
      <c r="D18" s="8" t="s">
        <v>28</v>
      </c>
      <c r="E18" s="8">
        <v>42094001136</v>
      </c>
      <c r="F18" s="8" t="s">
        <v>15</v>
      </c>
      <c r="G18" s="8" t="s">
        <v>36</v>
      </c>
      <c r="H18" s="10">
        <v>1820000</v>
      </c>
      <c r="I18" s="10">
        <f t="shared" si="1"/>
        <v>1092000</v>
      </c>
      <c r="J18" s="29" t="s">
        <v>26</v>
      </c>
      <c r="K18" s="33" t="s">
        <v>72</v>
      </c>
      <c r="L18" s="12" t="s">
        <v>91</v>
      </c>
      <c r="M18" s="12"/>
    </row>
    <row r="19" spans="1:13" ht="16.5" x14ac:dyDescent="0.25">
      <c r="B19" s="3">
        <f t="shared" si="0"/>
        <v>13</v>
      </c>
      <c r="C19" s="15" t="s">
        <v>52</v>
      </c>
      <c r="D19" s="8" t="s">
        <v>54</v>
      </c>
      <c r="E19" s="37" t="s">
        <v>94</v>
      </c>
      <c r="F19" s="8" t="s">
        <v>53</v>
      </c>
      <c r="G19" s="14" t="s">
        <v>35</v>
      </c>
      <c r="H19" s="10">
        <v>1920000</v>
      </c>
      <c r="I19" s="10">
        <f t="shared" si="1"/>
        <v>1152000</v>
      </c>
      <c r="J19" s="16" t="s">
        <v>69</v>
      </c>
      <c r="K19" s="12"/>
      <c r="L19" s="2"/>
      <c r="M19" s="12"/>
    </row>
    <row r="20" spans="1:13" ht="16.5" x14ac:dyDescent="0.25">
      <c r="A20" s="40"/>
      <c r="B20" s="3">
        <f t="shared" si="0"/>
        <v>14</v>
      </c>
      <c r="C20" s="11" t="s">
        <v>80</v>
      </c>
      <c r="D20" s="3" t="s">
        <v>75</v>
      </c>
      <c r="E20" s="8">
        <v>38085004911</v>
      </c>
      <c r="F20" s="8" t="s">
        <v>13</v>
      </c>
      <c r="G20" s="14" t="s">
        <v>73</v>
      </c>
      <c r="H20" s="10">
        <v>2300000</v>
      </c>
      <c r="I20" s="10">
        <v>1150000</v>
      </c>
      <c r="J20" s="29" t="s">
        <v>26</v>
      </c>
      <c r="K20" s="35"/>
      <c r="L20" s="12"/>
      <c r="M20" s="12"/>
    </row>
    <row r="21" spans="1:13" ht="16.5" x14ac:dyDescent="0.25">
      <c r="A21" s="40"/>
      <c r="B21" s="3">
        <f>B20 +1</f>
        <v>15</v>
      </c>
      <c r="C21" s="11" t="s">
        <v>92</v>
      </c>
      <c r="D21" s="3" t="s">
        <v>88</v>
      </c>
      <c r="E21" s="44" t="s">
        <v>89</v>
      </c>
      <c r="F21" s="3" t="s">
        <v>90</v>
      </c>
      <c r="G21" s="37" t="s">
        <v>93</v>
      </c>
      <c r="H21" s="10">
        <v>2976000</v>
      </c>
      <c r="I21" s="10">
        <v>1785000</v>
      </c>
      <c r="J21" s="16" t="s">
        <v>69</v>
      </c>
      <c r="K21" s="2"/>
      <c r="L21" s="2"/>
      <c r="M21" s="12"/>
    </row>
    <row r="22" spans="1:13" ht="16.5" x14ac:dyDescent="0.25">
      <c r="B22" s="3">
        <f t="shared" si="0"/>
        <v>16</v>
      </c>
      <c r="C22" s="3" t="s">
        <v>6</v>
      </c>
      <c r="D22" s="3" t="s">
        <v>6</v>
      </c>
      <c r="E22" s="3" t="s">
        <v>6</v>
      </c>
      <c r="F22" s="3" t="s">
        <v>6</v>
      </c>
      <c r="G22" s="14" t="s">
        <v>82</v>
      </c>
      <c r="H22" s="3" t="s">
        <v>6</v>
      </c>
      <c r="I22" s="3" t="s">
        <v>6</v>
      </c>
      <c r="J22" s="3" t="s">
        <v>6</v>
      </c>
      <c r="K22" s="2"/>
      <c r="L22" s="2"/>
      <c r="M22" s="12"/>
    </row>
    <row r="23" spans="1:13" ht="16.5" x14ac:dyDescent="0.25">
      <c r="B23" s="3">
        <f t="shared" si="0"/>
        <v>17</v>
      </c>
      <c r="C23" s="3" t="s">
        <v>6</v>
      </c>
      <c r="D23" s="3" t="s">
        <v>6</v>
      </c>
      <c r="E23" s="3" t="s">
        <v>6</v>
      </c>
      <c r="F23" s="3" t="s">
        <v>6</v>
      </c>
      <c r="G23" s="3" t="s">
        <v>83</v>
      </c>
      <c r="H23" s="3" t="s">
        <v>6</v>
      </c>
      <c r="I23" s="3" t="s">
        <v>6</v>
      </c>
      <c r="J23" s="3" t="s">
        <v>6</v>
      </c>
      <c r="K23" s="2"/>
      <c r="L23" s="2"/>
      <c r="M23" s="12"/>
    </row>
    <row r="24" spans="1:13" ht="16.5" x14ac:dyDescent="0.25">
      <c r="B24" s="3"/>
      <c r="C24" s="3"/>
      <c r="D24" s="3"/>
      <c r="E24" s="3"/>
      <c r="F24" s="3"/>
      <c r="G24" s="3"/>
      <c r="H24" s="3"/>
      <c r="I24" s="3"/>
      <c r="J24" s="3"/>
      <c r="K24" s="2"/>
      <c r="L24" s="2"/>
      <c r="M24" s="12"/>
    </row>
    <row r="26" spans="1:13" ht="22.5" x14ac:dyDescent="0.3">
      <c r="D26" s="23" t="s">
        <v>65</v>
      </c>
      <c r="E26" s="24">
        <v>0.6</v>
      </c>
      <c r="F26" s="25" t="s">
        <v>66</v>
      </c>
      <c r="H26" s="186" t="s">
        <v>29</v>
      </c>
      <c r="I26" s="186"/>
      <c r="J26" s="9">
        <f>SUM(H7:H1001)</f>
        <v>30806000</v>
      </c>
    </row>
    <row r="27" spans="1:13" ht="22.5" x14ac:dyDescent="0.3">
      <c r="H27" s="186" t="s">
        <v>30</v>
      </c>
      <c r="I27" s="186"/>
      <c r="J27" s="9">
        <f>SUM(I7:I1001)</f>
        <v>18342000</v>
      </c>
    </row>
    <row r="40" spans="2:3" x14ac:dyDescent="0.25">
      <c r="C40" s="34" t="s">
        <v>78</v>
      </c>
    </row>
    <row r="43" spans="2:3" x14ac:dyDescent="0.25">
      <c r="B43" s="22" t="s">
        <v>58</v>
      </c>
    </row>
    <row r="44" spans="2:3" ht="16.5" x14ac:dyDescent="0.25">
      <c r="B44" s="17" t="s">
        <v>14</v>
      </c>
    </row>
    <row r="45" spans="2:3" ht="16.5" x14ac:dyDescent="0.25">
      <c r="B45" s="18" t="s">
        <v>16</v>
      </c>
    </row>
    <row r="46" spans="2:3" ht="16.5" x14ac:dyDescent="0.25">
      <c r="B46" s="17" t="s">
        <v>17</v>
      </c>
    </row>
    <row r="47" spans="2:3" ht="16.5" x14ac:dyDescent="0.25">
      <c r="B47" s="18" t="s">
        <v>48</v>
      </c>
    </row>
    <row r="48" spans="2:3" ht="16.5" x14ac:dyDescent="0.25">
      <c r="B48" s="17" t="s">
        <v>19</v>
      </c>
    </row>
    <row r="49" spans="2:2" ht="16.5" x14ac:dyDescent="0.25">
      <c r="B49" s="19" t="s">
        <v>56</v>
      </c>
    </row>
    <row r="50" spans="2:2" ht="16.5" x14ac:dyDescent="0.25">
      <c r="B50" s="20" t="s">
        <v>22</v>
      </c>
    </row>
    <row r="51" spans="2:2" ht="16.5" x14ac:dyDescent="0.25">
      <c r="B51" s="19" t="s">
        <v>32</v>
      </c>
    </row>
    <row r="52" spans="2:2" ht="16.5" x14ac:dyDescent="0.25">
      <c r="B52" s="20" t="s">
        <v>25</v>
      </c>
    </row>
    <row r="53" spans="2:2" ht="16.5" x14ac:dyDescent="0.25">
      <c r="B53" s="19" t="s">
        <v>27</v>
      </c>
    </row>
    <row r="54" spans="2:2" ht="16.5" x14ac:dyDescent="0.25">
      <c r="B54" s="20" t="s">
        <v>57</v>
      </c>
    </row>
    <row r="55" spans="2:2" ht="16.5" x14ac:dyDescent="0.25">
      <c r="B55" s="19" t="s">
        <v>36</v>
      </c>
    </row>
    <row r="56" spans="2:2" ht="16.5" x14ac:dyDescent="0.25">
      <c r="B56" s="21" t="s">
        <v>35</v>
      </c>
    </row>
  </sheetData>
  <sheetProtection sheet="1" objects="1" scenarios="1"/>
  <mergeCells count="4">
    <mergeCell ref="B2:K2"/>
    <mergeCell ref="B3:K3"/>
    <mergeCell ref="H26:I26"/>
    <mergeCell ref="H27:I27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A04F0-1D44-4ECB-B773-039638A18A7D}">
  <sheetPr codeName="Sheet3"/>
  <dimension ref="A2:M56"/>
  <sheetViews>
    <sheetView zoomScale="85" zoomScaleNormal="85" workbookViewId="0">
      <selection activeCell="Q26" sqref="Q26"/>
    </sheetView>
  </sheetViews>
  <sheetFormatPr defaultColWidth="9.140625" defaultRowHeight="15" x14ac:dyDescent="0.25"/>
  <cols>
    <col min="1" max="1" width="15.85546875" style="1" customWidth="1"/>
    <col min="2" max="2" width="19" style="1" customWidth="1"/>
    <col min="3" max="3" width="39.5703125" style="1" customWidth="1"/>
    <col min="4" max="4" width="16.5703125" style="1" customWidth="1"/>
    <col min="5" max="5" width="16" style="1" customWidth="1"/>
    <col min="6" max="6" width="25.140625" style="1" customWidth="1"/>
    <col min="7" max="7" width="22.28515625" style="1" customWidth="1"/>
    <col min="8" max="8" width="21.28515625" style="1" customWidth="1"/>
    <col min="9" max="9" width="20.28515625" style="1" customWidth="1"/>
    <col min="10" max="10" width="24.5703125" style="1" customWidth="1"/>
    <col min="11" max="11" width="23.42578125" style="1" hidden="1" customWidth="1"/>
    <col min="12" max="12" width="21" style="1" customWidth="1"/>
    <col min="13" max="13" width="19.42578125" style="1" customWidth="1"/>
    <col min="14" max="16384" width="9.140625" style="1"/>
  </cols>
  <sheetData>
    <row r="2" spans="2:13" ht="60.75" customHeight="1" x14ac:dyDescent="0.25">
      <c r="B2" s="183" t="s">
        <v>31</v>
      </c>
      <c r="C2" s="183"/>
      <c r="D2" s="183"/>
      <c r="E2" s="183"/>
      <c r="F2" s="183"/>
      <c r="G2" s="183"/>
      <c r="H2" s="183"/>
      <c r="I2" s="183"/>
      <c r="J2" s="183"/>
      <c r="K2" s="183"/>
    </row>
    <row r="3" spans="2:13" ht="30.75" x14ac:dyDescent="0.25">
      <c r="B3" s="184" t="s">
        <v>95</v>
      </c>
      <c r="C3" s="185"/>
      <c r="D3" s="185"/>
      <c r="E3" s="185"/>
      <c r="F3" s="185"/>
      <c r="G3" s="185"/>
      <c r="H3" s="185"/>
      <c r="I3" s="185"/>
      <c r="J3" s="185"/>
      <c r="K3" s="185"/>
    </row>
    <row r="4" spans="2:13" x14ac:dyDescent="0.25">
      <c r="J4" s="26"/>
    </row>
    <row r="6" spans="2:13" ht="20.25" x14ac:dyDescent="0.3">
      <c r="B6" s="5" t="s">
        <v>0</v>
      </c>
      <c r="C6" s="5" t="s">
        <v>1</v>
      </c>
      <c r="D6" s="5" t="s">
        <v>50</v>
      </c>
      <c r="E6" s="5" t="s">
        <v>2</v>
      </c>
      <c r="F6" s="5" t="s">
        <v>3</v>
      </c>
      <c r="G6" s="5" t="s">
        <v>49</v>
      </c>
      <c r="H6" s="5" t="s">
        <v>4</v>
      </c>
      <c r="I6" s="5" t="s">
        <v>20</v>
      </c>
      <c r="J6" s="5" t="s">
        <v>7</v>
      </c>
      <c r="K6" s="5" t="s">
        <v>5</v>
      </c>
      <c r="L6" s="5" t="s">
        <v>34</v>
      </c>
      <c r="M6" s="5" t="s">
        <v>51</v>
      </c>
    </row>
    <row r="7" spans="2:13" ht="16.5" x14ac:dyDescent="0.25">
      <c r="B7" s="3">
        <v>1</v>
      </c>
      <c r="C7" s="11" t="s">
        <v>40</v>
      </c>
      <c r="D7" s="3" t="s">
        <v>8</v>
      </c>
      <c r="E7" s="4">
        <v>38096003688</v>
      </c>
      <c r="F7" s="3" t="s">
        <v>13</v>
      </c>
      <c r="G7" s="3" t="s">
        <v>14</v>
      </c>
      <c r="H7" s="10">
        <v>2420000</v>
      </c>
      <c r="I7" s="10">
        <v>1450000</v>
      </c>
      <c r="J7" s="16" t="s">
        <v>69</v>
      </c>
      <c r="K7" s="2"/>
      <c r="L7" s="12"/>
      <c r="M7" s="12"/>
    </row>
    <row r="8" spans="2:13" ht="16.5" x14ac:dyDescent="0.25">
      <c r="B8" s="3">
        <f t="shared" ref="B8:B23" si="0">B7 +1</f>
        <v>2</v>
      </c>
      <c r="C8" s="11" t="s">
        <v>38</v>
      </c>
      <c r="D8" s="3" t="s">
        <v>9</v>
      </c>
      <c r="E8" s="4">
        <v>91203011680</v>
      </c>
      <c r="F8" s="3" t="s">
        <v>15</v>
      </c>
      <c r="G8" s="3" t="s">
        <v>16</v>
      </c>
      <c r="H8" s="10">
        <v>1950000</v>
      </c>
      <c r="I8" s="10">
        <f>H8*$E$26</f>
        <v>1170000</v>
      </c>
      <c r="J8" s="29" t="s">
        <v>26</v>
      </c>
      <c r="K8" s="33" t="s">
        <v>72</v>
      </c>
      <c r="L8" s="12"/>
      <c r="M8" s="12"/>
    </row>
    <row r="9" spans="2:13" ht="16.5" x14ac:dyDescent="0.25">
      <c r="B9" s="3">
        <f t="shared" si="0"/>
        <v>3</v>
      </c>
      <c r="C9" s="11" t="s">
        <v>41</v>
      </c>
      <c r="D9" s="3" t="s">
        <v>10</v>
      </c>
      <c r="E9" s="4">
        <v>89078016404</v>
      </c>
      <c r="F9" s="3" t="s">
        <v>18</v>
      </c>
      <c r="G9" s="3" t="s">
        <v>17</v>
      </c>
      <c r="H9" s="10">
        <v>1760000</v>
      </c>
      <c r="I9" s="10">
        <v>1060000</v>
      </c>
      <c r="J9" s="16" t="s">
        <v>69</v>
      </c>
      <c r="K9" s="2"/>
      <c r="L9" s="12"/>
      <c r="M9" s="12"/>
    </row>
    <row r="10" spans="2:13" ht="16.5" x14ac:dyDescent="0.25">
      <c r="B10" s="3">
        <f t="shared" si="0"/>
        <v>4</v>
      </c>
      <c r="C10" s="11" t="s">
        <v>67</v>
      </c>
      <c r="D10" s="3" t="s">
        <v>11</v>
      </c>
      <c r="E10" s="4">
        <v>89099008054</v>
      </c>
      <c r="F10" s="3" t="s">
        <v>18</v>
      </c>
      <c r="G10" s="3" t="s">
        <v>48</v>
      </c>
      <c r="H10" s="10">
        <v>2090000</v>
      </c>
      <c r="I10" s="10">
        <f>H10*$E$26</f>
        <v>1254000</v>
      </c>
      <c r="J10" s="16" t="s">
        <v>69</v>
      </c>
      <c r="K10" s="41" t="s">
        <v>86</v>
      </c>
      <c r="L10" s="12"/>
      <c r="M10" s="12"/>
    </row>
    <row r="11" spans="2:13" ht="16.5" x14ac:dyDescent="0.25">
      <c r="B11" s="3">
        <f t="shared" si="0"/>
        <v>5</v>
      </c>
      <c r="C11" s="11" t="s">
        <v>39</v>
      </c>
      <c r="D11" s="4" t="s">
        <v>12</v>
      </c>
      <c r="E11" s="4">
        <v>91088020664</v>
      </c>
      <c r="F11" s="3" t="s">
        <v>15</v>
      </c>
      <c r="G11" s="3" t="s">
        <v>19</v>
      </c>
      <c r="H11" s="10">
        <v>1850000</v>
      </c>
      <c r="I11" s="10">
        <f>H11*$E$26</f>
        <v>1110000</v>
      </c>
      <c r="J11" s="29" t="s">
        <v>26</v>
      </c>
      <c r="K11" s="33" t="s">
        <v>72</v>
      </c>
      <c r="L11" s="12"/>
      <c r="M11" s="12"/>
    </row>
    <row r="12" spans="2:13" ht="16.5" x14ac:dyDescent="0.25">
      <c r="B12" s="3">
        <f t="shared" si="0"/>
        <v>6</v>
      </c>
      <c r="C12" s="11" t="s">
        <v>42</v>
      </c>
      <c r="D12" s="8" t="s">
        <v>59</v>
      </c>
      <c r="E12" s="8">
        <v>89082022656</v>
      </c>
      <c r="F12" s="8" t="s">
        <v>18</v>
      </c>
      <c r="G12" s="8" t="s">
        <v>56</v>
      </c>
      <c r="H12" s="10">
        <v>2100000</v>
      </c>
      <c r="I12" s="10">
        <f>H12*$E$26</f>
        <v>1260000</v>
      </c>
      <c r="J12" s="16" t="s">
        <v>69</v>
      </c>
      <c r="K12" s="2"/>
      <c r="L12" s="2"/>
      <c r="M12" s="13"/>
    </row>
    <row r="13" spans="2:13" ht="16.5" x14ac:dyDescent="0.25">
      <c r="B13" s="3">
        <f t="shared" si="0"/>
        <v>7</v>
      </c>
      <c r="C13" s="11" t="s">
        <v>43</v>
      </c>
      <c r="D13" s="8" t="s">
        <v>23</v>
      </c>
      <c r="E13" s="8">
        <v>42088019031</v>
      </c>
      <c r="F13" s="8" t="s">
        <v>21</v>
      </c>
      <c r="G13" s="8" t="s">
        <v>22</v>
      </c>
      <c r="H13" s="10">
        <v>1960000</v>
      </c>
      <c r="I13" s="10">
        <v>1180000</v>
      </c>
      <c r="J13" s="16" t="s">
        <v>69</v>
      </c>
      <c r="K13" s="33" t="s">
        <v>72</v>
      </c>
      <c r="L13" s="12"/>
      <c r="M13" s="12"/>
    </row>
    <row r="14" spans="2:13" ht="16.5" x14ac:dyDescent="0.25">
      <c r="B14" s="3">
        <f t="shared" si="0"/>
        <v>8</v>
      </c>
      <c r="C14" s="11" t="s">
        <v>44</v>
      </c>
      <c r="D14" s="8" t="s">
        <v>33</v>
      </c>
      <c r="E14" s="8">
        <v>49202008987</v>
      </c>
      <c r="F14" s="8" t="s">
        <v>15</v>
      </c>
      <c r="G14" s="8" t="s">
        <v>32</v>
      </c>
      <c r="H14" s="10">
        <v>2120000</v>
      </c>
      <c r="I14" s="10">
        <f>H14*$E$26</f>
        <v>1272000</v>
      </c>
      <c r="J14" s="16" t="s">
        <v>69</v>
      </c>
      <c r="K14" s="2"/>
      <c r="L14" s="2"/>
      <c r="M14" s="13"/>
    </row>
    <row r="15" spans="2:13" ht="16.5" x14ac:dyDescent="0.25">
      <c r="B15" s="3">
        <f t="shared" si="0"/>
        <v>9</v>
      </c>
      <c r="C15" s="11" t="s">
        <v>45</v>
      </c>
      <c r="D15" s="8" t="s">
        <v>24</v>
      </c>
      <c r="E15" s="8">
        <v>93097001330</v>
      </c>
      <c r="F15" s="8" t="s">
        <v>60</v>
      </c>
      <c r="G15" s="8" t="s">
        <v>25</v>
      </c>
      <c r="H15" s="10">
        <v>1900000</v>
      </c>
      <c r="I15" s="10">
        <f>H15*$E$26</f>
        <v>1140000</v>
      </c>
      <c r="J15" s="16" t="s">
        <v>69</v>
      </c>
      <c r="K15" s="2"/>
      <c r="L15" s="12"/>
      <c r="M15" s="12"/>
    </row>
    <row r="16" spans="2:13" ht="16.5" x14ac:dyDescent="0.25">
      <c r="B16" s="3">
        <f t="shared" si="0"/>
        <v>10</v>
      </c>
      <c r="C16" s="11" t="s">
        <v>79</v>
      </c>
      <c r="D16" s="8" t="s">
        <v>61</v>
      </c>
      <c r="E16" s="8">
        <v>95095009661</v>
      </c>
      <c r="F16" s="8" t="s">
        <v>62</v>
      </c>
      <c r="G16" s="8" t="s">
        <v>27</v>
      </c>
      <c r="H16" s="10">
        <v>2002000</v>
      </c>
      <c r="I16" s="10">
        <v>1202000</v>
      </c>
      <c r="J16" s="16" t="s">
        <v>69</v>
      </c>
      <c r="K16" s="2"/>
      <c r="L16" s="35"/>
      <c r="M16" s="12"/>
    </row>
    <row r="17" spans="1:13" ht="16.5" x14ac:dyDescent="0.25">
      <c r="B17" s="3">
        <f t="shared" si="0"/>
        <v>11</v>
      </c>
      <c r="C17" s="11" t="s">
        <v>47</v>
      </c>
      <c r="D17" s="8" t="s">
        <v>63</v>
      </c>
      <c r="E17" s="8">
        <v>80083017871</v>
      </c>
      <c r="F17" s="8" t="s">
        <v>64</v>
      </c>
      <c r="G17" s="8" t="s">
        <v>57</v>
      </c>
      <c r="H17" s="10">
        <v>2080000</v>
      </c>
      <c r="I17" s="10">
        <f>H17*$E$26</f>
        <v>1248000</v>
      </c>
      <c r="J17" s="16" t="s">
        <v>69</v>
      </c>
      <c r="K17" s="2"/>
      <c r="L17" s="12"/>
      <c r="M17" s="12"/>
    </row>
    <row r="18" spans="1:13" ht="16.5" x14ac:dyDescent="0.25">
      <c r="B18" s="3">
        <f t="shared" si="0"/>
        <v>12</v>
      </c>
      <c r="C18" s="11" t="s">
        <v>37</v>
      </c>
      <c r="D18" s="8" t="s">
        <v>28</v>
      </c>
      <c r="E18" s="8">
        <v>42094001136</v>
      </c>
      <c r="F18" s="8" t="s">
        <v>15</v>
      </c>
      <c r="G18" s="8" t="s">
        <v>36</v>
      </c>
      <c r="H18" s="10">
        <v>2070000</v>
      </c>
      <c r="I18" s="10">
        <v>1244000</v>
      </c>
      <c r="J18" s="29" t="s">
        <v>26</v>
      </c>
      <c r="K18" s="33" t="s">
        <v>72</v>
      </c>
      <c r="L18" s="12"/>
      <c r="M18" s="12"/>
    </row>
    <row r="19" spans="1:13" ht="16.5" x14ac:dyDescent="0.25">
      <c r="B19" s="3">
        <f t="shared" si="0"/>
        <v>13</v>
      </c>
      <c r="C19" s="15" t="s">
        <v>52</v>
      </c>
      <c r="D19" s="8" t="s">
        <v>54</v>
      </c>
      <c r="E19" s="37" t="s">
        <v>94</v>
      </c>
      <c r="F19" s="8" t="s">
        <v>53</v>
      </c>
      <c r="G19" s="14" t="s">
        <v>35</v>
      </c>
      <c r="H19" s="10">
        <v>2410000</v>
      </c>
      <c r="I19" s="10">
        <v>1440000</v>
      </c>
      <c r="J19" s="16" t="s">
        <v>69</v>
      </c>
      <c r="K19" s="12"/>
      <c r="L19" s="12"/>
      <c r="M19" s="12"/>
    </row>
    <row r="20" spans="1:13" ht="16.5" x14ac:dyDescent="0.25">
      <c r="A20" s="40"/>
      <c r="B20" s="3">
        <f t="shared" si="0"/>
        <v>14</v>
      </c>
      <c r="C20" s="11" t="s">
        <v>80</v>
      </c>
      <c r="D20" s="3" t="s">
        <v>75</v>
      </c>
      <c r="E20" s="8">
        <v>38085004911</v>
      </c>
      <c r="F20" s="8" t="s">
        <v>13</v>
      </c>
      <c r="G20" s="14" t="s">
        <v>73</v>
      </c>
      <c r="H20" s="10">
        <v>1800000</v>
      </c>
      <c r="I20" s="10">
        <v>900000</v>
      </c>
      <c r="J20" s="29" t="s">
        <v>26</v>
      </c>
      <c r="K20" s="35"/>
      <c r="L20" s="12"/>
      <c r="M20" s="12"/>
    </row>
    <row r="21" spans="1:13" ht="16.5" x14ac:dyDescent="0.25">
      <c r="A21" s="40"/>
      <c r="B21" s="3">
        <f t="shared" si="0"/>
        <v>15</v>
      </c>
      <c r="C21" s="11" t="s">
        <v>92</v>
      </c>
      <c r="D21" s="3" t="s">
        <v>88</v>
      </c>
      <c r="E21" s="44" t="s">
        <v>89</v>
      </c>
      <c r="F21" s="3" t="s">
        <v>90</v>
      </c>
      <c r="G21" s="37" t="s">
        <v>93</v>
      </c>
      <c r="H21" s="10">
        <v>2250000</v>
      </c>
      <c r="I21" s="10">
        <f>H21*$E$26</f>
        <v>1350000</v>
      </c>
      <c r="J21" s="16" t="s">
        <v>69</v>
      </c>
      <c r="K21" s="2"/>
      <c r="L21" s="2"/>
      <c r="M21" s="12"/>
    </row>
    <row r="22" spans="1:13" ht="16.5" x14ac:dyDescent="0.25">
      <c r="B22" s="3">
        <f t="shared" si="0"/>
        <v>16</v>
      </c>
      <c r="C22" s="3" t="s">
        <v>6</v>
      </c>
      <c r="D22" s="3" t="s">
        <v>6</v>
      </c>
      <c r="E22" s="3" t="s">
        <v>6</v>
      </c>
      <c r="F22" s="3" t="s">
        <v>6</v>
      </c>
      <c r="G22" s="14" t="s">
        <v>82</v>
      </c>
      <c r="H22" s="3" t="s">
        <v>6</v>
      </c>
      <c r="I22" s="3" t="s">
        <v>6</v>
      </c>
      <c r="J22" s="3" t="s">
        <v>6</v>
      </c>
      <c r="K22" s="2"/>
      <c r="L22" s="2"/>
      <c r="M22" s="12"/>
    </row>
    <row r="23" spans="1:13" ht="16.5" x14ac:dyDescent="0.25">
      <c r="B23" s="3">
        <f t="shared" si="0"/>
        <v>17</v>
      </c>
      <c r="C23" s="3" t="s">
        <v>6</v>
      </c>
      <c r="D23" s="3" t="s">
        <v>6</v>
      </c>
      <c r="E23" s="3" t="s">
        <v>6</v>
      </c>
      <c r="F23" s="3" t="s">
        <v>6</v>
      </c>
      <c r="G23" s="3" t="s">
        <v>83</v>
      </c>
      <c r="H23" s="3" t="s">
        <v>6</v>
      </c>
      <c r="I23" s="3" t="s">
        <v>6</v>
      </c>
      <c r="J23" s="3" t="s">
        <v>6</v>
      </c>
      <c r="K23" s="2"/>
      <c r="L23" s="2"/>
      <c r="M23" s="12"/>
    </row>
    <row r="24" spans="1:13" ht="16.5" x14ac:dyDescent="0.25">
      <c r="B24" s="3"/>
      <c r="C24" s="3"/>
      <c r="D24" s="3"/>
      <c r="E24" s="3"/>
      <c r="F24" s="3"/>
      <c r="G24" s="3"/>
      <c r="H24" s="3"/>
      <c r="I24" s="3"/>
      <c r="J24" s="3"/>
      <c r="K24" s="2"/>
      <c r="L24" s="2"/>
      <c r="M24" s="12"/>
    </row>
    <row r="26" spans="1:13" ht="22.5" x14ac:dyDescent="0.3">
      <c r="D26" s="23" t="s">
        <v>65</v>
      </c>
      <c r="E26" s="24">
        <v>0.6</v>
      </c>
      <c r="F26" s="25" t="s">
        <v>66</v>
      </c>
      <c r="H26" s="186" t="s">
        <v>29</v>
      </c>
      <c r="I26" s="186"/>
      <c r="J26" s="9">
        <f>SUM(H7:H1001)</f>
        <v>30762000</v>
      </c>
    </row>
    <row r="27" spans="1:13" ht="22.5" x14ac:dyDescent="0.3">
      <c r="H27" s="186" t="s">
        <v>30</v>
      </c>
      <c r="I27" s="186"/>
      <c r="J27" s="9">
        <f>SUM(I7:I1001)</f>
        <v>18280000</v>
      </c>
    </row>
    <row r="40" spans="2:4" x14ac:dyDescent="0.25">
      <c r="C40" s="34" t="s">
        <v>78</v>
      </c>
    </row>
    <row r="43" spans="2:4" x14ac:dyDescent="0.25">
      <c r="B43" s="22" t="s">
        <v>58</v>
      </c>
    </row>
    <row r="44" spans="2:4" ht="16.5" x14ac:dyDescent="0.25">
      <c r="B44" s="17" t="s">
        <v>14</v>
      </c>
    </row>
    <row r="45" spans="2:4" ht="16.5" x14ac:dyDescent="0.25">
      <c r="B45" s="18" t="s">
        <v>16</v>
      </c>
    </row>
    <row r="46" spans="2:4" ht="16.5" x14ac:dyDescent="0.25">
      <c r="B46" s="17" t="s">
        <v>17</v>
      </c>
    </row>
    <row r="47" spans="2:4" ht="16.5" x14ac:dyDescent="0.25">
      <c r="B47" s="18" t="s">
        <v>48</v>
      </c>
      <c r="D47" s="45" t="s">
        <v>72</v>
      </c>
    </row>
    <row r="48" spans="2:4" ht="16.5" x14ac:dyDescent="0.25">
      <c r="B48" s="17" t="s">
        <v>19</v>
      </c>
    </row>
    <row r="49" spans="2:2" ht="16.5" x14ac:dyDescent="0.25">
      <c r="B49" s="19" t="s">
        <v>56</v>
      </c>
    </row>
    <row r="50" spans="2:2" ht="16.5" x14ac:dyDescent="0.25">
      <c r="B50" s="20" t="s">
        <v>22</v>
      </c>
    </row>
    <row r="51" spans="2:2" ht="16.5" x14ac:dyDescent="0.25">
      <c r="B51" s="19" t="s">
        <v>32</v>
      </c>
    </row>
    <row r="52" spans="2:2" ht="16.5" x14ac:dyDescent="0.25">
      <c r="B52" s="20" t="s">
        <v>25</v>
      </c>
    </row>
    <row r="53" spans="2:2" ht="16.5" x14ac:dyDescent="0.25">
      <c r="B53" s="19" t="s">
        <v>27</v>
      </c>
    </row>
    <row r="54" spans="2:2" ht="16.5" x14ac:dyDescent="0.25">
      <c r="B54" s="20" t="s">
        <v>57</v>
      </c>
    </row>
    <row r="55" spans="2:2" ht="16.5" x14ac:dyDescent="0.25">
      <c r="B55" s="19" t="s">
        <v>36</v>
      </c>
    </row>
    <row r="56" spans="2:2" ht="16.5" x14ac:dyDescent="0.25">
      <c r="B56" s="21" t="s">
        <v>35</v>
      </c>
    </row>
  </sheetData>
  <sheetProtection sheet="1" objects="1" scenarios="1"/>
  <mergeCells count="4">
    <mergeCell ref="B2:K2"/>
    <mergeCell ref="B3:K3"/>
    <mergeCell ref="H26:I26"/>
    <mergeCell ref="H27:I27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FAFB7-43B3-4827-82E2-B32EE531640B}">
  <sheetPr codeName="Sheet6"/>
  <dimension ref="A2:M56"/>
  <sheetViews>
    <sheetView zoomScale="85" zoomScaleNormal="85" workbookViewId="0">
      <selection activeCell="Q26" sqref="Q26"/>
    </sheetView>
  </sheetViews>
  <sheetFormatPr defaultColWidth="9.140625" defaultRowHeight="15" x14ac:dyDescent="0.25"/>
  <cols>
    <col min="1" max="1" width="15.85546875" style="1" customWidth="1"/>
    <col min="2" max="2" width="19" style="1" customWidth="1"/>
    <col min="3" max="3" width="39.5703125" style="1" customWidth="1"/>
    <col min="4" max="4" width="16.5703125" style="1" customWidth="1"/>
    <col min="5" max="5" width="16" style="1" customWidth="1"/>
    <col min="6" max="6" width="25.140625" style="1" customWidth="1"/>
    <col min="7" max="7" width="22.28515625" style="1" customWidth="1"/>
    <col min="8" max="8" width="21.28515625" style="1" customWidth="1"/>
    <col min="9" max="9" width="20.28515625" style="1" customWidth="1"/>
    <col min="10" max="10" width="24.5703125" style="1" customWidth="1"/>
    <col min="11" max="11" width="23.42578125" style="1" hidden="1" customWidth="1"/>
    <col min="12" max="12" width="21" style="1" customWidth="1"/>
    <col min="13" max="13" width="19.42578125" style="1" customWidth="1"/>
    <col min="14" max="16384" width="9.140625" style="1"/>
  </cols>
  <sheetData>
    <row r="2" spans="2:13" ht="60.75" customHeight="1" x14ac:dyDescent="0.25">
      <c r="B2" s="183" t="s">
        <v>31</v>
      </c>
      <c r="C2" s="183"/>
      <c r="D2" s="183"/>
      <c r="E2" s="183"/>
      <c r="F2" s="183"/>
      <c r="G2" s="183"/>
      <c r="H2" s="183"/>
      <c r="I2" s="183"/>
      <c r="J2" s="183"/>
      <c r="K2" s="183"/>
    </row>
    <row r="3" spans="2:13" ht="30.75" x14ac:dyDescent="0.25">
      <c r="B3" s="184" t="s">
        <v>97</v>
      </c>
      <c r="C3" s="185"/>
      <c r="D3" s="185"/>
      <c r="E3" s="185"/>
      <c r="F3" s="185"/>
      <c r="G3" s="185"/>
      <c r="H3" s="185"/>
      <c r="I3" s="185"/>
      <c r="J3" s="185"/>
      <c r="K3" s="185"/>
    </row>
    <row r="4" spans="2:13" x14ac:dyDescent="0.25">
      <c r="J4" s="26"/>
    </row>
    <row r="6" spans="2:13" ht="20.25" x14ac:dyDescent="0.3">
      <c r="B6" s="5" t="s">
        <v>0</v>
      </c>
      <c r="C6" s="5" t="s">
        <v>1</v>
      </c>
      <c r="D6" s="5" t="s">
        <v>50</v>
      </c>
      <c r="E6" s="5" t="s">
        <v>2</v>
      </c>
      <c r="F6" s="5" t="s">
        <v>3</v>
      </c>
      <c r="G6" s="5" t="s">
        <v>49</v>
      </c>
      <c r="H6" s="5" t="s">
        <v>4</v>
      </c>
      <c r="I6" s="5" t="s">
        <v>20</v>
      </c>
      <c r="J6" s="5" t="s">
        <v>7</v>
      </c>
      <c r="K6" s="5" t="s">
        <v>5</v>
      </c>
      <c r="L6" s="5" t="s">
        <v>34</v>
      </c>
      <c r="M6" s="5" t="s">
        <v>51</v>
      </c>
    </row>
    <row r="7" spans="2:13" ht="16.5" x14ac:dyDescent="0.25">
      <c r="B7" s="3">
        <v>1</v>
      </c>
      <c r="C7" s="11" t="s">
        <v>40</v>
      </c>
      <c r="D7" s="3" t="s">
        <v>8</v>
      </c>
      <c r="E7" s="4">
        <v>38096003688</v>
      </c>
      <c r="F7" s="3" t="s">
        <v>13</v>
      </c>
      <c r="G7" s="3" t="s">
        <v>14</v>
      </c>
      <c r="H7" s="10">
        <v>2600000</v>
      </c>
      <c r="I7" s="10">
        <f>Table145245678[[#This Row],[THỰC LÃNH]]</f>
        <v>1200000</v>
      </c>
      <c r="J7" s="16" t="s">
        <v>69</v>
      </c>
      <c r="K7" s="2"/>
      <c r="L7" s="12"/>
      <c r="M7" s="12"/>
    </row>
    <row r="8" spans="2:13" ht="16.5" x14ac:dyDescent="0.25">
      <c r="B8" s="3">
        <f t="shared" ref="B8:B23" si="0">B7 +1</f>
        <v>2</v>
      </c>
      <c r="C8" s="11" t="s">
        <v>38</v>
      </c>
      <c r="D8" s="3" t="s">
        <v>9</v>
      </c>
      <c r="E8" s="4">
        <v>91203011680</v>
      </c>
      <c r="F8" s="3" t="s">
        <v>15</v>
      </c>
      <c r="G8" s="3" t="s">
        <v>16</v>
      </c>
      <c r="H8" s="10">
        <v>2000000</v>
      </c>
      <c r="I8" s="10">
        <f t="shared" ref="I8:I15" si="1">H8*$E$26</f>
        <v>1200000</v>
      </c>
      <c r="J8" s="47" t="s">
        <v>26</v>
      </c>
      <c r="K8" s="33" t="s">
        <v>72</v>
      </c>
      <c r="L8" s="12"/>
      <c r="M8" s="12"/>
    </row>
    <row r="9" spans="2:13" ht="16.5" x14ac:dyDescent="0.25">
      <c r="B9" s="3">
        <f t="shared" si="0"/>
        <v>3</v>
      </c>
      <c r="C9" s="11" t="s">
        <v>41</v>
      </c>
      <c r="D9" s="3" t="s">
        <v>10</v>
      </c>
      <c r="E9" s="4">
        <v>89078016404</v>
      </c>
      <c r="F9" s="3" t="s">
        <v>18</v>
      </c>
      <c r="G9" s="3" t="s">
        <v>17</v>
      </c>
      <c r="H9" s="10">
        <v>2270000</v>
      </c>
      <c r="I9" s="10">
        <f t="shared" si="1"/>
        <v>1362000</v>
      </c>
      <c r="J9" s="16" t="s">
        <v>69</v>
      </c>
      <c r="K9" s="2"/>
      <c r="L9" s="12"/>
      <c r="M9" s="12"/>
    </row>
    <row r="10" spans="2:13" ht="16.5" x14ac:dyDescent="0.25">
      <c r="B10" s="3">
        <f t="shared" si="0"/>
        <v>4</v>
      </c>
      <c r="C10" s="11" t="s">
        <v>67</v>
      </c>
      <c r="D10" s="3" t="s">
        <v>11</v>
      </c>
      <c r="E10" s="4">
        <v>89099008054</v>
      </c>
      <c r="F10" s="3" t="s">
        <v>18</v>
      </c>
      <c r="G10" s="3" t="s">
        <v>48</v>
      </c>
      <c r="H10" s="10">
        <v>1770000</v>
      </c>
      <c r="I10" s="10">
        <f t="shared" si="1"/>
        <v>1062000</v>
      </c>
      <c r="J10" s="16" t="s">
        <v>69</v>
      </c>
      <c r="K10" s="41" t="s">
        <v>86</v>
      </c>
      <c r="L10" s="12"/>
      <c r="M10" s="12"/>
    </row>
    <row r="11" spans="2:13" ht="16.5" x14ac:dyDescent="0.25">
      <c r="B11" s="3">
        <f t="shared" si="0"/>
        <v>5</v>
      </c>
      <c r="C11" s="11" t="s">
        <v>39</v>
      </c>
      <c r="D11" s="4" t="s">
        <v>12</v>
      </c>
      <c r="E11" s="4">
        <v>91088020664</v>
      </c>
      <c r="F11" s="3" t="s">
        <v>15</v>
      </c>
      <c r="G11" s="3" t="s">
        <v>19</v>
      </c>
      <c r="H11" s="10">
        <v>1800000</v>
      </c>
      <c r="I11" s="10">
        <f t="shared" si="1"/>
        <v>1080000</v>
      </c>
      <c r="J11" s="47" t="s">
        <v>26</v>
      </c>
      <c r="K11" s="33" t="s">
        <v>72</v>
      </c>
      <c r="L11" s="12"/>
      <c r="M11" s="12"/>
    </row>
    <row r="12" spans="2:13" ht="16.5" x14ac:dyDescent="0.25">
      <c r="B12" s="3">
        <f t="shared" si="0"/>
        <v>6</v>
      </c>
      <c r="C12" s="11" t="s">
        <v>42</v>
      </c>
      <c r="D12" s="8" t="s">
        <v>59</v>
      </c>
      <c r="E12" s="8">
        <v>89082022656</v>
      </c>
      <c r="F12" s="8" t="s">
        <v>18</v>
      </c>
      <c r="G12" s="8" t="s">
        <v>56</v>
      </c>
      <c r="H12" s="10">
        <v>2200000</v>
      </c>
      <c r="I12" s="10">
        <f t="shared" si="1"/>
        <v>1320000</v>
      </c>
      <c r="J12" s="16" t="s">
        <v>69</v>
      </c>
      <c r="K12" s="2"/>
      <c r="L12" s="2"/>
      <c r="M12" s="13"/>
    </row>
    <row r="13" spans="2:13" ht="16.5" x14ac:dyDescent="0.25">
      <c r="B13" s="3">
        <f t="shared" si="0"/>
        <v>7</v>
      </c>
      <c r="C13" s="11" t="s">
        <v>43</v>
      </c>
      <c r="D13" s="8" t="s">
        <v>23</v>
      </c>
      <c r="E13" s="8">
        <v>42088019031</v>
      </c>
      <c r="F13" s="8" t="s">
        <v>21</v>
      </c>
      <c r="G13" s="8" t="s">
        <v>22</v>
      </c>
      <c r="H13" s="10">
        <v>1830000</v>
      </c>
      <c r="I13" s="10">
        <f t="shared" si="1"/>
        <v>1098000</v>
      </c>
      <c r="J13" s="16" t="s">
        <v>69</v>
      </c>
      <c r="K13" s="33" t="s">
        <v>72</v>
      </c>
      <c r="L13" s="12"/>
      <c r="M13" s="12"/>
    </row>
    <row r="14" spans="2:13" ht="16.5" x14ac:dyDescent="0.25">
      <c r="B14" s="3">
        <f t="shared" si="0"/>
        <v>8</v>
      </c>
      <c r="C14" s="11" t="s">
        <v>44</v>
      </c>
      <c r="D14" s="8" t="s">
        <v>33</v>
      </c>
      <c r="E14" s="8">
        <v>49202008987</v>
      </c>
      <c r="F14" s="8" t="s">
        <v>15</v>
      </c>
      <c r="G14" s="8" t="s">
        <v>32</v>
      </c>
      <c r="H14" s="10">
        <v>1770000</v>
      </c>
      <c r="I14" s="10">
        <f t="shared" si="1"/>
        <v>1062000</v>
      </c>
      <c r="J14" s="16" t="s">
        <v>69</v>
      </c>
      <c r="K14" s="2"/>
      <c r="L14" s="2"/>
      <c r="M14" s="13"/>
    </row>
    <row r="15" spans="2:13" ht="16.5" x14ac:dyDescent="0.25">
      <c r="B15" s="3">
        <f t="shared" si="0"/>
        <v>9</v>
      </c>
      <c r="C15" s="11" t="s">
        <v>45</v>
      </c>
      <c r="D15" s="8" t="s">
        <v>24</v>
      </c>
      <c r="E15" s="8">
        <v>93097001330</v>
      </c>
      <c r="F15" s="8" t="s">
        <v>60</v>
      </c>
      <c r="G15" s="8" t="s">
        <v>25</v>
      </c>
      <c r="H15" s="10">
        <v>1720000</v>
      </c>
      <c r="I15" s="10">
        <f t="shared" si="1"/>
        <v>1032000</v>
      </c>
      <c r="J15" s="16" t="s">
        <v>69</v>
      </c>
      <c r="K15" s="2"/>
      <c r="L15" s="12"/>
      <c r="M15" s="12"/>
    </row>
    <row r="16" spans="2:13" ht="16.5" x14ac:dyDescent="0.25">
      <c r="B16" s="3">
        <f t="shared" si="0"/>
        <v>10</v>
      </c>
      <c r="C16" s="11" t="s">
        <v>79</v>
      </c>
      <c r="D16" s="8" t="s">
        <v>61</v>
      </c>
      <c r="E16" s="8">
        <v>95095009661</v>
      </c>
      <c r="F16" s="8" t="s">
        <v>62</v>
      </c>
      <c r="G16" s="8" t="s">
        <v>27</v>
      </c>
      <c r="H16" s="10">
        <v>1720000</v>
      </c>
      <c r="I16" s="10">
        <f>H16*$E$26</f>
        <v>1032000</v>
      </c>
      <c r="J16" s="16" t="s">
        <v>69</v>
      </c>
      <c r="K16" s="2"/>
      <c r="L16" s="35"/>
      <c r="M16" s="12"/>
    </row>
    <row r="17" spans="1:13" ht="16.5" x14ac:dyDescent="0.25">
      <c r="B17" s="3">
        <f t="shared" si="0"/>
        <v>11</v>
      </c>
      <c r="C17" s="11" t="s">
        <v>47</v>
      </c>
      <c r="D17" s="8" t="s">
        <v>63</v>
      </c>
      <c r="E17" s="8">
        <v>80083017871</v>
      </c>
      <c r="F17" s="8" t="s">
        <v>64</v>
      </c>
      <c r="G17" s="8" t="s">
        <v>57</v>
      </c>
      <c r="H17" s="10">
        <v>1700000</v>
      </c>
      <c r="I17" s="10">
        <v>850000</v>
      </c>
      <c r="J17" s="16" t="s">
        <v>69</v>
      </c>
      <c r="K17" s="2"/>
      <c r="L17" s="46" t="s">
        <v>96</v>
      </c>
      <c r="M17" s="12"/>
    </row>
    <row r="18" spans="1:13" ht="16.5" x14ac:dyDescent="0.25">
      <c r="B18" s="3">
        <f t="shared" si="0"/>
        <v>12</v>
      </c>
      <c r="C18" s="11" t="s">
        <v>37</v>
      </c>
      <c r="D18" s="8" t="s">
        <v>28</v>
      </c>
      <c r="E18" s="8">
        <v>42094001136</v>
      </c>
      <c r="F18" s="8" t="s">
        <v>15</v>
      </c>
      <c r="G18" s="8" t="s">
        <v>36</v>
      </c>
      <c r="H18" s="10">
        <v>2270000</v>
      </c>
      <c r="I18" s="10">
        <f>H18*$E$26</f>
        <v>1362000</v>
      </c>
      <c r="J18" s="47" t="s">
        <v>26</v>
      </c>
      <c r="K18" s="33" t="s">
        <v>72</v>
      </c>
      <c r="L18" s="12"/>
      <c r="M18" s="12"/>
    </row>
    <row r="19" spans="1:13" ht="16.5" x14ac:dyDescent="0.25">
      <c r="B19" s="3">
        <f t="shared" si="0"/>
        <v>13</v>
      </c>
      <c r="C19" s="15" t="s">
        <v>52</v>
      </c>
      <c r="D19" s="8" t="s">
        <v>54</v>
      </c>
      <c r="E19" s="37" t="s">
        <v>94</v>
      </c>
      <c r="F19" s="8" t="s">
        <v>53</v>
      </c>
      <c r="G19" s="14" t="s">
        <v>35</v>
      </c>
      <c r="H19" s="10">
        <v>3616000</v>
      </c>
      <c r="I19" s="10">
        <v>2160000</v>
      </c>
      <c r="J19" s="16" t="s">
        <v>69</v>
      </c>
      <c r="K19" s="12"/>
      <c r="L19" s="12"/>
      <c r="M19" s="12"/>
    </row>
    <row r="20" spans="1:13" ht="16.5" x14ac:dyDescent="0.25">
      <c r="A20" s="40"/>
      <c r="B20" s="3">
        <f t="shared" si="0"/>
        <v>14</v>
      </c>
      <c r="C20" s="11" t="s">
        <v>80</v>
      </c>
      <c r="D20" s="3" t="s">
        <v>75</v>
      </c>
      <c r="E20" s="8">
        <v>38085004911</v>
      </c>
      <c r="F20" s="8" t="s">
        <v>13</v>
      </c>
      <c r="G20" s="14" t="s">
        <v>73</v>
      </c>
      <c r="H20" s="10">
        <v>2000000</v>
      </c>
      <c r="I20" s="10">
        <v>1000000</v>
      </c>
      <c r="J20" s="47" t="s">
        <v>26</v>
      </c>
      <c r="K20" s="35"/>
      <c r="L20" s="12"/>
      <c r="M20" s="12"/>
    </row>
    <row r="21" spans="1:13" ht="16.5" x14ac:dyDescent="0.25">
      <c r="A21" s="40"/>
      <c r="B21" s="3">
        <f t="shared" si="0"/>
        <v>15</v>
      </c>
      <c r="C21" s="11" t="s">
        <v>92</v>
      </c>
      <c r="D21" s="3" t="s">
        <v>88</v>
      </c>
      <c r="E21" s="44" t="s">
        <v>89</v>
      </c>
      <c r="F21" s="3" t="s">
        <v>90</v>
      </c>
      <c r="G21" s="37" t="s">
        <v>93</v>
      </c>
      <c r="H21" s="10">
        <v>2300000</v>
      </c>
      <c r="I21" s="10">
        <f t="shared" ref="I21" si="2">H21*$E$26</f>
        <v>1380000</v>
      </c>
      <c r="J21" s="16" t="s">
        <v>69</v>
      </c>
      <c r="K21" s="2"/>
      <c r="L21" s="12"/>
      <c r="M21" s="12"/>
    </row>
    <row r="22" spans="1:13" ht="16.5" x14ac:dyDescent="0.25">
      <c r="B22" s="3">
        <f t="shared" si="0"/>
        <v>16</v>
      </c>
      <c r="C22" s="3" t="s">
        <v>6</v>
      </c>
      <c r="D22" s="3" t="s">
        <v>6</v>
      </c>
      <c r="E22" s="3" t="s">
        <v>6</v>
      </c>
      <c r="F22" s="3" t="s">
        <v>6</v>
      </c>
      <c r="G22" s="14" t="s">
        <v>82</v>
      </c>
      <c r="H22" s="3" t="s">
        <v>6</v>
      </c>
      <c r="I22" s="3" t="s">
        <v>6</v>
      </c>
      <c r="J22" s="3" t="s">
        <v>6</v>
      </c>
      <c r="K22" s="2"/>
      <c r="L22" s="2"/>
      <c r="M22" s="12"/>
    </row>
    <row r="23" spans="1:13" ht="16.5" x14ac:dyDescent="0.25">
      <c r="B23" s="3">
        <f t="shared" si="0"/>
        <v>17</v>
      </c>
      <c r="C23" s="3" t="s">
        <v>6</v>
      </c>
      <c r="D23" s="3" t="s">
        <v>6</v>
      </c>
      <c r="E23" s="3" t="s">
        <v>6</v>
      </c>
      <c r="F23" s="3" t="s">
        <v>6</v>
      </c>
      <c r="G23" s="3" t="s">
        <v>83</v>
      </c>
      <c r="H23" s="3" t="s">
        <v>6</v>
      </c>
      <c r="I23" s="3" t="s">
        <v>6</v>
      </c>
      <c r="J23" s="3" t="s">
        <v>6</v>
      </c>
      <c r="K23" s="2"/>
      <c r="L23" s="2"/>
      <c r="M23" s="12"/>
    </row>
    <row r="24" spans="1:13" ht="16.5" x14ac:dyDescent="0.25">
      <c r="B24" s="3"/>
      <c r="C24" s="3"/>
      <c r="D24" s="3"/>
      <c r="E24" s="3"/>
      <c r="F24" s="3"/>
      <c r="G24" s="3"/>
      <c r="H24" s="3"/>
      <c r="I24" s="3"/>
      <c r="J24" s="3"/>
      <c r="K24" s="2"/>
      <c r="L24" s="2"/>
      <c r="M24" s="12"/>
    </row>
    <row r="26" spans="1:13" ht="22.5" x14ac:dyDescent="0.3">
      <c r="D26" s="23" t="s">
        <v>65</v>
      </c>
      <c r="E26" s="24">
        <v>0.6</v>
      </c>
      <c r="F26" s="25" t="s">
        <v>66</v>
      </c>
      <c r="H26" s="186" t="s">
        <v>29</v>
      </c>
      <c r="I26" s="186"/>
      <c r="J26" s="9">
        <f>SUM(H7:H1001)</f>
        <v>31566000</v>
      </c>
    </row>
    <row r="27" spans="1:13" ht="22.5" x14ac:dyDescent="0.3">
      <c r="H27" s="186" t="s">
        <v>30</v>
      </c>
      <c r="I27" s="186"/>
      <c r="J27" s="9">
        <f>SUM(I7:I1001)</f>
        <v>18200000</v>
      </c>
    </row>
    <row r="40" spans="2:4" x14ac:dyDescent="0.25">
      <c r="C40" s="34" t="s">
        <v>78</v>
      </c>
    </row>
    <row r="43" spans="2:4" x14ac:dyDescent="0.25">
      <c r="B43" s="22" t="s">
        <v>58</v>
      </c>
    </row>
    <row r="44" spans="2:4" ht="16.5" x14ac:dyDescent="0.25">
      <c r="B44" s="17" t="s">
        <v>14</v>
      </c>
    </row>
    <row r="45" spans="2:4" ht="16.5" x14ac:dyDescent="0.25">
      <c r="B45" s="18" t="s">
        <v>16</v>
      </c>
    </row>
    <row r="46" spans="2:4" ht="16.5" x14ac:dyDescent="0.25">
      <c r="B46" s="17" t="s">
        <v>17</v>
      </c>
    </row>
    <row r="47" spans="2:4" ht="16.5" x14ac:dyDescent="0.25">
      <c r="B47" s="18" t="s">
        <v>48</v>
      </c>
      <c r="D47" s="45" t="s">
        <v>72</v>
      </c>
    </row>
    <row r="48" spans="2:4" ht="16.5" x14ac:dyDescent="0.25">
      <c r="B48" s="17" t="s">
        <v>19</v>
      </c>
    </row>
    <row r="49" spans="2:2" ht="16.5" x14ac:dyDescent="0.25">
      <c r="B49" s="19" t="s">
        <v>56</v>
      </c>
    </row>
    <row r="50" spans="2:2" ht="16.5" x14ac:dyDescent="0.25">
      <c r="B50" s="20" t="s">
        <v>22</v>
      </c>
    </row>
    <row r="51" spans="2:2" ht="16.5" x14ac:dyDescent="0.25">
      <c r="B51" s="19" t="s">
        <v>32</v>
      </c>
    </row>
    <row r="52" spans="2:2" ht="16.5" x14ac:dyDescent="0.25">
      <c r="B52" s="20" t="s">
        <v>25</v>
      </c>
    </row>
    <row r="53" spans="2:2" ht="16.5" x14ac:dyDescent="0.25">
      <c r="B53" s="19" t="s">
        <v>27</v>
      </c>
    </row>
    <row r="54" spans="2:2" ht="16.5" x14ac:dyDescent="0.25">
      <c r="B54" s="20" t="s">
        <v>57</v>
      </c>
    </row>
    <row r="55" spans="2:2" ht="16.5" x14ac:dyDescent="0.25">
      <c r="B55" s="19" t="s">
        <v>36</v>
      </c>
    </row>
    <row r="56" spans="2:2" ht="16.5" x14ac:dyDescent="0.25">
      <c r="B56" s="21" t="s">
        <v>35</v>
      </c>
    </row>
  </sheetData>
  <sheetProtection sheet="1" objects="1" scenarios="1"/>
  <mergeCells count="4">
    <mergeCell ref="B2:K2"/>
    <mergeCell ref="B3:K3"/>
    <mergeCell ref="H26:I26"/>
    <mergeCell ref="H27:I27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46DE2-8720-468A-A331-5A4BA5FA2ECB}">
  <sheetPr codeName="Sheet7"/>
  <dimension ref="A2:M56"/>
  <sheetViews>
    <sheetView zoomScale="85" zoomScaleNormal="85" workbookViewId="0">
      <selection activeCell="Q26" sqref="Q26"/>
    </sheetView>
  </sheetViews>
  <sheetFormatPr defaultColWidth="9.140625" defaultRowHeight="15" x14ac:dyDescent="0.25"/>
  <cols>
    <col min="1" max="1" width="15.85546875" style="1" customWidth="1"/>
    <col min="2" max="2" width="19" style="1" customWidth="1"/>
    <col min="3" max="3" width="39.5703125" style="1" customWidth="1"/>
    <col min="4" max="4" width="16.5703125" style="1" customWidth="1"/>
    <col min="5" max="5" width="16" style="1" customWidth="1"/>
    <col min="6" max="6" width="25.140625" style="1" customWidth="1"/>
    <col min="7" max="7" width="22.28515625" style="1" customWidth="1"/>
    <col min="8" max="8" width="21.28515625" style="1" customWidth="1"/>
    <col min="9" max="9" width="20.28515625" style="1" customWidth="1"/>
    <col min="10" max="10" width="24.5703125" style="1" customWidth="1"/>
    <col min="11" max="11" width="23.42578125" style="1" hidden="1" customWidth="1"/>
    <col min="12" max="12" width="21" style="1" customWidth="1"/>
    <col min="13" max="13" width="19.42578125" style="1" customWidth="1"/>
    <col min="14" max="16384" width="9.140625" style="1"/>
  </cols>
  <sheetData>
    <row r="2" spans="2:13" ht="60.75" customHeight="1" x14ac:dyDescent="0.25">
      <c r="B2" s="183" t="s">
        <v>31</v>
      </c>
      <c r="C2" s="183"/>
      <c r="D2" s="183"/>
      <c r="E2" s="183"/>
      <c r="F2" s="183"/>
      <c r="G2" s="183"/>
      <c r="H2" s="183"/>
      <c r="I2" s="183"/>
      <c r="J2" s="183"/>
      <c r="K2" s="183"/>
    </row>
    <row r="3" spans="2:13" ht="30.75" x14ac:dyDescent="0.25">
      <c r="B3" s="184" t="s">
        <v>99</v>
      </c>
      <c r="C3" s="185"/>
      <c r="D3" s="185"/>
      <c r="E3" s="185"/>
      <c r="F3" s="185"/>
      <c r="G3" s="185"/>
      <c r="H3" s="185"/>
      <c r="I3" s="185"/>
      <c r="J3" s="185"/>
      <c r="K3" s="185"/>
    </row>
    <row r="4" spans="2:13" x14ac:dyDescent="0.25">
      <c r="J4" s="26"/>
    </row>
    <row r="6" spans="2:13" ht="20.25" x14ac:dyDescent="0.3">
      <c r="B6" s="5" t="s">
        <v>0</v>
      </c>
      <c r="C6" s="5" t="s">
        <v>1</v>
      </c>
      <c r="D6" s="5" t="s">
        <v>50</v>
      </c>
      <c r="E6" s="5" t="s">
        <v>2</v>
      </c>
      <c r="F6" s="5" t="s">
        <v>3</v>
      </c>
      <c r="G6" s="5" t="s">
        <v>49</v>
      </c>
      <c r="H6" s="5" t="s">
        <v>4</v>
      </c>
      <c r="I6" s="5" t="s">
        <v>20</v>
      </c>
      <c r="J6" s="5" t="s">
        <v>7</v>
      </c>
      <c r="K6" s="5" t="s">
        <v>5</v>
      </c>
      <c r="L6" s="5" t="s">
        <v>34</v>
      </c>
      <c r="M6" s="5" t="s">
        <v>51</v>
      </c>
    </row>
    <row r="7" spans="2:13" ht="16.5" x14ac:dyDescent="0.25">
      <c r="B7" s="3">
        <v>1</v>
      </c>
      <c r="C7" s="11" t="s">
        <v>40</v>
      </c>
      <c r="D7" s="3" t="s">
        <v>8</v>
      </c>
      <c r="E7" s="4">
        <v>38096003688</v>
      </c>
      <c r="F7" s="3" t="s">
        <v>13</v>
      </c>
      <c r="G7" s="3" t="s">
        <v>14</v>
      </c>
      <c r="H7" s="10">
        <v>2000000</v>
      </c>
      <c r="I7" s="10">
        <v>1200000</v>
      </c>
      <c r="J7" s="16" t="s">
        <v>69</v>
      </c>
      <c r="K7" s="2"/>
      <c r="L7" s="12"/>
      <c r="M7" s="12"/>
    </row>
    <row r="8" spans="2:13" ht="16.5" x14ac:dyDescent="0.25">
      <c r="B8" s="3">
        <f t="shared" ref="B8:B23" si="0">B7 +1</f>
        <v>2</v>
      </c>
      <c r="C8" s="11" t="s">
        <v>38</v>
      </c>
      <c r="D8" s="3" t="s">
        <v>9</v>
      </c>
      <c r="E8" s="4">
        <v>91203011680</v>
      </c>
      <c r="F8" s="3" t="s">
        <v>15</v>
      </c>
      <c r="G8" s="3" t="s">
        <v>16</v>
      </c>
      <c r="H8" s="10">
        <v>2040000</v>
      </c>
      <c r="I8" s="10">
        <f t="shared" ref="I8:I21" si="1">H8*$E$26</f>
        <v>1224000</v>
      </c>
      <c r="J8" s="47" t="s">
        <v>26</v>
      </c>
      <c r="K8" s="33" t="s">
        <v>72</v>
      </c>
      <c r="L8" s="12"/>
      <c r="M8" s="12"/>
    </row>
    <row r="9" spans="2:13" ht="16.5" x14ac:dyDescent="0.25">
      <c r="B9" s="3">
        <f t="shared" si="0"/>
        <v>3</v>
      </c>
      <c r="C9" s="11" t="s">
        <v>41</v>
      </c>
      <c r="D9" s="3" t="s">
        <v>10</v>
      </c>
      <c r="E9" s="4">
        <v>89078016404</v>
      </c>
      <c r="F9" s="3" t="s">
        <v>18</v>
      </c>
      <c r="G9" s="3" t="s">
        <v>17</v>
      </c>
      <c r="H9" s="10">
        <v>1720000</v>
      </c>
      <c r="I9" s="10">
        <f t="shared" si="1"/>
        <v>1032000</v>
      </c>
      <c r="J9" s="16" t="s">
        <v>69</v>
      </c>
      <c r="K9" s="2"/>
      <c r="L9" s="12"/>
      <c r="M9" s="12"/>
    </row>
    <row r="10" spans="2:13" ht="16.5" x14ac:dyDescent="0.25">
      <c r="B10" s="3">
        <f t="shared" si="0"/>
        <v>4</v>
      </c>
      <c r="C10" s="11" t="s">
        <v>67</v>
      </c>
      <c r="D10" s="3" t="s">
        <v>11</v>
      </c>
      <c r="E10" s="4">
        <v>89099008054</v>
      </c>
      <c r="F10" s="3" t="s">
        <v>18</v>
      </c>
      <c r="G10" s="3" t="s">
        <v>48</v>
      </c>
      <c r="H10" s="10">
        <v>1800000</v>
      </c>
      <c r="I10" s="10">
        <f t="shared" si="1"/>
        <v>1080000</v>
      </c>
      <c r="J10" s="16" t="s">
        <v>69</v>
      </c>
      <c r="K10" s="41" t="s">
        <v>86</v>
      </c>
      <c r="L10" s="12"/>
      <c r="M10" s="12"/>
    </row>
    <row r="11" spans="2:13" ht="16.5" x14ac:dyDescent="0.25">
      <c r="B11" s="3">
        <f t="shared" si="0"/>
        <v>5</v>
      </c>
      <c r="C11" s="11" t="s">
        <v>39</v>
      </c>
      <c r="D11" s="4" t="s">
        <v>12</v>
      </c>
      <c r="E11" s="4">
        <v>91088020664</v>
      </c>
      <c r="F11" s="3" t="s">
        <v>15</v>
      </c>
      <c r="G11" s="3" t="s">
        <v>19</v>
      </c>
      <c r="H11" s="10">
        <v>1900000</v>
      </c>
      <c r="I11" s="10">
        <f t="shared" si="1"/>
        <v>1140000</v>
      </c>
      <c r="J11" s="47" t="s">
        <v>26</v>
      </c>
      <c r="K11" s="33" t="s">
        <v>72</v>
      </c>
      <c r="L11" s="12"/>
      <c r="M11" s="12"/>
    </row>
    <row r="12" spans="2:13" ht="16.5" x14ac:dyDescent="0.25">
      <c r="B12" s="3">
        <f t="shared" si="0"/>
        <v>6</v>
      </c>
      <c r="C12" s="11" t="s">
        <v>42</v>
      </c>
      <c r="D12" s="8" t="s">
        <v>59</v>
      </c>
      <c r="E12" s="8">
        <v>89082022656</v>
      </c>
      <c r="F12" s="8" t="s">
        <v>18</v>
      </c>
      <c r="G12" s="8" t="s">
        <v>56</v>
      </c>
      <c r="H12" s="10">
        <v>1760000</v>
      </c>
      <c r="I12" s="10">
        <f t="shared" si="1"/>
        <v>1056000</v>
      </c>
      <c r="J12" s="16" t="s">
        <v>69</v>
      </c>
      <c r="K12" s="2"/>
      <c r="L12" s="12"/>
      <c r="M12" s="13"/>
    </row>
    <row r="13" spans="2:13" ht="16.5" x14ac:dyDescent="0.25">
      <c r="B13" s="3">
        <f t="shared" si="0"/>
        <v>7</v>
      </c>
      <c r="C13" s="11" t="s">
        <v>43</v>
      </c>
      <c r="D13" s="8" t="s">
        <v>23</v>
      </c>
      <c r="E13" s="8">
        <v>42088019031</v>
      </c>
      <c r="F13" s="8" t="s">
        <v>21</v>
      </c>
      <c r="G13" s="8" t="s">
        <v>22</v>
      </c>
      <c r="H13" s="10">
        <v>2550000</v>
      </c>
      <c r="I13" s="10">
        <f t="shared" si="1"/>
        <v>1530000</v>
      </c>
      <c r="J13" s="16" t="s">
        <v>69</v>
      </c>
      <c r="K13" s="33" t="s">
        <v>72</v>
      </c>
      <c r="L13" s="12"/>
      <c r="M13" s="12"/>
    </row>
    <row r="14" spans="2:13" ht="16.5" x14ac:dyDescent="0.25">
      <c r="B14" s="3">
        <f t="shared" si="0"/>
        <v>8</v>
      </c>
      <c r="C14" s="11" t="s">
        <v>44</v>
      </c>
      <c r="D14" s="8" t="s">
        <v>33</v>
      </c>
      <c r="E14" s="8">
        <v>49202008987</v>
      </c>
      <c r="F14" s="8" t="s">
        <v>15</v>
      </c>
      <c r="G14" s="8" t="s">
        <v>32</v>
      </c>
      <c r="H14" s="10">
        <v>1930000</v>
      </c>
      <c r="I14" s="10">
        <f t="shared" si="1"/>
        <v>1158000</v>
      </c>
      <c r="J14" s="16" t="s">
        <v>69</v>
      </c>
      <c r="K14" s="2"/>
      <c r="L14" s="12"/>
      <c r="M14" s="13"/>
    </row>
    <row r="15" spans="2:13" ht="16.5" x14ac:dyDescent="0.25">
      <c r="B15" s="3">
        <f t="shared" si="0"/>
        <v>9</v>
      </c>
      <c r="C15" s="11" t="s">
        <v>45</v>
      </c>
      <c r="D15" s="8" t="s">
        <v>24</v>
      </c>
      <c r="E15" s="8">
        <v>93097001330</v>
      </c>
      <c r="F15" s="8" t="s">
        <v>60</v>
      </c>
      <c r="G15" s="8" t="s">
        <v>25</v>
      </c>
      <c r="H15" s="10">
        <v>2400000</v>
      </c>
      <c r="I15" s="10">
        <f t="shared" si="1"/>
        <v>1440000</v>
      </c>
      <c r="J15" s="16" t="s">
        <v>69</v>
      </c>
      <c r="K15" s="2"/>
      <c r="L15" s="12"/>
      <c r="M15" s="12"/>
    </row>
    <row r="16" spans="2:13" ht="16.5" x14ac:dyDescent="0.25">
      <c r="B16" s="3">
        <f t="shared" si="0"/>
        <v>10</v>
      </c>
      <c r="C16" s="11" t="s">
        <v>79</v>
      </c>
      <c r="D16" s="8" t="s">
        <v>61</v>
      </c>
      <c r="E16" s="8">
        <v>95095009661</v>
      </c>
      <c r="F16" s="8" t="s">
        <v>62</v>
      </c>
      <c r="G16" s="8" t="s">
        <v>27</v>
      </c>
      <c r="H16" s="10">
        <v>1730000</v>
      </c>
      <c r="I16" s="10">
        <f t="shared" si="1"/>
        <v>1038000</v>
      </c>
      <c r="J16" s="16" t="s">
        <v>69</v>
      </c>
      <c r="K16" s="2"/>
      <c r="L16" s="12"/>
      <c r="M16" s="12"/>
    </row>
    <row r="17" spans="1:13" ht="16.5" x14ac:dyDescent="0.25">
      <c r="B17" s="3">
        <f t="shared" si="0"/>
        <v>11</v>
      </c>
      <c r="C17" s="11" t="s">
        <v>98</v>
      </c>
      <c r="D17" s="8" t="s">
        <v>63</v>
      </c>
      <c r="E17" s="37" t="s">
        <v>94</v>
      </c>
      <c r="F17" s="37"/>
      <c r="G17" s="8" t="s">
        <v>57</v>
      </c>
      <c r="H17" s="10">
        <v>1830000</v>
      </c>
      <c r="I17" s="10">
        <f t="shared" si="1"/>
        <v>1098000</v>
      </c>
      <c r="J17" s="16" t="s">
        <v>69</v>
      </c>
      <c r="K17" s="2"/>
      <c r="L17" s="12"/>
      <c r="M17" s="12"/>
    </row>
    <row r="18" spans="1:13" ht="16.5" x14ac:dyDescent="0.25">
      <c r="B18" s="3">
        <f t="shared" si="0"/>
        <v>12</v>
      </c>
      <c r="C18" s="11" t="s">
        <v>37</v>
      </c>
      <c r="D18" s="8" t="s">
        <v>28</v>
      </c>
      <c r="E18" s="8">
        <v>42094001136</v>
      </c>
      <c r="F18" s="8" t="s">
        <v>15</v>
      </c>
      <c r="G18" s="8" t="s">
        <v>36</v>
      </c>
      <c r="H18" s="10">
        <v>2180000</v>
      </c>
      <c r="I18" s="10">
        <f t="shared" si="1"/>
        <v>1308000</v>
      </c>
      <c r="J18" s="47" t="s">
        <v>26</v>
      </c>
      <c r="K18" s="33" t="s">
        <v>72</v>
      </c>
      <c r="L18" s="12"/>
      <c r="M18" s="12"/>
    </row>
    <row r="19" spans="1:13" ht="16.5" x14ac:dyDescent="0.25">
      <c r="B19" s="3">
        <f t="shared" si="0"/>
        <v>13</v>
      </c>
      <c r="C19" s="15" t="s">
        <v>52</v>
      </c>
      <c r="D19" s="8" t="s">
        <v>54</v>
      </c>
      <c r="E19" s="37" t="s">
        <v>94</v>
      </c>
      <c r="F19" s="8" t="s">
        <v>53</v>
      </c>
      <c r="G19" s="14" t="s">
        <v>35</v>
      </c>
      <c r="H19" s="10">
        <v>2230000</v>
      </c>
      <c r="I19" s="10">
        <f t="shared" si="1"/>
        <v>1338000</v>
      </c>
      <c r="J19" s="16" t="s">
        <v>69</v>
      </c>
      <c r="K19" s="12"/>
      <c r="L19" s="12"/>
      <c r="M19" s="12"/>
    </row>
    <row r="20" spans="1:13" ht="16.5" x14ac:dyDescent="0.25">
      <c r="A20" s="40"/>
      <c r="B20" s="3">
        <f t="shared" si="0"/>
        <v>14</v>
      </c>
      <c r="C20" s="11" t="s">
        <v>80</v>
      </c>
      <c r="D20" s="3" t="s">
        <v>75</v>
      </c>
      <c r="E20" s="8">
        <v>38085004911</v>
      </c>
      <c r="F20" s="8" t="s">
        <v>13</v>
      </c>
      <c r="G20" s="14" t="s">
        <v>73</v>
      </c>
      <c r="H20" s="10">
        <v>2700000</v>
      </c>
      <c r="I20" s="10">
        <v>1350000</v>
      </c>
      <c r="J20" s="47" t="s">
        <v>26</v>
      </c>
      <c r="K20" s="35"/>
      <c r="L20" s="12"/>
      <c r="M20" s="12"/>
    </row>
    <row r="21" spans="1:13" ht="16.5" x14ac:dyDescent="0.25">
      <c r="A21" s="40"/>
      <c r="B21" s="3">
        <f t="shared" si="0"/>
        <v>15</v>
      </c>
      <c r="C21" s="11" t="s">
        <v>92</v>
      </c>
      <c r="D21" s="3" t="s">
        <v>88</v>
      </c>
      <c r="E21" s="44" t="s">
        <v>89</v>
      </c>
      <c r="F21" s="3" t="s">
        <v>90</v>
      </c>
      <c r="G21" s="37" t="s">
        <v>93</v>
      </c>
      <c r="H21" s="10">
        <v>1800000</v>
      </c>
      <c r="I21" s="10">
        <f t="shared" si="1"/>
        <v>1080000</v>
      </c>
      <c r="J21" s="16" t="s">
        <v>69</v>
      </c>
      <c r="K21" s="2"/>
      <c r="L21" s="12"/>
      <c r="M21" s="12"/>
    </row>
    <row r="22" spans="1:13" ht="16.5" x14ac:dyDescent="0.25">
      <c r="B22" s="3">
        <f t="shared" si="0"/>
        <v>16</v>
      </c>
      <c r="C22" s="16" t="s">
        <v>112</v>
      </c>
      <c r="D22" s="3" t="s">
        <v>6</v>
      </c>
      <c r="E22" s="3" t="s">
        <v>6</v>
      </c>
      <c r="F22" s="3" t="s">
        <v>6</v>
      </c>
      <c r="G22" s="14" t="s">
        <v>82</v>
      </c>
      <c r="H22" s="10">
        <v>930000</v>
      </c>
      <c r="I22" s="10">
        <v>540000</v>
      </c>
      <c r="J22" s="47" t="s">
        <v>26</v>
      </c>
      <c r="K22" s="2"/>
      <c r="L22" s="2"/>
      <c r="M22" s="12"/>
    </row>
    <row r="23" spans="1:13" ht="16.5" x14ac:dyDescent="0.25">
      <c r="B23" s="3">
        <f t="shared" si="0"/>
        <v>17</v>
      </c>
      <c r="C23" s="16" t="s">
        <v>113</v>
      </c>
      <c r="D23" s="3" t="s">
        <v>6</v>
      </c>
      <c r="E23" s="3" t="s">
        <v>6</v>
      </c>
      <c r="F23" s="3" t="s">
        <v>6</v>
      </c>
      <c r="G23" s="3" t="s">
        <v>83</v>
      </c>
      <c r="H23" s="3" t="s">
        <v>6</v>
      </c>
      <c r="I23" s="3" t="s">
        <v>6</v>
      </c>
      <c r="J23" s="3" t="s">
        <v>6</v>
      </c>
      <c r="K23" s="2"/>
      <c r="L23" s="2"/>
      <c r="M23" s="12"/>
    </row>
    <row r="24" spans="1:13" ht="16.5" x14ac:dyDescent="0.25">
      <c r="B24" s="3"/>
      <c r="C24" s="3"/>
      <c r="D24" s="3"/>
      <c r="E24" s="3"/>
      <c r="F24" s="3"/>
      <c r="G24" s="3"/>
      <c r="H24" s="3"/>
      <c r="I24" s="3"/>
      <c r="J24" s="3"/>
      <c r="K24" s="2"/>
      <c r="L24" s="2"/>
      <c r="M24" s="12"/>
    </row>
    <row r="26" spans="1:13" ht="22.5" x14ac:dyDescent="0.3">
      <c r="D26" s="23" t="s">
        <v>65</v>
      </c>
      <c r="E26" s="24">
        <v>0.6</v>
      </c>
      <c r="F26" s="25" t="s">
        <v>66</v>
      </c>
      <c r="H26" s="186" t="s">
        <v>29</v>
      </c>
      <c r="I26" s="186"/>
      <c r="J26" s="9">
        <f>SUM(H7:H1001)</f>
        <v>31500000</v>
      </c>
    </row>
    <row r="27" spans="1:13" ht="22.5" x14ac:dyDescent="0.3">
      <c r="H27" s="186" t="s">
        <v>30</v>
      </c>
      <c r="I27" s="186"/>
      <c r="J27" s="9">
        <f>SUM(I7:I1001)</f>
        <v>18612000</v>
      </c>
    </row>
    <row r="40" spans="2:4" x14ac:dyDescent="0.25">
      <c r="C40" s="34" t="s">
        <v>78</v>
      </c>
    </row>
    <row r="43" spans="2:4" x14ac:dyDescent="0.25">
      <c r="B43" s="22" t="s">
        <v>58</v>
      </c>
    </row>
    <row r="44" spans="2:4" ht="16.5" x14ac:dyDescent="0.25">
      <c r="B44" s="17" t="s">
        <v>14</v>
      </c>
    </row>
    <row r="45" spans="2:4" ht="16.5" x14ac:dyDescent="0.25">
      <c r="B45" s="18" t="s">
        <v>16</v>
      </c>
    </row>
    <row r="46" spans="2:4" ht="16.5" x14ac:dyDescent="0.25">
      <c r="B46" s="17" t="s">
        <v>17</v>
      </c>
    </row>
    <row r="47" spans="2:4" ht="16.5" x14ac:dyDescent="0.25">
      <c r="B47" s="18" t="s">
        <v>48</v>
      </c>
      <c r="D47" s="45" t="s">
        <v>72</v>
      </c>
    </row>
    <row r="48" spans="2:4" ht="16.5" x14ac:dyDescent="0.25">
      <c r="B48" s="17" t="s">
        <v>19</v>
      </c>
    </row>
    <row r="49" spans="2:2" ht="16.5" x14ac:dyDescent="0.25">
      <c r="B49" s="19" t="s">
        <v>56</v>
      </c>
    </row>
    <row r="50" spans="2:2" ht="16.5" x14ac:dyDescent="0.25">
      <c r="B50" s="20" t="s">
        <v>22</v>
      </c>
    </row>
    <row r="51" spans="2:2" ht="16.5" x14ac:dyDescent="0.25">
      <c r="B51" s="19" t="s">
        <v>32</v>
      </c>
    </row>
    <row r="52" spans="2:2" ht="16.5" x14ac:dyDescent="0.25">
      <c r="B52" s="20" t="s">
        <v>25</v>
      </c>
    </row>
    <row r="53" spans="2:2" ht="16.5" x14ac:dyDescent="0.25">
      <c r="B53" s="19" t="s">
        <v>27</v>
      </c>
    </row>
    <row r="54" spans="2:2" ht="16.5" x14ac:dyDescent="0.25">
      <c r="B54" s="20" t="s">
        <v>57</v>
      </c>
    </row>
    <row r="55" spans="2:2" ht="16.5" x14ac:dyDescent="0.25">
      <c r="B55" s="19" t="s">
        <v>36</v>
      </c>
    </row>
    <row r="56" spans="2:2" ht="16.5" x14ac:dyDescent="0.25">
      <c r="B56" s="21" t="s">
        <v>35</v>
      </c>
    </row>
  </sheetData>
  <sheetProtection sheet="1" objects="1" scenarios="1"/>
  <mergeCells count="4">
    <mergeCell ref="B2:K2"/>
    <mergeCell ref="B3:K3"/>
    <mergeCell ref="H26:I26"/>
    <mergeCell ref="H27:I27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12A8A-B885-4334-962B-CB7B56D25DB0}">
  <sheetPr codeName="Sheet8"/>
  <dimension ref="A2:P59"/>
  <sheetViews>
    <sheetView zoomScaleNormal="100" workbookViewId="0">
      <selection activeCell="Q26" sqref="Q26"/>
    </sheetView>
  </sheetViews>
  <sheetFormatPr defaultColWidth="9.140625" defaultRowHeight="15" x14ac:dyDescent="0.25"/>
  <cols>
    <col min="1" max="1" width="15.85546875" style="1" customWidth="1"/>
    <col min="2" max="2" width="19" style="1" customWidth="1"/>
    <col min="3" max="3" width="39.5703125" style="1" customWidth="1"/>
    <col min="4" max="4" width="16.5703125" style="1" customWidth="1"/>
    <col min="5" max="5" width="16" style="1" customWidth="1"/>
    <col min="6" max="6" width="25.140625" style="1" customWidth="1"/>
    <col min="7" max="7" width="22.28515625" style="1" customWidth="1"/>
    <col min="8" max="8" width="21.28515625" style="1" customWidth="1"/>
    <col min="9" max="9" width="20.28515625" style="1" customWidth="1"/>
    <col min="10" max="10" width="24.5703125" style="1" customWidth="1"/>
    <col min="11" max="11" width="23.42578125" style="1" hidden="1" customWidth="1"/>
    <col min="12" max="12" width="21" style="1" customWidth="1"/>
    <col min="13" max="13" width="19.42578125" style="1" customWidth="1"/>
    <col min="14" max="15" width="9.140625" style="1"/>
    <col min="16" max="16" width="16.85546875" style="1" customWidth="1"/>
    <col min="17" max="16384" width="9.140625" style="1"/>
  </cols>
  <sheetData>
    <row r="2" spans="2:16" ht="60.75" customHeight="1" x14ac:dyDescent="0.25">
      <c r="B2" s="183" t="s">
        <v>31</v>
      </c>
      <c r="C2" s="183"/>
      <c r="D2" s="183"/>
      <c r="E2" s="183"/>
      <c r="F2" s="183"/>
      <c r="G2" s="183"/>
      <c r="H2" s="183"/>
      <c r="I2" s="183"/>
      <c r="J2" s="183"/>
      <c r="K2" s="183"/>
    </row>
    <row r="3" spans="2:16" ht="30.75" x14ac:dyDescent="0.25">
      <c r="B3" s="184" t="s">
        <v>100</v>
      </c>
      <c r="C3" s="185"/>
      <c r="D3" s="185"/>
      <c r="E3" s="185"/>
      <c r="F3" s="185"/>
      <c r="G3" s="185"/>
      <c r="H3" s="185"/>
      <c r="I3" s="185"/>
      <c r="J3" s="185"/>
      <c r="K3" s="185"/>
    </row>
    <row r="4" spans="2:16" x14ac:dyDescent="0.25">
      <c r="J4" s="26"/>
    </row>
    <row r="6" spans="2:16" ht="20.25" x14ac:dyDescent="0.3">
      <c r="B6" s="5" t="s">
        <v>0</v>
      </c>
      <c r="C6" s="5" t="s">
        <v>1</v>
      </c>
      <c r="D6" s="5" t="s">
        <v>50</v>
      </c>
      <c r="E6" s="5" t="s">
        <v>2</v>
      </c>
      <c r="F6" s="5" t="s">
        <v>3</v>
      </c>
      <c r="G6" s="5" t="s">
        <v>49</v>
      </c>
      <c r="H6" s="5" t="s">
        <v>4</v>
      </c>
      <c r="I6" s="5" t="s">
        <v>20</v>
      </c>
      <c r="J6" s="5" t="s">
        <v>7</v>
      </c>
      <c r="K6" s="5" t="s">
        <v>5</v>
      </c>
      <c r="L6" s="5" t="s">
        <v>34</v>
      </c>
      <c r="M6" s="5" t="s">
        <v>51</v>
      </c>
      <c r="P6" s="48" t="s">
        <v>69</v>
      </c>
    </row>
    <row r="7" spans="2:16" ht="16.5" x14ac:dyDescent="0.25">
      <c r="B7" s="3">
        <v>1</v>
      </c>
      <c r="C7" s="11" t="s">
        <v>40</v>
      </c>
      <c r="D7" s="3" t="s">
        <v>8</v>
      </c>
      <c r="E7" s="4">
        <v>38096003688</v>
      </c>
      <c r="F7" s="3" t="s">
        <v>13</v>
      </c>
      <c r="G7" s="3" t="s">
        <v>14</v>
      </c>
      <c r="H7" s="10">
        <v>1710000</v>
      </c>
      <c r="I7" s="10">
        <v>1020000</v>
      </c>
      <c r="J7" s="16" t="s">
        <v>69</v>
      </c>
      <c r="K7" s="2"/>
      <c r="L7" s="12"/>
      <c r="M7" s="12"/>
      <c r="P7" s="47" t="s">
        <v>26</v>
      </c>
    </row>
    <row r="8" spans="2:16" ht="16.5" x14ac:dyDescent="0.25">
      <c r="B8" s="3">
        <f t="shared" ref="B8:B23" si="0">B7 +1</f>
        <v>2</v>
      </c>
      <c r="C8" s="11" t="s">
        <v>38</v>
      </c>
      <c r="D8" s="3" t="s">
        <v>9</v>
      </c>
      <c r="E8" s="4">
        <v>91203011680</v>
      </c>
      <c r="F8" s="3" t="s">
        <v>15</v>
      </c>
      <c r="G8" s="3" t="s">
        <v>16</v>
      </c>
      <c r="H8" s="10">
        <v>2400000</v>
      </c>
      <c r="I8" s="10">
        <f t="shared" ref="I8:I23" si="1">H8*$E$26</f>
        <v>1440000</v>
      </c>
      <c r="J8" s="47" t="s">
        <v>26</v>
      </c>
      <c r="K8" s="33" t="s">
        <v>72</v>
      </c>
      <c r="L8" s="12"/>
      <c r="M8" s="12"/>
      <c r="P8" s="45" t="s">
        <v>72</v>
      </c>
    </row>
    <row r="9" spans="2:16" ht="16.5" x14ac:dyDescent="0.25">
      <c r="B9" s="3">
        <f t="shared" si="0"/>
        <v>3</v>
      </c>
      <c r="C9" s="11" t="s">
        <v>41</v>
      </c>
      <c r="D9" s="3" t="s">
        <v>10</v>
      </c>
      <c r="E9" s="4">
        <v>89078016404</v>
      </c>
      <c r="F9" s="3" t="s">
        <v>18</v>
      </c>
      <c r="G9" s="3" t="s">
        <v>17</v>
      </c>
      <c r="H9" s="10">
        <v>700000</v>
      </c>
      <c r="I9" s="10">
        <f t="shared" si="1"/>
        <v>420000</v>
      </c>
      <c r="J9" s="16" t="s">
        <v>69</v>
      </c>
      <c r="K9" s="2"/>
      <c r="L9" s="12"/>
      <c r="M9" s="12"/>
    </row>
    <row r="10" spans="2:16" ht="16.5" x14ac:dyDescent="0.25">
      <c r="B10" s="3">
        <f t="shared" si="0"/>
        <v>4</v>
      </c>
      <c r="C10" s="11" t="s">
        <v>67</v>
      </c>
      <c r="D10" s="3" t="s">
        <v>11</v>
      </c>
      <c r="E10" s="4">
        <v>89099008054</v>
      </c>
      <c r="F10" s="3" t="s">
        <v>18</v>
      </c>
      <c r="G10" s="3" t="s">
        <v>48</v>
      </c>
      <c r="H10" s="10">
        <v>1920000</v>
      </c>
      <c r="I10" s="10">
        <f t="shared" si="1"/>
        <v>1152000</v>
      </c>
      <c r="J10" s="16" t="s">
        <v>69</v>
      </c>
      <c r="K10" s="41" t="s">
        <v>86</v>
      </c>
      <c r="L10" s="12"/>
      <c r="M10" s="12"/>
    </row>
    <row r="11" spans="2:16" ht="16.5" x14ac:dyDescent="0.25">
      <c r="B11" s="3">
        <f t="shared" si="0"/>
        <v>5</v>
      </c>
      <c r="C11" s="11" t="s">
        <v>39</v>
      </c>
      <c r="D11" s="4" t="s">
        <v>12</v>
      </c>
      <c r="E11" s="4">
        <v>91088020664</v>
      </c>
      <c r="F11" s="3" t="s">
        <v>15</v>
      </c>
      <c r="G11" s="3" t="s">
        <v>19</v>
      </c>
      <c r="H11" s="10">
        <v>1850000</v>
      </c>
      <c r="I11" s="10">
        <f t="shared" si="1"/>
        <v>1110000</v>
      </c>
      <c r="J11" s="47" t="s">
        <v>26</v>
      </c>
      <c r="K11" s="33" t="s">
        <v>72</v>
      </c>
      <c r="L11" s="12"/>
      <c r="M11" s="12"/>
    </row>
    <row r="12" spans="2:16" ht="16.5" x14ac:dyDescent="0.25">
      <c r="B12" s="3">
        <f t="shared" si="0"/>
        <v>6</v>
      </c>
      <c r="C12" s="11" t="s">
        <v>42</v>
      </c>
      <c r="D12" s="8" t="s">
        <v>59</v>
      </c>
      <c r="E12" s="8">
        <v>89082022656</v>
      </c>
      <c r="F12" s="8" t="s">
        <v>18</v>
      </c>
      <c r="G12" s="8" t="s">
        <v>56</v>
      </c>
      <c r="H12" s="10">
        <v>2010000</v>
      </c>
      <c r="I12" s="10">
        <f t="shared" si="1"/>
        <v>1206000</v>
      </c>
      <c r="J12" s="16" t="s">
        <v>69</v>
      </c>
      <c r="K12" s="2"/>
      <c r="L12" s="12"/>
      <c r="M12" s="13"/>
    </row>
    <row r="13" spans="2:16" ht="16.5" x14ac:dyDescent="0.25">
      <c r="B13" s="3">
        <f t="shared" si="0"/>
        <v>7</v>
      </c>
      <c r="C13" s="11" t="s">
        <v>43</v>
      </c>
      <c r="D13" s="8" t="s">
        <v>23</v>
      </c>
      <c r="E13" s="8">
        <v>42088019031</v>
      </c>
      <c r="F13" s="8" t="s">
        <v>21</v>
      </c>
      <c r="G13" s="8" t="s">
        <v>22</v>
      </c>
      <c r="H13" s="10">
        <v>1720000</v>
      </c>
      <c r="I13" s="10">
        <f t="shared" si="1"/>
        <v>1032000</v>
      </c>
      <c r="J13" s="16" t="s">
        <v>69</v>
      </c>
      <c r="K13" s="33" t="s">
        <v>72</v>
      </c>
      <c r="L13" s="12"/>
      <c r="M13" s="12"/>
    </row>
    <row r="14" spans="2:16" ht="16.5" x14ac:dyDescent="0.25">
      <c r="B14" s="3">
        <f t="shared" si="0"/>
        <v>8</v>
      </c>
      <c r="C14" s="11" t="s">
        <v>44</v>
      </c>
      <c r="D14" s="8" t="s">
        <v>33</v>
      </c>
      <c r="E14" s="8">
        <v>49202008987</v>
      </c>
      <c r="F14" s="8" t="s">
        <v>15</v>
      </c>
      <c r="G14" s="8" t="s">
        <v>32</v>
      </c>
      <c r="H14" s="10">
        <v>2080000</v>
      </c>
      <c r="I14" s="10">
        <f t="shared" si="1"/>
        <v>1248000</v>
      </c>
      <c r="J14" s="16" t="s">
        <v>69</v>
      </c>
      <c r="K14" s="2"/>
      <c r="L14" s="12"/>
      <c r="M14" s="13"/>
    </row>
    <row r="15" spans="2:16" ht="16.5" x14ac:dyDescent="0.25">
      <c r="B15" s="3">
        <f t="shared" si="0"/>
        <v>9</v>
      </c>
      <c r="C15" s="11" t="s">
        <v>45</v>
      </c>
      <c r="D15" s="8" t="s">
        <v>24</v>
      </c>
      <c r="E15" s="8">
        <v>93097001330</v>
      </c>
      <c r="F15" s="8" t="s">
        <v>60</v>
      </c>
      <c r="G15" s="8" t="s">
        <v>25</v>
      </c>
      <c r="H15" s="10">
        <v>1750000</v>
      </c>
      <c r="I15" s="10">
        <f t="shared" si="1"/>
        <v>1050000</v>
      </c>
      <c r="J15" s="16" t="s">
        <v>69</v>
      </c>
      <c r="K15" s="2"/>
      <c r="L15" s="12"/>
      <c r="M15" s="12"/>
    </row>
    <row r="16" spans="2:16" ht="16.5" x14ac:dyDescent="0.25">
      <c r="B16" s="3">
        <f t="shared" si="0"/>
        <v>10</v>
      </c>
      <c r="C16" s="11" t="s">
        <v>79</v>
      </c>
      <c r="D16" s="8" t="s">
        <v>61</v>
      </c>
      <c r="E16" s="8">
        <v>95095009661</v>
      </c>
      <c r="F16" s="8" t="s">
        <v>62</v>
      </c>
      <c r="G16" s="8" t="s">
        <v>27</v>
      </c>
      <c r="H16" s="10">
        <v>1830000</v>
      </c>
      <c r="I16" s="10">
        <f t="shared" si="1"/>
        <v>1098000</v>
      </c>
      <c r="J16" s="16" t="s">
        <v>69</v>
      </c>
      <c r="K16" s="2"/>
      <c r="L16" s="12"/>
      <c r="M16" s="12"/>
    </row>
    <row r="17" spans="1:13" ht="16.5" x14ac:dyDescent="0.25">
      <c r="B17" s="3">
        <f t="shared" si="0"/>
        <v>11</v>
      </c>
      <c r="C17" s="11" t="s">
        <v>98</v>
      </c>
      <c r="D17" s="8" t="s">
        <v>63</v>
      </c>
      <c r="E17" s="50">
        <v>91085001515</v>
      </c>
      <c r="F17" s="3" t="s">
        <v>18</v>
      </c>
      <c r="G17" s="8" t="s">
        <v>57</v>
      </c>
      <c r="H17" s="10">
        <v>1830000</v>
      </c>
      <c r="I17" s="10">
        <v>1116000</v>
      </c>
      <c r="J17" s="16" t="s">
        <v>69</v>
      </c>
      <c r="K17" s="2"/>
      <c r="L17" s="12"/>
      <c r="M17" s="12"/>
    </row>
    <row r="18" spans="1:13" ht="16.5" x14ac:dyDescent="0.25">
      <c r="B18" s="3">
        <f t="shared" si="0"/>
        <v>12</v>
      </c>
      <c r="C18" s="11" t="s">
        <v>37</v>
      </c>
      <c r="D18" s="8" t="s">
        <v>28</v>
      </c>
      <c r="E18" s="8">
        <v>42094001136</v>
      </c>
      <c r="F18" s="8" t="s">
        <v>15</v>
      </c>
      <c r="G18" s="8" t="s">
        <v>36</v>
      </c>
      <c r="H18" s="10">
        <v>2340000</v>
      </c>
      <c r="I18" s="10">
        <f t="shared" si="1"/>
        <v>1404000</v>
      </c>
      <c r="J18" s="47" t="s">
        <v>26</v>
      </c>
      <c r="K18" s="33" t="s">
        <v>72</v>
      </c>
      <c r="L18" s="12"/>
      <c r="M18" s="12"/>
    </row>
    <row r="19" spans="1:13" ht="16.5" x14ac:dyDescent="0.25">
      <c r="B19" s="3">
        <f t="shared" si="0"/>
        <v>13</v>
      </c>
      <c r="C19" s="15" t="s">
        <v>52</v>
      </c>
      <c r="D19" s="8" t="s">
        <v>54</v>
      </c>
      <c r="E19" s="37" t="s">
        <v>94</v>
      </c>
      <c r="F19" s="8" t="s">
        <v>53</v>
      </c>
      <c r="G19" s="14" t="s">
        <v>35</v>
      </c>
      <c r="H19" s="10">
        <v>2380000</v>
      </c>
      <c r="I19" s="10">
        <f t="shared" si="1"/>
        <v>1428000</v>
      </c>
      <c r="J19" s="16" t="s">
        <v>69</v>
      </c>
      <c r="K19" s="12"/>
      <c r="L19" s="12"/>
      <c r="M19" s="12"/>
    </row>
    <row r="20" spans="1:13" ht="16.5" x14ac:dyDescent="0.25">
      <c r="A20" s="40"/>
      <c r="B20" s="3">
        <f t="shared" si="0"/>
        <v>14</v>
      </c>
      <c r="C20" s="11" t="s">
        <v>80</v>
      </c>
      <c r="D20" s="3" t="s">
        <v>75</v>
      </c>
      <c r="E20" s="8">
        <v>38085004911</v>
      </c>
      <c r="F20" s="8" t="s">
        <v>13</v>
      </c>
      <c r="G20" s="14" t="s">
        <v>73</v>
      </c>
      <c r="H20" s="10">
        <v>1800000</v>
      </c>
      <c r="I20" s="10">
        <v>900000</v>
      </c>
      <c r="J20" s="47" t="s">
        <v>26</v>
      </c>
      <c r="K20" s="35"/>
      <c r="L20" s="12"/>
      <c r="M20" s="12"/>
    </row>
    <row r="21" spans="1:13" ht="16.5" x14ac:dyDescent="0.25">
      <c r="A21" s="40"/>
      <c r="B21" s="3">
        <f t="shared" si="0"/>
        <v>15</v>
      </c>
      <c r="C21" s="11" t="s">
        <v>92</v>
      </c>
      <c r="D21" s="3" t="s">
        <v>88</v>
      </c>
      <c r="E21" s="44" t="s">
        <v>89</v>
      </c>
      <c r="F21" s="3" t="s">
        <v>90</v>
      </c>
      <c r="G21" s="37" t="s">
        <v>93</v>
      </c>
      <c r="H21" s="10">
        <v>3810000</v>
      </c>
      <c r="I21" s="10">
        <f t="shared" si="1"/>
        <v>2286000</v>
      </c>
      <c r="J21" s="16" t="s">
        <v>69</v>
      </c>
      <c r="K21" s="2"/>
      <c r="L21" s="12"/>
      <c r="M21" s="12"/>
    </row>
    <row r="22" spans="1:13" ht="16.5" x14ac:dyDescent="0.25">
      <c r="B22" s="3">
        <f t="shared" si="0"/>
        <v>16</v>
      </c>
      <c r="C22" s="11" t="s">
        <v>103</v>
      </c>
      <c r="D22" s="3" t="s">
        <v>101</v>
      </c>
      <c r="E22" s="3">
        <v>70081001153</v>
      </c>
      <c r="F22" s="3" t="s">
        <v>102</v>
      </c>
      <c r="G22" s="14" t="s">
        <v>83</v>
      </c>
      <c r="H22" s="10">
        <v>900000</v>
      </c>
      <c r="I22" s="10">
        <f>H22*$E$26</f>
        <v>540000</v>
      </c>
      <c r="J22" s="47" t="s">
        <v>26</v>
      </c>
      <c r="K22" s="2"/>
      <c r="L22" s="2"/>
      <c r="M22" s="12"/>
    </row>
    <row r="23" spans="1:13" ht="16.5" x14ac:dyDescent="0.25">
      <c r="B23" s="3">
        <f t="shared" si="0"/>
        <v>17</v>
      </c>
      <c r="C23" s="11" t="s">
        <v>104</v>
      </c>
      <c r="D23" s="3" t="s">
        <v>106</v>
      </c>
      <c r="E23" s="3">
        <v>27068001194</v>
      </c>
      <c r="F23" s="3" t="s">
        <v>105</v>
      </c>
      <c r="G23" s="3" t="s">
        <v>82</v>
      </c>
      <c r="H23" s="10">
        <v>1100000</v>
      </c>
      <c r="I23" s="10">
        <f t="shared" si="1"/>
        <v>660000</v>
      </c>
      <c r="J23" s="47" t="s">
        <v>26</v>
      </c>
      <c r="K23" s="2"/>
      <c r="L23" s="2"/>
      <c r="M23" s="12"/>
    </row>
    <row r="24" spans="1:13" ht="16.5" x14ac:dyDescent="0.25">
      <c r="B24" s="3"/>
      <c r="C24" s="3"/>
      <c r="D24" s="3"/>
      <c r="E24" s="3"/>
      <c r="F24" s="3"/>
      <c r="G24" s="3"/>
      <c r="H24" s="3"/>
      <c r="I24" s="3"/>
      <c r="J24" s="3"/>
      <c r="K24" s="2"/>
      <c r="L24" s="2"/>
      <c r="M24" s="12"/>
    </row>
    <row r="26" spans="1:13" ht="22.5" x14ac:dyDescent="0.3">
      <c r="D26" s="23" t="s">
        <v>65</v>
      </c>
      <c r="E26" s="24">
        <v>0.6</v>
      </c>
      <c r="F26" s="25" t="s">
        <v>66</v>
      </c>
      <c r="H26" s="186" t="s">
        <v>29</v>
      </c>
      <c r="I26" s="186"/>
      <c r="J26" s="9">
        <f>SUM(H7:H1001)</f>
        <v>32130000</v>
      </c>
    </row>
    <row r="27" spans="1:13" ht="22.5" x14ac:dyDescent="0.3">
      <c r="H27" s="186" t="s">
        <v>30</v>
      </c>
      <c r="I27" s="186"/>
      <c r="J27" s="9">
        <f>SUM(I7:I1001)</f>
        <v>19110000</v>
      </c>
    </row>
    <row r="40" spans="2:4" x14ac:dyDescent="0.25">
      <c r="C40" s="34" t="s">
        <v>78</v>
      </c>
    </row>
    <row r="43" spans="2:4" x14ac:dyDescent="0.25">
      <c r="B43" s="22" t="s">
        <v>58</v>
      </c>
    </row>
    <row r="44" spans="2:4" ht="16.5" x14ac:dyDescent="0.25">
      <c r="B44" s="17" t="s">
        <v>14</v>
      </c>
    </row>
    <row r="45" spans="2:4" ht="16.5" x14ac:dyDescent="0.25">
      <c r="B45" s="18" t="s">
        <v>16</v>
      </c>
    </row>
    <row r="46" spans="2:4" ht="16.5" x14ac:dyDescent="0.25">
      <c r="B46" s="17" t="s">
        <v>17</v>
      </c>
    </row>
    <row r="47" spans="2:4" ht="16.5" x14ac:dyDescent="0.25">
      <c r="B47" s="18" t="s">
        <v>48</v>
      </c>
      <c r="D47" s="45" t="s">
        <v>72</v>
      </c>
    </row>
    <row r="48" spans="2:4" ht="16.5" x14ac:dyDescent="0.25">
      <c r="B48" s="17" t="s">
        <v>19</v>
      </c>
    </row>
    <row r="49" spans="2:2" ht="16.5" x14ac:dyDescent="0.25">
      <c r="B49" s="19" t="s">
        <v>56</v>
      </c>
    </row>
    <row r="50" spans="2:2" ht="16.5" x14ac:dyDescent="0.25">
      <c r="B50" s="20" t="s">
        <v>22</v>
      </c>
    </row>
    <row r="51" spans="2:2" ht="16.5" x14ac:dyDescent="0.25">
      <c r="B51" s="19" t="s">
        <v>32</v>
      </c>
    </row>
    <row r="52" spans="2:2" ht="16.5" x14ac:dyDescent="0.25">
      <c r="B52" s="20" t="s">
        <v>25</v>
      </c>
    </row>
    <row r="53" spans="2:2" ht="16.5" x14ac:dyDescent="0.25">
      <c r="B53" s="19" t="s">
        <v>27</v>
      </c>
    </row>
    <row r="54" spans="2:2" ht="16.5" x14ac:dyDescent="0.25">
      <c r="B54" s="20" t="s">
        <v>57</v>
      </c>
    </row>
    <row r="55" spans="2:2" ht="16.5" x14ac:dyDescent="0.25">
      <c r="B55" s="19" t="s">
        <v>36</v>
      </c>
    </row>
    <row r="56" spans="2:2" ht="16.5" x14ac:dyDescent="0.25">
      <c r="B56" s="21" t="s">
        <v>35</v>
      </c>
    </row>
    <row r="57" spans="2:2" ht="16.5" x14ac:dyDescent="0.25">
      <c r="B57" s="21" t="s">
        <v>83</v>
      </c>
    </row>
    <row r="58" spans="2:2" ht="17.25" thickBot="1" x14ac:dyDescent="0.3">
      <c r="B58" s="49" t="s">
        <v>82</v>
      </c>
    </row>
    <row r="59" spans="2:2" ht="15.75" thickTop="1" x14ac:dyDescent="0.25"/>
  </sheetData>
  <sheetProtection sheet="1" objects="1" scenarios="1"/>
  <mergeCells count="4">
    <mergeCell ref="B2:K2"/>
    <mergeCell ref="B3:K3"/>
    <mergeCell ref="H26:I26"/>
    <mergeCell ref="H27:I27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8C305-7CC5-4E0E-A313-9D8AB40EB321}">
  <sheetPr codeName="Sheet9"/>
  <dimension ref="A2:P59"/>
  <sheetViews>
    <sheetView zoomScale="85" zoomScaleNormal="85" workbookViewId="0">
      <selection activeCell="Q26" sqref="Q26"/>
    </sheetView>
  </sheetViews>
  <sheetFormatPr defaultColWidth="9.140625" defaultRowHeight="15" x14ac:dyDescent="0.25"/>
  <cols>
    <col min="1" max="1" width="15.85546875" style="1" customWidth="1"/>
    <col min="2" max="2" width="19" style="1" customWidth="1"/>
    <col min="3" max="3" width="39.5703125" style="1" customWidth="1"/>
    <col min="4" max="4" width="16.5703125" style="1" customWidth="1"/>
    <col min="5" max="5" width="16" style="1" customWidth="1"/>
    <col min="6" max="6" width="25.140625" style="1" customWidth="1"/>
    <col min="7" max="7" width="22.28515625" style="1" customWidth="1"/>
    <col min="8" max="8" width="21.28515625" style="1" customWidth="1"/>
    <col min="9" max="9" width="20.28515625" style="1" customWidth="1"/>
    <col min="10" max="10" width="24.5703125" style="1" customWidth="1"/>
    <col min="11" max="11" width="23.42578125" style="1" hidden="1" customWidth="1"/>
    <col min="12" max="12" width="21" style="1" customWidth="1"/>
    <col min="13" max="13" width="19.42578125" style="1" customWidth="1"/>
    <col min="14" max="15" width="9.140625" style="1"/>
    <col min="16" max="16" width="16.85546875" style="1" customWidth="1"/>
    <col min="17" max="16384" width="9.140625" style="1"/>
  </cols>
  <sheetData>
    <row r="2" spans="2:16" ht="60.75" customHeight="1" x14ac:dyDescent="0.25">
      <c r="B2" s="183" t="s">
        <v>31</v>
      </c>
      <c r="C2" s="183"/>
      <c r="D2" s="183"/>
      <c r="E2" s="183"/>
      <c r="F2" s="183"/>
      <c r="G2" s="183"/>
      <c r="H2" s="183"/>
      <c r="I2" s="183"/>
      <c r="J2" s="183"/>
      <c r="K2" s="183"/>
    </row>
    <row r="3" spans="2:16" ht="30.75" x14ac:dyDescent="0.25">
      <c r="B3" s="184" t="s">
        <v>107</v>
      </c>
      <c r="C3" s="185"/>
      <c r="D3" s="185"/>
      <c r="E3" s="185"/>
      <c r="F3" s="185"/>
      <c r="G3" s="185"/>
      <c r="H3" s="185"/>
      <c r="I3" s="185"/>
      <c r="J3" s="185"/>
      <c r="K3" s="185"/>
    </row>
    <row r="4" spans="2:16" x14ac:dyDescent="0.25">
      <c r="J4" s="26"/>
    </row>
    <row r="6" spans="2:16" ht="20.25" x14ac:dyDescent="0.3">
      <c r="B6" s="5" t="s">
        <v>0</v>
      </c>
      <c r="C6" s="5" t="s">
        <v>1</v>
      </c>
      <c r="D6" s="5" t="s">
        <v>50</v>
      </c>
      <c r="E6" s="5" t="s">
        <v>2</v>
      </c>
      <c r="F6" s="5" t="s">
        <v>3</v>
      </c>
      <c r="G6" s="5" t="s">
        <v>49</v>
      </c>
      <c r="H6" s="5" t="s">
        <v>4</v>
      </c>
      <c r="I6" s="5" t="s">
        <v>20</v>
      </c>
      <c r="J6" s="5" t="s">
        <v>7</v>
      </c>
      <c r="K6" s="5" t="s">
        <v>5</v>
      </c>
      <c r="L6" s="5" t="s">
        <v>34</v>
      </c>
      <c r="M6" s="5" t="s">
        <v>51</v>
      </c>
      <c r="P6" s="48" t="s">
        <v>69</v>
      </c>
    </row>
    <row r="7" spans="2:16" ht="16.5" x14ac:dyDescent="0.25">
      <c r="B7" s="3">
        <v>1</v>
      </c>
      <c r="C7" s="11" t="s">
        <v>40</v>
      </c>
      <c r="D7" s="3" t="s">
        <v>8</v>
      </c>
      <c r="E7" s="4">
        <v>38096003688</v>
      </c>
      <c r="F7" s="3" t="s">
        <v>13</v>
      </c>
      <c r="G7" s="3" t="s">
        <v>14</v>
      </c>
      <c r="H7" s="10">
        <v>1930000</v>
      </c>
      <c r="I7" s="10">
        <v>1150000</v>
      </c>
      <c r="J7" s="16" t="s">
        <v>69</v>
      </c>
      <c r="K7" s="2"/>
      <c r="L7" s="12"/>
      <c r="M7" s="12"/>
      <c r="P7" s="47" t="s">
        <v>26</v>
      </c>
    </row>
    <row r="8" spans="2:16" ht="16.5" x14ac:dyDescent="0.25">
      <c r="B8" s="3">
        <f t="shared" ref="B8:B23" si="0">B7 +1</f>
        <v>2</v>
      </c>
      <c r="C8" s="11" t="s">
        <v>38</v>
      </c>
      <c r="D8" s="3" t="s">
        <v>9</v>
      </c>
      <c r="E8" s="4">
        <v>91203011680</v>
      </c>
      <c r="F8" s="3" t="s">
        <v>15</v>
      </c>
      <c r="G8" s="3" t="s">
        <v>16</v>
      </c>
      <c r="H8" s="10">
        <v>1850000</v>
      </c>
      <c r="I8" s="10">
        <f t="shared" ref="I8:I19" si="1">H8*$E$26</f>
        <v>1110000</v>
      </c>
      <c r="J8" s="47" t="s">
        <v>26</v>
      </c>
      <c r="K8" s="33" t="s">
        <v>72</v>
      </c>
      <c r="L8" s="12"/>
      <c r="M8" s="12"/>
      <c r="P8" s="45" t="s">
        <v>72</v>
      </c>
    </row>
    <row r="9" spans="2:16" ht="16.5" x14ac:dyDescent="0.25">
      <c r="B9" s="3">
        <f t="shared" si="0"/>
        <v>3</v>
      </c>
      <c r="C9" s="11" t="s">
        <v>41</v>
      </c>
      <c r="D9" s="3" t="s">
        <v>10</v>
      </c>
      <c r="E9" s="4">
        <v>89078016404</v>
      </c>
      <c r="F9" s="3" t="s">
        <v>18</v>
      </c>
      <c r="G9" s="3" t="s">
        <v>17</v>
      </c>
      <c r="H9" s="10">
        <v>1400000</v>
      </c>
      <c r="I9" s="10">
        <f t="shared" si="1"/>
        <v>840000</v>
      </c>
      <c r="J9" s="16" t="s">
        <v>69</v>
      </c>
      <c r="K9" s="2"/>
      <c r="L9" s="12"/>
      <c r="M9" s="12"/>
    </row>
    <row r="10" spans="2:16" ht="16.5" x14ac:dyDescent="0.25">
      <c r="B10" s="3">
        <f t="shared" si="0"/>
        <v>4</v>
      </c>
      <c r="C10" s="11" t="s">
        <v>67</v>
      </c>
      <c r="D10" s="3" t="s">
        <v>11</v>
      </c>
      <c r="E10" s="4">
        <v>89099008054</v>
      </c>
      <c r="F10" s="3" t="s">
        <v>18</v>
      </c>
      <c r="G10" s="3" t="s">
        <v>48</v>
      </c>
      <c r="H10" s="10">
        <v>3310000</v>
      </c>
      <c r="I10" s="10">
        <f t="shared" si="1"/>
        <v>1986000</v>
      </c>
      <c r="J10" s="16" t="s">
        <v>69</v>
      </c>
      <c r="K10" s="41" t="s">
        <v>86</v>
      </c>
      <c r="L10" s="12"/>
      <c r="M10" s="12"/>
    </row>
    <row r="11" spans="2:16" ht="16.5" x14ac:dyDescent="0.25">
      <c r="B11" s="3">
        <f t="shared" si="0"/>
        <v>5</v>
      </c>
      <c r="C11" s="11" t="s">
        <v>39</v>
      </c>
      <c r="D11" s="4" t="s">
        <v>12</v>
      </c>
      <c r="E11" s="4">
        <v>91088020664</v>
      </c>
      <c r="F11" s="3" t="s">
        <v>15</v>
      </c>
      <c r="G11" s="3" t="s">
        <v>19</v>
      </c>
      <c r="H11" s="10">
        <v>1900000</v>
      </c>
      <c r="I11" s="10">
        <f t="shared" si="1"/>
        <v>1140000</v>
      </c>
      <c r="J11" s="47" t="s">
        <v>26</v>
      </c>
      <c r="K11" s="33" t="s">
        <v>72</v>
      </c>
      <c r="L11" s="12"/>
      <c r="M11" s="12"/>
    </row>
    <row r="12" spans="2:16" ht="16.5" x14ac:dyDescent="0.25">
      <c r="B12" s="3">
        <f t="shared" si="0"/>
        <v>6</v>
      </c>
      <c r="C12" s="11" t="s">
        <v>42</v>
      </c>
      <c r="D12" s="8" t="s">
        <v>59</v>
      </c>
      <c r="E12" s="8">
        <v>89082022656</v>
      </c>
      <c r="F12" s="8" t="s">
        <v>18</v>
      </c>
      <c r="G12" s="8" t="s">
        <v>56</v>
      </c>
      <c r="H12" s="10">
        <v>1810000</v>
      </c>
      <c r="I12" s="10">
        <f t="shared" si="1"/>
        <v>1086000</v>
      </c>
      <c r="J12" s="16" t="s">
        <v>69</v>
      </c>
      <c r="K12" s="2"/>
      <c r="L12" s="12"/>
      <c r="M12" s="13"/>
    </row>
    <row r="13" spans="2:16" ht="16.5" x14ac:dyDescent="0.25">
      <c r="B13" s="3">
        <f t="shared" si="0"/>
        <v>7</v>
      </c>
      <c r="C13" s="11" t="s">
        <v>43</v>
      </c>
      <c r="D13" s="8" t="s">
        <v>23</v>
      </c>
      <c r="E13" s="8">
        <v>42088019031</v>
      </c>
      <c r="F13" s="8" t="s">
        <v>21</v>
      </c>
      <c r="G13" s="8" t="s">
        <v>22</v>
      </c>
      <c r="H13" s="10">
        <v>2360000</v>
      </c>
      <c r="I13" s="10">
        <f t="shared" si="1"/>
        <v>1416000</v>
      </c>
      <c r="J13" s="16" t="s">
        <v>69</v>
      </c>
      <c r="K13" s="33" t="s">
        <v>72</v>
      </c>
      <c r="L13" s="12"/>
      <c r="M13" s="12"/>
    </row>
    <row r="14" spans="2:16" ht="16.5" x14ac:dyDescent="0.25">
      <c r="B14" s="3">
        <f t="shared" si="0"/>
        <v>8</v>
      </c>
      <c r="C14" s="11" t="s">
        <v>44</v>
      </c>
      <c r="D14" s="8" t="s">
        <v>33</v>
      </c>
      <c r="E14" s="8">
        <v>49202008987</v>
      </c>
      <c r="F14" s="8" t="s">
        <v>15</v>
      </c>
      <c r="G14" s="8" t="s">
        <v>32</v>
      </c>
      <c r="H14" s="10">
        <v>1390000</v>
      </c>
      <c r="I14" s="10">
        <f t="shared" si="1"/>
        <v>834000</v>
      </c>
      <c r="J14" s="16" t="s">
        <v>69</v>
      </c>
      <c r="K14" s="2"/>
      <c r="L14" s="12"/>
      <c r="M14" s="13"/>
    </row>
    <row r="15" spans="2:16" ht="16.5" x14ac:dyDescent="0.25">
      <c r="B15" s="3">
        <f t="shared" si="0"/>
        <v>9</v>
      </c>
      <c r="C15" s="11" t="s">
        <v>45</v>
      </c>
      <c r="D15" s="8" t="s">
        <v>24</v>
      </c>
      <c r="E15" s="8">
        <v>93097001330</v>
      </c>
      <c r="F15" s="8" t="s">
        <v>60</v>
      </c>
      <c r="G15" s="8" t="s">
        <v>25</v>
      </c>
      <c r="H15" s="10">
        <v>1400000</v>
      </c>
      <c r="I15" s="10">
        <f t="shared" si="1"/>
        <v>840000</v>
      </c>
      <c r="J15" s="16" t="s">
        <v>69</v>
      </c>
      <c r="K15" s="2"/>
      <c r="L15" s="12"/>
      <c r="M15" s="12"/>
    </row>
    <row r="16" spans="2:16" ht="16.5" x14ac:dyDescent="0.25">
      <c r="B16" s="3">
        <f t="shared" si="0"/>
        <v>10</v>
      </c>
      <c r="C16" s="51" t="s">
        <v>79</v>
      </c>
      <c r="D16" s="52" t="s">
        <v>61</v>
      </c>
      <c r="E16" s="52">
        <v>95095009661</v>
      </c>
      <c r="F16" s="52" t="s">
        <v>62</v>
      </c>
      <c r="G16" s="52" t="s">
        <v>27</v>
      </c>
      <c r="H16" s="53"/>
      <c r="I16" s="53">
        <f t="shared" si="1"/>
        <v>0</v>
      </c>
      <c r="J16" s="54" t="s">
        <v>108</v>
      </c>
      <c r="K16" s="55"/>
      <c r="L16" s="54" t="s">
        <v>108</v>
      </c>
      <c r="M16" s="12"/>
    </row>
    <row r="17" spans="1:13" ht="16.5" x14ac:dyDescent="0.25">
      <c r="B17" s="3">
        <f t="shared" si="0"/>
        <v>11</v>
      </c>
      <c r="C17" s="11" t="s">
        <v>98</v>
      </c>
      <c r="D17" s="8" t="s">
        <v>63</v>
      </c>
      <c r="E17" s="50">
        <v>91085001515</v>
      </c>
      <c r="F17" s="3" t="s">
        <v>18</v>
      </c>
      <c r="G17" s="8" t="s">
        <v>57</v>
      </c>
      <c r="H17" s="10">
        <v>1740000</v>
      </c>
      <c r="I17" s="10">
        <f t="shared" si="1"/>
        <v>1044000</v>
      </c>
      <c r="J17" s="16" t="s">
        <v>69</v>
      </c>
      <c r="K17" s="2"/>
      <c r="L17" s="12"/>
      <c r="M17" s="12"/>
    </row>
    <row r="18" spans="1:13" ht="16.5" x14ac:dyDescent="0.25">
      <c r="B18" s="3">
        <f t="shared" si="0"/>
        <v>12</v>
      </c>
      <c r="C18" s="11" t="s">
        <v>37</v>
      </c>
      <c r="D18" s="8" t="s">
        <v>28</v>
      </c>
      <c r="E18" s="8">
        <v>42094001136</v>
      </c>
      <c r="F18" s="8" t="s">
        <v>15</v>
      </c>
      <c r="G18" s="8" t="s">
        <v>36</v>
      </c>
      <c r="H18" s="10">
        <v>1690000</v>
      </c>
      <c r="I18" s="10">
        <f t="shared" si="1"/>
        <v>1014000</v>
      </c>
      <c r="J18" s="47" t="s">
        <v>26</v>
      </c>
      <c r="K18" s="33" t="s">
        <v>72</v>
      </c>
      <c r="L18" s="12"/>
      <c r="M18" s="12"/>
    </row>
    <row r="19" spans="1:13" ht="16.5" x14ac:dyDescent="0.25">
      <c r="B19" s="3">
        <f t="shared" si="0"/>
        <v>13</v>
      </c>
      <c r="C19" s="15" t="s">
        <v>52</v>
      </c>
      <c r="D19" s="8" t="s">
        <v>54</v>
      </c>
      <c r="E19" s="37" t="s">
        <v>94</v>
      </c>
      <c r="F19" s="8" t="s">
        <v>53</v>
      </c>
      <c r="G19" s="14" t="s">
        <v>35</v>
      </c>
      <c r="H19" s="10">
        <v>1750000</v>
      </c>
      <c r="I19" s="10">
        <f t="shared" si="1"/>
        <v>1050000</v>
      </c>
      <c r="J19" s="48" t="s">
        <v>69</v>
      </c>
      <c r="K19" s="12"/>
      <c r="L19" s="12"/>
      <c r="M19" s="12"/>
    </row>
    <row r="20" spans="1:13" ht="28.5" x14ac:dyDescent="0.25">
      <c r="A20" s="40"/>
      <c r="B20" s="3">
        <f t="shared" si="0"/>
        <v>14</v>
      </c>
      <c r="C20" s="11" t="s">
        <v>80</v>
      </c>
      <c r="D20" s="3" t="s">
        <v>75</v>
      </c>
      <c r="E20" s="8">
        <v>38085004911</v>
      </c>
      <c r="F20" s="8" t="s">
        <v>13</v>
      </c>
      <c r="G20" s="14" t="s">
        <v>73</v>
      </c>
      <c r="H20" s="10">
        <v>1750000</v>
      </c>
      <c r="I20" s="10">
        <v>875000</v>
      </c>
      <c r="J20" s="47" t="s">
        <v>26</v>
      </c>
      <c r="K20" s="35"/>
      <c r="L20" s="56" t="s">
        <v>114</v>
      </c>
      <c r="M20" s="12"/>
    </row>
    <row r="21" spans="1:13" ht="16.5" x14ac:dyDescent="0.25">
      <c r="A21" s="40"/>
      <c r="B21" s="3">
        <f t="shared" si="0"/>
        <v>15</v>
      </c>
      <c r="C21" s="11" t="s">
        <v>92</v>
      </c>
      <c r="D21" s="3" t="s">
        <v>88</v>
      </c>
      <c r="E21" s="44" t="s">
        <v>89</v>
      </c>
      <c r="F21" s="3" t="s">
        <v>90</v>
      </c>
      <c r="G21" s="37" t="s">
        <v>93</v>
      </c>
      <c r="H21" s="10">
        <v>1510000</v>
      </c>
      <c r="I21" s="10">
        <f>H21*$E$26</f>
        <v>906000</v>
      </c>
      <c r="J21" s="16" t="s">
        <v>69</v>
      </c>
      <c r="K21" s="2"/>
      <c r="L21" s="12"/>
      <c r="M21" s="12"/>
    </row>
    <row r="22" spans="1:13" ht="16.5" x14ac:dyDescent="0.25">
      <c r="B22" s="3">
        <f t="shared" si="0"/>
        <v>16</v>
      </c>
      <c r="C22" s="11" t="s">
        <v>103</v>
      </c>
      <c r="D22" s="3" t="s">
        <v>101</v>
      </c>
      <c r="E22" s="3">
        <v>70081001153</v>
      </c>
      <c r="F22" s="3" t="s">
        <v>102</v>
      </c>
      <c r="G22" s="14" t="s">
        <v>83</v>
      </c>
      <c r="H22" s="10">
        <v>1360000</v>
      </c>
      <c r="I22" s="10">
        <v>817000</v>
      </c>
      <c r="J22" s="47" t="s">
        <v>26</v>
      </c>
      <c r="K22" s="2"/>
      <c r="L22" s="2"/>
      <c r="M22" s="12"/>
    </row>
    <row r="23" spans="1:13" ht="16.5" x14ac:dyDescent="0.25">
      <c r="B23" s="3">
        <f t="shared" si="0"/>
        <v>17</v>
      </c>
      <c r="C23" s="11" t="s">
        <v>104</v>
      </c>
      <c r="D23" s="3" t="s">
        <v>106</v>
      </c>
      <c r="E23" s="3">
        <v>27068001194</v>
      </c>
      <c r="F23" s="3" t="s">
        <v>105</v>
      </c>
      <c r="G23" s="3" t="s">
        <v>82</v>
      </c>
      <c r="H23" s="10">
        <v>1350000</v>
      </c>
      <c r="I23" s="10">
        <f>H23*$E$26</f>
        <v>810000</v>
      </c>
      <c r="J23" s="47" t="s">
        <v>26</v>
      </c>
      <c r="K23" s="2"/>
      <c r="L23" s="2"/>
      <c r="M23" s="12"/>
    </row>
    <row r="24" spans="1:13" ht="16.5" x14ac:dyDescent="0.25">
      <c r="B24" s="3"/>
      <c r="C24" s="3"/>
      <c r="D24" s="3"/>
      <c r="E24" s="3"/>
      <c r="F24" s="3"/>
      <c r="G24" s="3"/>
      <c r="H24" s="3"/>
      <c r="I24" s="10">
        <f>H24*$E$26</f>
        <v>0</v>
      </c>
      <c r="J24" s="3"/>
      <c r="K24" s="2"/>
      <c r="L24" s="2"/>
      <c r="M24" s="12"/>
    </row>
    <row r="26" spans="1:13" ht="22.5" x14ac:dyDescent="0.3">
      <c r="D26" s="23" t="s">
        <v>65</v>
      </c>
      <c r="E26" s="24">
        <v>0.6</v>
      </c>
      <c r="F26" s="25" t="s">
        <v>66</v>
      </c>
      <c r="H26" s="186" t="s">
        <v>29</v>
      </c>
      <c r="I26" s="186"/>
      <c r="J26" s="9">
        <f>SUM(H7:H1001)</f>
        <v>28500000</v>
      </c>
    </row>
    <row r="27" spans="1:13" ht="22.5" x14ac:dyDescent="0.3">
      <c r="H27" s="186" t="s">
        <v>30</v>
      </c>
      <c r="I27" s="186"/>
      <c r="J27" s="9">
        <f>SUM(I7:I1001)</f>
        <v>16918000</v>
      </c>
    </row>
    <row r="40" spans="2:4" x14ac:dyDescent="0.25">
      <c r="C40" s="34" t="s">
        <v>78</v>
      </c>
    </row>
    <row r="43" spans="2:4" x14ac:dyDescent="0.25">
      <c r="B43" s="22" t="s">
        <v>58</v>
      </c>
    </row>
    <row r="44" spans="2:4" ht="16.5" x14ac:dyDescent="0.25">
      <c r="B44" s="17" t="s">
        <v>14</v>
      </c>
    </row>
    <row r="45" spans="2:4" ht="16.5" x14ac:dyDescent="0.25">
      <c r="B45" s="18" t="s">
        <v>16</v>
      </c>
    </row>
    <row r="46" spans="2:4" ht="16.5" x14ac:dyDescent="0.25">
      <c r="B46" s="17" t="s">
        <v>17</v>
      </c>
    </row>
    <row r="47" spans="2:4" ht="16.5" x14ac:dyDescent="0.25">
      <c r="B47" s="18" t="s">
        <v>48</v>
      </c>
      <c r="D47" s="45" t="s">
        <v>72</v>
      </c>
    </row>
    <row r="48" spans="2:4" ht="16.5" x14ac:dyDescent="0.25">
      <c r="B48" s="17" t="s">
        <v>19</v>
      </c>
    </row>
    <row r="49" spans="2:2" ht="16.5" x14ac:dyDescent="0.25">
      <c r="B49" s="19" t="s">
        <v>56</v>
      </c>
    </row>
    <row r="50" spans="2:2" ht="16.5" x14ac:dyDescent="0.25">
      <c r="B50" s="20" t="s">
        <v>22</v>
      </c>
    </row>
    <row r="51" spans="2:2" ht="16.5" x14ac:dyDescent="0.25">
      <c r="B51" s="19" t="s">
        <v>32</v>
      </c>
    </row>
    <row r="52" spans="2:2" ht="16.5" x14ac:dyDescent="0.25">
      <c r="B52" s="20" t="s">
        <v>25</v>
      </c>
    </row>
    <row r="53" spans="2:2" ht="16.5" x14ac:dyDescent="0.25">
      <c r="B53" s="19" t="s">
        <v>27</v>
      </c>
    </row>
    <row r="54" spans="2:2" ht="16.5" x14ac:dyDescent="0.25">
      <c r="B54" s="20" t="s">
        <v>57</v>
      </c>
    </row>
    <row r="55" spans="2:2" ht="16.5" x14ac:dyDescent="0.25">
      <c r="B55" s="19" t="s">
        <v>36</v>
      </c>
    </row>
    <row r="56" spans="2:2" ht="16.5" x14ac:dyDescent="0.25">
      <c r="B56" s="21" t="s">
        <v>35</v>
      </c>
    </row>
    <row r="57" spans="2:2" ht="16.5" x14ac:dyDescent="0.25">
      <c r="B57" s="21" t="s">
        <v>83</v>
      </c>
    </row>
    <row r="58" spans="2:2" ht="17.25" thickBot="1" x14ac:dyDescent="0.3">
      <c r="B58" s="49" t="s">
        <v>82</v>
      </c>
    </row>
    <row r="59" spans="2:2" ht="15.75" thickTop="1" x14ac:dyDescent="0.25"/>
  </sheetData>
  <sheetProtection sheet="1" objects="1" scenarios="1"/>
  <mergeCells count="4">
    <mergeCell ref="B2:K2"/>
    <mergeCell ref="B3:K3"/>
    <mergeCell ref="H26:I26"/>
    <mergeCell ref="H27:I27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421AD-4B15-4CE5-B032-F166D9527995}">
  <sheetPr codeName="Sheet10"/>
  <dimension ref="A2:P59"/>
  <sheetViews>
    <sheetView zoomScaleNormal="100" workbookViewId="0">
      <selection activeCell="I9" sqref="I9"/>
    </sheetView>
  </sheetViews>
  <sheetFormatPr defaultColWidth="9.140625" defaultRowHeight="15" x14ac:dyDescent="0.25"/>
  <cols>
    <col min="1" max="1" width="15.85546875" style="1" customWidth="1"/>
    <col min="2" max="2" width="19" style="1" customWidth="1"/>
    <col min="3" max="3" width="39.5703125" style="1" customWidth="1"/>
    <col min="4" max="4" width="3.28515625" style="1" customWidth="1"/>
    <col min="5" max="5" width="5" style="1" customWidth="1"/>
    <col min="6" max="6" width="7.140625" style="1" customWidth="1"/>
    <col min="7" max="7" width="22.28515625" style="1" customWidth="1"/>
    <col min="8" max="8" width="21.28515625" style="1" customWidth="1"/>
    <col min="9" max="9" width="20.28515625" style="1" customWidth="1"/>
    <col min="10" max="10" width="23.28515625" style="1" bestFit="1" customWidth="1"/>
    <col min="11" max="11" width="23.42578125" style="1" hidden="1" customWidth="1"/>
    <col min="12" max="12" width="21" style="1" customWidth="1"/>
    <col min="13" max="13" width="19.42578125" style="1" customWidth="1"/>
    <col min="14" max="15" width="9.140625" style="1"/>
    <col min="16" max="16" width="16.85546875" style="1" customWidth="1"/>
    <col min="17" max="16384" width="9.140625" style="1"/>
  </cols>
  <sheetData>
    <row r="2" spans="2:16" ht="60.75" customHeight="1" x14ac:dyDescent="0.25">
      <c r="B2" s="183" t="s">
        <v>31</v>
      </c>
      <c r="C2" s="183"/>
      <c r="D2" s="183"/>
      <c r="E2" s="183"/>
      <c r="F2" s="183"/>
      <c r="G2" s="183"/>
      <c r="H2" s="183"/>
      <c r="I2" s="183"/>
      <c r="J2" s="183"/>
      <c r="K2" s="183"/>
    </row>
    <row r="3" spans="2:16" ht="30.75" x14ac:dyDescent="0.25">
      <c r="B3" s="184" t="s">
        <v>109</v>
      </c>
      <c r="C3" s="185"/>
      <c r="D3" s="185"/>
      <c r="E3" s="185"/>
      <c r="F3" s="185"/>
      <c r="G3" s="185"/>
      <c r="H3" s="185"/>
      <c r="I3" s="185"/>
      <c r="J3" s="185"/>
      <c r="K3" s="185"/>
    </row>
    <row r="4" spans="2:16" x14ac:dyDescent="0.25">
      <c r="J4" s="26"/>
    </row>
    <row r="6" spans="2:16" ht="20.25" x14ac:dyDescent="0.3">
      <c r="B6" s="5" t="s">
        <v>0</v>
      </c>
      <c r="C6" s="5" t="s">
        <v>1</v>
      </c>
      <c r="D6" s="5" t="s">
        <v>50</v>
      </c>
      <c r="E6" s="5" t="s">
        <v>2</v>
      </c>
      <c r="F6" s="5" t="s">
        <v>3</v>
      </c>
      <c r="G6" s="5" t="s">
        <v>49</v>
      </c>
      <c r="H6" s="5" t="s">
        <v>4</v>
      </c>
      <c r="I6" s="5" t="s">
        <v>20</v>
      </c>
      <c r="J6" s="5" t="s">
        <v>7</v>
      </c>
      <c r="K6" s="5" t="s">
        <v>5</v>
      </c>
      <c r="L6" s="5" t="s">
        <v>34</v>
      </c>
      <c r="M6" s="5" t="s">
        <v>51</v>
      </c>
      <c r="P6" s="48" t="s">
        <v>69</v>
      </c>
    </row>
    <row r="7" spans="2:16" ht="16.5" x14ac:dyDescent="0.25">
      <c r="B7" s="3">
        <v>1</v>
      </c>
      <c r="C7" s="11" t="s">
        <v>40</v>
      </c>
      <c r="D7" s="44" t="s">
        <v>8</v>
      </c>
      <c r="E7" s="57">
        <v>38096003688</v>
      </c>
      <c r="F7" s="44" t="s">
        <v>13</v>
      </c>
      <c r="G7" s="44" t="s">
        <v>14</v>
      </c>
      <c r="H7" s="10">
        <v>2060000</v>
      </c>
      <c r="I7" s="10">
        <v>1230000</v>
      </c>
      <c r="J7" s="62" t="s">
        <v>69</v>
      </c>
      <c r="K7" s="2"/>
      <c r="L7" s="12"/>
      <c r="M7" s="12"/>
      <c r="P7" s="47" t="s">
        <v>26</v>
      </c>
    </row>
    <row r="8" spans="2:16" ht="16.5" x14ac:dyDescent="0.25">
      <c r="B8" s="3">
        <f t="shared" ref="B8:B23" si="0">B7 +1</f>
        <v>2</v>
      </c>
      <c r="C8" s="11" t="s">
        <v>38</v>
      </c>
      <c r="D8" s="44" t="s">
        <v>9</v>
      </c>
      <c r="E8" s="57">
        <v>91203011680</v>
      </c>
      <c r="F8" s="44" t="s">
        <v>15</v>
      </c>
      <c r="G8" s="44" t="s">
        <v>16</v>
      </c>
      <c r="H8" s="10">
        <v>1890000</v>
      </c>
      <c r="I8" s="10">
        <v>1135000</v>
      </c>
      <c r="J8" s="47" t="s">
        <v>26</v>
      </c>
      <c r="K8" s="33" t="s">
        <v>72</v>
      </c>
      <c r="L8" s="12"/>
      <c r="M8" s="12"/>
      <c r="P8" s="45" t="s">
        <v>72</v>
      </c>
    </row>
    <row r="9" spans="2:16" ht="16.5" x14ac:dyDescent="0.25">
      <c r="B9" s="3">
        <f t="shared" si="0"/>
        <v>3</v>
      </c>
      <c r="C9" s="11" t="s">
        <v>41</v>
      </c>
      <c r="D9" s="44" t="s">
        <v>10</v>
      </c>
      <c r="E9" s="57">
        <v>89078016404</v>
      </c>
      <c r="F9" s="44" t="s">
        <v>18</v>
      </c>
      <c r="G9" s="44" t="s">
        <v>17</v>
      </c>
      <c r="H9" s="10">
        <v>1810000</v>
      </c>
      <c r="I9" s="10">
        <f t="shared" ref="I9:I23" si="1">H9*$E$26</f>
        <v>1086000</v>
      </c>
      <c r="J9" s="45" t="s">
        <v>72</v>
      </c>
      <c r="K9" s="2"/>
      <c r="L9" s="12"/>
      <c r="M9" s="12"/>
    </row>
    <row r="10" spans="2:16" ht="16.5" x14ac:dyDescent="0.25">
      <c r="B10" s="3">
        <f t="shared" si="0"/>
        <v>4</v>
      </c>
      <c r="C10" s="11" t="s">
        <v>67</v>
      </c>
      <c r="D10" s="44" t="s">
        <v>11</v>
      </c>
      <c r="E10" s="57">
        <v>89099008054</v>
      </c>
      <c r="F10" s="44" t="s">
        <v>18</v>
      </c>
      <c r="G10" s="44" t="s">
        <v>48</v>
      </c>
      <c r="H10" s="10">
        <v>2980000</v>
      </c>
      <c r="I10" s="10">
        <f t="shared" si="1"/>
        <v>1788000</v>
      </c>
      <c r="J10" s="62" t="s">
        <v>69</v>
      </c>
      <c r="K10" s="43"/>
      <c r="L10" s="62"/>
      <c r="M10" s="12"/>
    </row>
    <row r="11" spans="2:16" ht="16.5" x14ac:dyDescent="0.25">
      <c r="B11" s="3">
        <f>B10 +1</f>
        <v>5</v>
      </c>
      <c r="C11" s="11" t="s">
        <v>39</v>
      </c>
      <c r="D11" s="57" t="s">
        <v>12</v>
      </c>
      <c r="E11" s="57">
        <v>91088020664</v>
      </c>
      <c r="F11" s="44" t="s">
        <v>15</v>
      </c>
      <c r="G11" s="44" t="s">
        <v>19</v>
      </c>
      <c r="H11" s="10">
        <v>750000</v>
      </c>
      <c r="I11" s="10">
        <f t="shared" si="1"/>
        <v>450000</v>
      </c>
      <c r="J11" s="47" t="s">
        <v>26</v>
      </c>
      <c r="K11" s="33" t="s">
        <v>72</v>
      </c>
      <c r="L11" s="12"/>
      <c r="M11" s="12"/>
    </row>
    <row r="12" spans="2:16" ht="16.5" x14ac:dyDescent="0.25">
      <c r="B12" s="3">
        <f t="shared" si="0"/>
        <v>6</v>
      </c>
      <c r="C12" s="11" t="s">
        <v>42</v>
      </c>
      <c r="D12" s="58" t="s">
        <v>59</v>
      </c>
      <c r="E12" s="58">
        <v>89082022656</v>
      </c>
      <c r="F12" s="58" t="s">
        <v>18</v>
      </c>
      <c r="G12" s="58" t="s">
        <v>56</v>
      </c>
      <c r="H12" s="10">
        <v>1630000</v>
      </c>
      <c r="I12" s="10">
        <f t="shared" si="1"/>
        <v>978000</v>
      </c>
      <c r="J12" s="62" t="s">
        <v>69</v>
      </c>
      <c r="K12" s="2"/>
      <c r="L12" s="12"/>
      <c r="M12" s="13"/>
    </row>
    <row r="13" spans="2:16" ht="16.5" x14ac:dyDescent="0.25">
      <c r="B13" s="3">
        <f t="shared" si="0"/>
        <v>7</v>
      </c>
      <c r="C13" s="11" t="s">
        <v>43</v>
      </c>
      <c r="D13" s="58" t="s">
        <v>23</v>
      </c>
      <c r="E13" s="58">
        <v>42088019031</v>
      </c>
      <c r="F13" s="58" t="s">
        <v>21</v>
      </c>
      <c r="G13" s="58" t="s">
        <v>22</v>
      </c>
      <c r="H13" s="10">
        <v>1960000</v>
      </c>
      <c r="I13" s="10">
        <f t="shared" si="1"/>
        <v>1176000</v>
      </c>
      <c r="J13" s="48" t="s">
        <v>69</v>
      </c>
      <c r="K13" s="33" t="s">
        <v>72</v>
      </c>
      <c r="L13" s="12"/>
      <c r="M13" s="12"/>
    </row>
    <row r="14" spans="2:16" ht="16.5" x14ac:dyDescent="0.25">
      <c r="B14" s="3">
        <f t="shared" si="0"/>
        <v>8</v>
      </c>
      <c r="C14" s="11" t="s">
        <v>44</v>
      </c>
      <c r="D14" s="58" t="s">
        <v>33</v>
      </c>
      <c r="E14" s="58">
        <v>49202008987</v>
      </c>
      <c r="F14" s="58" t="s">
        <v>15</v>
      </c>
      <c r="G14" s="58" t="s">
        <v>32</v>
      </c>
      <c r="H14" s="10">
        <v>3249000</v>
      </c>
      <c r="I14" s="10">
        <v>1950000</v>
      </c>
      <c r="J14" s="62" t="s">
        <v>69</v>
      </c>
      <c r="K14" s="2"/>
      <c r="L14" s="12"/>
      <c r="M14" s="13"/>
    </row>
    <row r="15" spans="2:16" ht="16.5" x14ac:dyDescent="0.25">
      <c r="B15" s="3">
        <f t="shared" si="0"/>
        <v>9</v>
      </c>
      <c r="C15" s="11" t="s">
        <v>45</v>
      </c>
      <c r="D15" s="58" t="s">
        <v>24</v>
      </c>
      <c r="E15" s="58">
        <v>93097001330</v>
      </c>
      <c r="F15" s="58" t="s">
        <v>60</v>
      </c>
      <c r="G15" s="58" t="s">
        <v>25</v>
      </c>
      <c r="H15" s="10">
        <v>1800000</v>
      </c>
      <c r="I15" s="10">
        <f t="shared" si="1"/>
        <v>1080000</v>
      </c>
      <c r="J15" s="62" t="s">
        <v>69</v>
      </c>
      <c r="K15" s="2"/>
      <c r="L15" s="12"/>
      <c r="M15" s="12"/>
    </row>
    <row r="16" spans="2:16" ht="16.5" x14ac:dyDescent="0.25">
      <c r="B16" s="3">
        <f t="shared" si="0"/>
        <v>10</v>
      </c>
      <c r="C16" s="11" t="s">
        <v>79</v>
      </c>
      <c r="D16" s="58" t="s">
        <v>61</v>
      </c>
      <c r="E16" s="58">
        <v>95095009661</v>
      </c>
      <c r="F16" s="58" t="s">
        <v>62</v>
      </c>
      <c r="G16" s="58" t="s">
        <v>27</v>
      </c>
      <c r="H16" s="10">
        <v>1950000</v>
      </c>
      <c r="I16" s="10">
        <f t="shared" si="1"/>
        <v>1170000</v>
      </c>
      <c r="J16" s="62" t="s">
        <v>69</v>
      </c>
      <c r="K16" s="2"/>
      <c r="L16" s="16"/>
      <c r="M16" s="12"/>
    </row>
    <row r="17" spans="1:13" ht="16.5" x14ac:dyDescent="0.25">
      <c r="B17" s="3">
        <f t="shared" si="0"/>
        <v>11</v>
      </c>
      <c r="C17" s="11" t="s">
        <v>98</v>
      </c>
      <c r="D17" s="58" t="s">
        <v>63</v>
      </c>
      <c r="E17" s="59">
        <v>91085001515</v>
      </c>
      <c r="F17" s="44" t="s">
        <v>18</v>
      </c>
      <c r="G17" s="58" t="s">
        <v>57</v>
      </c>
      <c r="H17" s="10">
        <v>1780000</v>
      </c>
      <c r="I17" s="10">
        <f t="shared" si="1"/>
        <v>1068000</v>
      </c>
      <c r="J17" s="62" t="s">
        <v>69</v>
      </c>
      <c r="K17" s="2"/>
      <c r="L17" s="12"/>
      <c r="M17" s="12"/>
    </row>
    <row r="18" spans="1:13" ht="16.5" x14ac:dyDescent="0.25">
      <c r="B18" s="3">
        <f t="shared" si="0"/>
        <v>12</v>
      </c>
      <c r="C18" s="11" t="s">
        <v>37</v>
      </c>
      <c r="D18" s="58" t="s">
        <v>28</v>
      </c>
      <c r="E18" s="58">
        <v>42094001136</v>
      </c>
      <c r="F18" s="58" t="s">
        <v>15</v>
      </c>
      <c r="G18" s="58" t="s">
        <v>36</v>
      </c>
      <c r="H18" s="10">
        <v>1550000</v>
      </c>
      <c r="I18" s="10">
        <f t="shared" si="1"/>
        <v>930000</v>
      </c>
      <c r="J18" s="47" t="s">
        <v>26</v>
      </c>
      <c r="K18" s="33" t="s">
        <v>72</v>
      </c>
      <c r="L18" s="12"/>
      <c r="M18" s="12"/>
    </row>
    <row r="19" spans="1:13" ht="16.5" x14ac:dyDescent="0.25">
      <c r="B19" s="3">
        <f t="shared" si="0"/>
        <v>13</v>
      </c>
      <c r="C19" s="15" t="s">
        <v>52</v>
      </c>
      <c r="D19" s="58" t="s">
        <v>54</v>
      </c>
      <c r="E19" s="60" t="s">
        <v>94</v>
      </c>
      <c r="F19" s="58" t="s">
        <v>53</v>
      </c>
      <c r="G19" s="61" t="s">
        <v>35</v>
      </c>
      <c r="H19" s="10">
        <v>2110000</v>
      </c>
      <c r="I19" s="10">
        <v>1260000</v>
      </c>
      <c r="J19" s="62" t="s">
        <v>69</v>
      </c>
      <c r="K19" s="12"/>
      <c r="L19" s="12"/>
      <c r="M19" s="12"/>
    </row>
    <row r="20" spans="1:13" ht="16.5" x14ac:dyDescent="0.25">
      <c r="A20" s="40"/>
      <c r="B20" s="3">
        <f t="shared" si="0"/>
        <v>14</v>
      </c>
      <c r="C20" s="11" t="s">
        <v>80</v>
      </c>
      <c r="D20" s="44" t="s">
        <v>75</v>
      </c>
      <c r="E20" s="58">
        <v>38085004911</v>
      </c>
      <c r="F20" s="58" t="s">
        <v>13</v>
      </c>
      <c r="G20" s="61" t="s">
        <v>73</v>
      </c>
      <c r="H20" s="10"/>
      <c r="I20" s="10">
        <f t="shared" si="1"/>
        <v>0</v>
      </c>
      <c r="J20" s="45" t="s">
        <v>72</v>
      </c>
      <c r="K20" s="35"/>
      <c r="L20" s="12"/>
      <c r="M20" s="12"/>
    </row>
    <row r="21" spans="1:13" ht="16.5" x14ac:dyDescent="0.25">
      <c r="A21" s="40"/>
      <c r="B21" s="3">
        <f t="shared" si="0"/>
        <v>15</v>
      </c>
      <c r="C21" s="11" t="s">
        <v>92</v>
      </c>
      <c r="D21" s="44" t="s">
        <v>88</v>
      </c>
      <c r="E21" s="44" t="s">
        <v>89</v>
      </c>
      <c r="F21" s="44" t="s">
        <v>90</v>
      </c>
      <c r="G21" s="60" t="s">
        <v>93</v>
      </c>
      <c r="H21" s="10"/>
      <c r="I21" s="10">
        <f t="shared" si="1"/>
        <v>0</v>
      </c>
      <c r="J21" s="45" t="s">
        <v>72</v>
      </c>
      <c r="K21" s="2"/>
      <c r="L21" s="12"/>
      <c r="M21" s="12"/>
    </row>
    <row r="22" spans="1:13" ht="16.5" x14ac:dyDescent="0.25">
      <c r="B22" s="3">
        <f t="shared" si="0"/>
        <v>16</v>
      </c>
      <c r="C22" s="11" t="s">
        <v>103</v>
      </c>
      <c r="D22" s="44" t="s">
        <v>101</v>
      </c>
      <c r="E22" s="44">
        <v>70081001153</v>
      </c>
      <c r="F22" s="44" t="s">
        <v>102</v>
      </c>
      <c r="G22" s="61" t="s">
        <v>83</v>
      </c>
      <c r="H22" s="10">
        <v>1550000</v>
      </c>
      <c r="I22" s="10">
        <f t="shared" si="1"/>
        <v>930000</v>
      </c>
      <c r="J22" s="47" t="s">
        <v>26</v>
      </c>
      <c r="K22" s="2"/>
      <c r="L22" s="2"/>
      <c r="M22" s="12"/>
    </row>
    <row r="23" spans="1:13" ht="16.5" x14ac:dyDescent="0.25">
      <c r="B23" s="3">
        <f t="shared" si="0"/>
        <v>17</v>
      </c>
      <c r="C23" s="11" t="s">
        <v>104</v>
      </c>
      <c r="D23" s="44" t="s">
        <v>106</v>
      </c>
      <c r="E23" s="44">
        <v>27068001194</v>
      </c>
      <c r="F23" s="44" t="s">
        <v>105</v>
      </c>
      <c r="G23" s="44" t="s">
        <v>82</v>
      </c>
      <c r="H23" s="10">
        <v>1800000</v>
      </c>
      <c r="I23" s="10">
        <f t="shared" si="1"/>
        <v>1080000</v>
      </c>
      <c r="J23" s="47" t="s">
        <v>26</v>
      </c>
      <c r="K23" s="2"/>
      <c r="L23" s="2"/>
      <c r="M23" s="12"/>
    </row>
    <row r="24" spans="1:13" ht="16.5" x14ac:dyDescent="0.25">
      <c r="B24" s="3"/>
      <c r="C24" s="3"/>
      <c r="D24" s="3"/>
      <c r="E24" s="3"/>
      <c r="F24" s="3"/>
      <c r="G24" s="3"/>
      <c r="H24" s="3"/>
      <c r="I24" s="10">
        <f>H24*$E$26</f>
        <v>0</v>
      </c>
      <c r="J24" s="3"/>
      <c r="K24" s="2"/>
      <c r="L24" s="2"/>
      <c r="M24" s="12"/>
    </row>
    <row r="26" spans="1:13" ht="22.5" x14ac:dyDescent="0.3">
      <c r="C26" s="23" t="s">
        <v>65</v>
      </c>
      <c r="E26" s="24">
        <v>0.6</v>
      </c>
      <c r="F26" s="25" t="s">
        <v>66</v>
      </c>
      <c r="H26" s="186" t="s">
        <v>29</v>
      </c>
      <c r="I26" s="186"/>
      <c r="J26" s="9">
        <f>SUM(H7:H1001)</f>
        <v>28869000</v>
      </c>
    </row>
    <row r="27" spans="1:13" ht="22.5" x14ac:dyDescent="0.3">
      <c r="H27" s="186" t="s">
        <v>30</v>
      </c>
      <c r="I27" s="186"/>
      <c r="J27" s="9">
        <f>SUM(I7:I1001)</f>
        <v>17311000</v>
      </c>
    </row>
    <row r="40" spans="2:4" x14ac:dyDescent="0.25">
      <c r="C40" s="34" t="s">
        <v>78</v>
      </c>
    </row>
    <row r="43" spans="2:4" x14ac:dyDescent="0.25">
      <c r="B43" s="22" t="s">
        <v>58</v>
      </c>
    </row>
    <row r="44" spans="2:4" ht="16.5" x14ac:dyDescent="0.25">
      <c r="B44" s="17" t="s">
        <v>14</v>
      </c>
    </row>
    <row r="45" spans="2:4" ht="16.5" x14ac:dyDescent="0.25">
      <c r="B45" s="18" t="s">
        <v>16</v>
      </c>
    </row>
    <row r="46" spans="2:4" ht="16.5" x14ac:dyDescent="0.25">
      <c r="B46" s="17" t="s">
        <v>17</v>
      </c>
      <c r="D46" s="45" t="s">
        <v>72</v>
      </c>
    </row>
    <row r="47" spans="2:4" ht="16.5" x14ac:dyDescent="0.25">
      <c r="B47" s="18" t="s">
        <v>48</v>
      </c>
    </row>
    <row r="48" spans="2:4" ht="16.5" x14ac:dyDescent="0.25">
      <c r="B48" s="17" t="s">
        <v>19</v>
      </c>
    </row>
    <row r="49" spans="2:2" ht="16.5" x14ac:dyDescent="0.25">
      <c r="B49" s="19" t="s">
        <v>56</v>
      </c>
    </row>
    <row r="50" spans="2:2" ht="16.5" x14ac:dyDescent="0.25">
      <c r="B50" s="20" t="s">
        <v>22</v>
      </c>
    </row>
    <row r="51" spans="2:2" ht="16.5" x14ac:dyDescent="0.25">
      <c r="B51" s="19" t="s">
        <v>32</v>
      </c>
    </row>
    <row r="52" spans="2:2" ht="16.5" x14ac:dyDescent="0.25">
      <c r="B52" s="20" t="s">
        <v>25</v>
      </c>
    </row>
    <row r="53" spans="2:2" ht="16.5" x14ac:dyDescent="0.25">
      <c r="B53" s="19" t="s">
        <v>27</v>
      </c>
    </row>
    <row r="54" spans="2:2" ht="16.5" x14ac:dyDescent="0.25">
      <c r="B54" s="20" t="s">
        <v>57</v>
      </c>
    </row>
    <row r="55" spans="2:2" ht="16.5" x14ac:dyDescent="0.25">
      <c r="B55" s="19" t="s">
        <v>36</v>
      </c>
    </row>
    <row r="56" spans="2:2" ht="16.5" x14ac:dyDescent="0.25">
      <c r="B56" s="21" t="s">
        <v>35</v>
      </c>
    </row>
    <row r="57" spans="2:2" ht="16.5" x14ac:dyDescent="0.25">
      <c r="B57" s="21" t="s">
        <v>83</v>
      </c>
    </row>
    <row r="58" spans="2:2" ht="17.25" thickBot="1" x14ac:dyDescent="0.3">
      <c r="B58" s="49" t="s">
        <v>82</v>
      </c>
    </row>
    <row r="59" spans="2:2" ht="15.75" thickTop="1" x14ac:dyDescent="0.25"/>
  </sheetData>
  <mergeCells count="4">
    <mergeCell ref="B2:K2"/>
    <mergeCell ref="B3:K3"/>
    <mergeCell ref="H26:I26"/>
    <mergeCell ref="H27:I27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E8C80-CBE2-48BF-843C-1350BA3E0031}">
  <sheetPr codeName="Sheet11"/>
  <dimension ref="A1:P42"/>
  <sheetViews>
    <sheetView topLeftCell="A3" workbookViewId="0">
      <selection activeCell="Q26" sqref="Q26"/>
    </sheetView>
  </sheetViews>
  <sheetFormatPr defaultRowHeight="15" x14ac:dyDescent="0.25"/>
  <cols>
    <col min="1" max="1" width="18.28515625" customWidth="1"/>
    <col min="3" max="3" width="42.140625" customWidth="1"/>
    <col min="4" max="6" width="0" hidden="1" customWidth="1"/>
    <col min="7" max="7" width="19.5703125" customWidth="1"/>
    <col min="8" max="8" width="20.42578125" customWidth="1"/>
    <col min="9" max="9" width="20.7109375" customWidth="1"/>
    <col min="10" max="10" width="20.140625" customWidth="1"/>
    <col min="11" max="12" width="19.42578125" customWidth="1"/>
    <col min="13" max="13" width="22.28515625" customWidth="1"/>
    <col min="14" max="14" width="14.14062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7.75" x14ac:dyDescent="0.25">
      <c r="A2" s="1"/>
      <c r="B2" s="183" t="s">
        <v>31</v>
      </c>
      <c r="C2" s="183"/>
      <c r="D2" s="183"/>
      <c r="E2" s="183"/>
      <c r="F2" s="183"/>
      <c r="G2" s="183"/>
      <c r="H2" s="183"/>
      <c r="I2" s="183"/>
      <c r="J2" s="183"/>
      <c r="K2" s="183"/>
      <c r="L2" s="1"/>
      <c r="M2" s="1"/>
      <c r="N2" s="1"/>
      <c r="O2" s="1"/>
      <c r="P2" s="1"/>
    </row>
    <row r="3" spans="1:16" ht="30.75" x14ac:dyDescent="0.25">
      <c r="A3" s="1"/>
      <c r="B3" s="184" t="s">
        <v>109</v>
      </c>
      <c r="C3" s="185"/>
      <c r="D3" s="185"/>
      <c r="E3" s="185"/>
      <c r="F3" s="185"/>
      <c r="G3" s="185"/>
      <c r="H3" s="185"/>
      <c r="I3" s="185"/>
      <c r="J3" s="185"/>
      <c r="K3" s="185"/>
      <c r="L3" s="1"/>
      <c r="M3" s="1"/>
      <c r="N3" s="1"/>
      <c r="O3" s="1"/>
      <c r="P3" s="1"/>
    </row>
    <row r="4" spans="1:16" ht="22.5" x14ac:dyDescent="0.3">
      <c r="A4" s="1"/>
      <c r="B4" s="1"/>
      <c r="C4" s="1"/>
      <c r="D4" s="1"/>
      <c r="E4" s="1"/>
      <c r="F4" s="1"/>
      <c r="G4" s="1"/>
      <c r="H4" s="1"/>
      <c r="I4" s="1"/>
      <c r="J4" s="26"/>
      <c r="K4" s="1"/>
      <c r="L4" s="1"/>
      <c r="M4" s="23" t="s">
        <v>65</v>
      </c>
      <c r="N4" s="24">
        <v>0.6</v>
      </c>
      <c r="O4" s="1"/>
      <c r="P4" s="1"/>
    </row>
    <row r="5" spans="1:16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0.25" x14ac:dyDescent="0.3">
      <c r="A6" s="105"/>
      <c r="B6" s="106" t="s">
        <v>0</v>
      </c>
      <c r="C6" s="106" t="s">
        <v>1</v>
      </c>
      <c r="D6" s="106" t="s">
        <v>50</v>
      </c>
      <c r="E6" s="106" t="s">
        <v>2</v>
      </c>
      <c r="F6" s="106" t="s">
        <v>3</v>
      </c>
      <c r="G6" s="106" t="s">
        <v>49</v>
      </c>
      <c r="H6" s="106" t="s">
        <v>4</v>
      </c>
      <c r="I6" s="106" t="s">
        <v>20</v>
      </c>
      <c r="J6" s="106" t="s">
        <v>115</v>
      </c>
      <c r="K6" s="106" t="s">
        <v>116</v>
      </c>
      <c r="L6" s="106" t="s">
        <v>7</v>
      </c>
      <c r="M6" s="106" t="s">
        <v>34</v>
      </c>
      <c r="N6" s="106" t="s">
        <v>51</v>
      </c>
      <c r="O6" s="1"/>
      <c r="P6" s="87" t="s">
        <v>69</v>
      </c>
    </row>
    <row r="7" spans="1:16" ht="16.5" x14ac:dyDescent="0.25">
      <c r="A7" s="189" t="s">
        <v>119</v>
      </c>
      <c r="B7" s="98">
        <v>1</v>
      </c>
      <c r="C7" s="99" t="s">
        <v>38</v>
      </c>
      <c r="D7" s="100" t="s">
        <v>9</v>
      </c>
      <c r="E7" s="101">
        <v>91203011680</v>
      </c>
      <c r="F7" s="100" t="s">
        <v>15</v>
      </c>
      <c r="G7" s="100" t="s">
        <v>16</v>
      </c>
      <c r="H7" s="102">
        <v>1890000</v>
      </c>
      <c r="I7" s="102">
        <v>1135000</v>
      </c>
      <c r="J7" s="102">
        <v>1135000</v>
      </c>
      <c r="K7" s="108">
        <f>I7-J7</f>
        <v>0</v>
      </c>
      <c r="L7" s="103" t="s">
        <v>26</v>
      </c>
      <c r="M7" s="104"/>
      <c r="N7" s="104"/>
      <c r="O7" s="1"/>
      <c r="P7" s="88" t="s">
        <v>26</v>
      </c>
    </row>
    <row r="8" spans="1:16" ht="16.5" x14ac:dyDescent="0.25">
      <c r="A8" s="190"/>
      <c r="B8" s="70">
        <f>B7+1</f>
        <v>2</v>
      </c>
      <c r="C8" s="71" t="s">
        <v>39</v>
      </c>
      <c r="D8" s="72" t="s">
        <v>12</v>
      </c>
      <c r="E8" s="72">
        <v>91088020664</v>
      </c>
      <c r="F8" s="73" t="s">
        <v>15</v>
      </c>
      <c r="G8" s="73" t="s">
        <v>19</v>
      </c>
      <c r="H8" s="74">
        <v>750000</v>
      </c>
      <c r="I8" s="74">
        <f>H8*$N$4</f>
        <v>450000</v>
      </c>
      <c r="J8" s="74">
        <v>450000</v>
      </c>
      <c r="K8" s="108">
        <f t="shared" ref="K8:K26" si="0">I8-J8</f>
        <v>0</v>
      </c>
      <c r="L8" s="69" t="s">
        <v>26</v>
      </c>
      <c r="M8" s="82" t="s">
        <v>122</v>
      </c>
      <c r="N8" s="79"/>
      <c r="O8" s="1"/>
      <c r="P8" s="82" t="s">
        <v>72</v>
      </c>
    </row>
    <row r="9" spans="1:16" ht="16.5" x14ac:dyDescent="0.25">
      <c r="A9" s="190"/>
      <c r="B9" s="64">
        <f t="shared" ref="B9:B12" si="1">B8+1</f>
        <v>3</v>
      </c>
      <c r="C9" s="65" t="s">
        <v>37</v>
      </c>
      <c r="D9" s="75" t="s">
        <v>28</v>
      </c>
      <c r="E9" s="75">
        <v>42094001136</v>
      </c>
      <c r="F9" s="75" t="s">
        <v>15</v>
      </c>
      <c r="G9" s="75" t="s">
        <v>36</v>
      </c>
      <c r="H9" s="68">
        <v>1550000</v>
      </c>
      <c r="I9" s="68">
        <f>H9*$N$4</f>
        <v>930000</v>
      </c>
      <c r="J9" s="74">
        <v>930000</v>
      </c>
      <c r="K9" s="108">
        <f>I9-J9</f>
        <v>0</v>
      </c>
      <c r="L9" s="69" t="s">
        <v>26</v>
      </c>
      <c r="M9" s="76"/>
      <c r="N9" s="76"/>
      <c r="O9" s="1"/>
      <c r="P9" s="1"/>
    </row>
    <row r="10" spans="1:16" ht="16.5" x14ac:dyDescent="0.25">
      <c r="A10" s="190"/>
      <c r="B10" s="70">
        <f t="shared" si="1"/>
        <v>4</v>
      </c>
      <c r="C10" s="109" t="s">
        <v>80</v>
      </c>
      <c r="D10" s="110" t="s">
        <v>75</v>
      </c>
      <c r="E10" s="111">
        <v>38085004911</v>
      </c>
      <c r="F10" s="111" t="s">
        <v>13</v>
      </c>
      <c r="G10" s="110" t="s">
        <v>73</v>
      </c>
      <c r="H10" s="112"/>
      <c r="I10" s="112">
        <f>H10*$N$4</f>
        <v>0</v>
      </c>
      <c r="J10" s="112"/>
      <c r="K10" s="113">
        <f t="shared" si="0"/>
        <v>0</v>
      </c>
      <c r="L10" s="114" t="s">
        <v>120</v>
      </c>
      <c r="M10" s="115"/>
      <c r="N10" s="79"/>
      <c r="O10" s="1"/>
      <c r="P10" s="1"/>
    </row>
    <row r="11" spans="1:16" ht="16.5" x14ac:dyDescent="0.25">
      <c r="A11" s="190"/>
      <c r="B11" s="64">
        <f t="shared" si="1"/>
        <v>5</v>
      </c>
      <c r="C11" s="65" t="s">
        <v>103</v>
      </c>
      <c r="D11" s="66" t="s">
        <v>101</v>
      </c>
      <c r="E11" s="66">
        <v>70081001153</v>
      </c>
      <c r="F11" s="66" t="s">
        <v>102</v>
      </c>
      <c r="G11" s="66" t="s">
        <v>83</v>
      </c>
      <c r="H11" s="68">
        <v>1550000</v>
      </c>
      <c r="I11" s="68">
        <f>H11*$N$4</f>
        <v>930000</v>
      </c>
      <c r="J11" s="74">
        <v>930000</v>
      </c>
      <c r="K11" s="108">
        <f t="shared" si="0"/>
        <v>0</v>
      </c>
      <c r="L11" s="69" t="s">
        <v>26</v>
      </c>
      <c r="M11" s="83"/>
      <c r="N11" s="76"/>
      <c r="O11" s="1"/>
      <c r="P11" s="1"/>
    </row>
    <row r="12" spans="1:16" ht="16.5" x14ac:dyDescent="0.25">
      <c r="A12" s="190"/>
      <c r="B12" s="70">
        <f t="shared" si="1"/>
        <v>6</v>
      </c>
      <c r="C12" s="71" t="s">
        <v>104</v>
      </c>
      <c r="D12" s="73" t="s">
        <v>106</v>
      </c>
      <c r="E12" s="73">
        <v>27068001194</v>
      </c>
      <c r="F12" s="73" t="s">
        <v>105</v>
      </c>
      <c r="G12" s="73" t="s">
        <v>82</v>
      </c>
      <c r="H12" s="74">
        <v>1800000</v>
      </c>
      <c r="I12" s="74">
        <f>H12*$N$4</f>
        <v>1080000</v>
      </c>
      <c r="J12" s="74">
        <v>1080000</v>
      </c>
      <c r="K12" s="108">
        <f t="shared" si="0"/>
        <v>0</v>
      </c>
      <c r="L12" s="69" t="s">
        <v>26</v>
      </c>
      <c r="M12" s="84"/>
      <c r="N12" s="79"/>
      <c r="O12" s="1"/>
      <c r="P12" s="1"/>
    </row>
    <row r="13" spans="1:16" ht="16.5" x14ac:dyDescent="0.25">
      <c r="A13" s="190"/>
      <c r="B13" s="64"/>
      <c r="C13" s="65"/>
      <c r="D13" s="66"/>
      <c r="E13" s="67"/>
      <c r="F13" s="66"/>
      <c r="G13" s="66"/>
      <c r="H13" s="68"/>
      <c r="I13" s="68"/>
      <c r="J13" s="74"/>
      <c r="K13" s="108"/>
      <c r="L13" s="76"/>
      <c r="M13" s="76"/>
      <c r="N13" s="76"/>
      <c r="O13" s="1"/>
      <c r="P13" s="1"/>
    </row>
    <row r="14" spans="1:16" ht="25.5" x14ac:dyDescent="0.25">
      <c r="A14" s="107"/>
      <c r="B14" s="89"/>
      <c r="C14" s="90"/>
      <c r="D14" s="89"/>
      <c r="E14" s="91"/>
      <c r="F14" s="92"/>
      <c r="G14" s="93"/>
      <c r="H14" s="94"/>
      <c r="I14" s="94"/>
      <c r="J14" s="95"/>
      <c r="K14" s="96"/>
      <c r="L14" s="96"/>
      <c r="M14" s="97"/>
      <c r="N14" s="97"/>
      <c r="O14" s="1"/>
      <c r="P14" s="1"/>
    </row>
    <row r="15" spans="1:16" ht="16.5" x14ac:dyDescent="0.25">
      <c r="A15" s="191" t="s">
        <v>118</v>
      </c>
      <c r="B15" s="64"/>
      <c r="C15" s="65"/>
      <c r="D15" s="66"/>
      <c r="E15" s="67"/>
      <c r="F15" s="66"/>
      <c r="G15" s="66"/>
      <c r="H15" s="68"/>
      <c r="I15" s="68"/>
      <c r="J15" s="74"/>
      <c r="K15" s="108"/>
      <c r="L15" s="76"/>
      <c r="M15" s="76"/>
      <c r="N15" s="76"/>
      <c r="O15" s="1"/>
      <c r="P15" s="1"/>
    </row>
    <row r="16" spans="1:16" ht="16.5" x14ac:dyDescent="0.25">
      <c r="A16" s="191"/>
      <c r="B16" s="64">
        <v>1</v>
      </c>
      <c r="C16" s="77" t="s">
        <v>40</v>
      </c>
      <c r="D16" s="66" t="s">
        <v>8</v>
      </c>
      <c r="E16" s="67">
        <v>38096003688</v>
      </c>
      <c r="F16" s="66" t="s">
        <v>13</v>
      </c>
      <c r="G16" s="66" t="s">
        <v>14</v>
      </c>
      <c r="H16" s="68">
        <v>2060000</v>
      </c>
      <c r="I16" s="68">
        <v>1230000</v>
      </c>
      <c r="J16" s="68">
        <v>1230000</v>
      </c>
      <c r="K16" s="108">
        <f t="shared" si="0"/>
        <v>0</v>
      </c>
      <c r="L16" s="76" t="s">
        <v>69</v>
      </c>
      <c r="M16" s="76"/>
      <c r="N16" s="76"/>
      <c r="O16" s="1"/>
      <c r="P16" s="1"/>
    </row>
    <row r="17" spans="1:16" ht="16.5" x14ac:dyDescent="0.25">
      <c r="A17" s="191"/>
      <c r="B17" s="64">
        <f>B16+1</f>
        <v>2</v>
      </c>
      <c r="C17" s="77" t="s">
        <v>41</v>
      </c>
      <c r="D17" s="66" t="s">
        <v>10</v>
      </c>
      <c r="E17" s="67">
        <v>89078016404</v>
      </c>
      <c r="F17" s="66" t="s">
        <v>18</v>
      </c>
      <c r="G17" s="66" t="s">
        <v>17</v>
      </c>
      <c r="H17" s="68">
        <v>1810000</v>
      </c>
      <c r="I17" s="68">
        <v>1086000</v>
      </c>
      <c r="J17" s="68">
        <v>1086000</v>
      </c>
      <c r="K17" s="108">
        <f t="shared" si="0"/>
        <v>0</v>
      </c>
      <c r="L17" s="76" t="s">
        <v>69</v>
      </c>
      <c r="M17" s="76"/>
      <c r="N17" s="76"/>
      <c r="O17" s="1"/>
      <c r="P17" s="1"/>
    </row>
    <row r="18" spans="1:16" ht="16.5" x14ac:dyDescent="0.25">
      <c r="A18" s="191"/>
      <c r="B18" s="64">
        <f t="shared" ref="B18:B26" si="2">B17+1</f>
        <v>3</v>
      </c>
      <c r="C18" s="78" t="s">
        <v>67</v>
      </c>
      <c r="D18" s="73" t="s">
        <v>11</v>
      </c>
      <c r="E18" s="72">
        <v>89099008054</v>
      </c>
      <c r="F18" s="73" t="s">
        <v>18</v>
      </c>
      <c r="G18" s="73" t="s">
        <v>48</v>
      </c>
      <c r="H18" s="74">
        <v>2980000</v>
      </c>
      <c r="I18" s="74">
        <v>1788000</v>
      </c>
      <c r="J18" s="74">
        <v>1788000</v>
      </c>
      <c r="K18" s="108">
        <f t="shared" si="0"/>
        <v>0</v>
      </c>
      <c r="L18" s="79" t="s">
        <v>69</v>
      </c>
      <c r="M18" s="79"/>
      <c r="N18" s="79"/>
      <c r="O18" s="1"/>
      <c r="P18" s="1"/>
    </row>
    <row r="19" spans="1:16" ht="16.5" x14ac:dyDescent="0.25">
      <c r="A19" s="191"/>
      <c r="B19" s="64">
        <f t="shared" si="2"/>
        <v>4</v>
      </c>
      <c r="C19" s="77" t="s">
        <v>42</v>
      </c>
      <c r="D19" s="75" t="s">
        <v>59</v>
      </c>
      <c r="E19" s="75">
        <v>89082022656</v>
      </c>
      <c r="F19" s="75" t="s">
        <v>18</v>
      </c>
      <c r="G19" s="75" t="s">
        <v>56</v>
      </c>
      <c r="H19" s="68">
        <v>1630000</v>
      </c>
      <c r="I19" s="68">
        <v>978000</v>
      </c>
      <c r="J19" s="74">
        <v>978000</v>
      </c>
      <c r="K19" s="108">
        <f t="shared" si="0"/>
        <v>0</v>
      </c>
      <c r="L19" s="76" t="s">
        <v>69</v>
      </c>
      <c r="M19" s="76"/>
      <c r="N19" s="85"/>
      <c r="O19" s="1"/>
      <c r="P19" s="1"/>
    </row>
    <row r="20" spans="1:16" ht="16.5" x14ac:dyDescent="0.25">
      <c r="A20" s="191"/>
      <c r="B20" s="64">
        <f t="shared" si="2"/>
        <v>5</v>
      </c>
      <c r="C20" s="77" t="s">
        <v>43</v>
      </c>
      <c r="D20" s="75" t="s">
        <v>23</v>
      </c>
      <c r="E20" s="75">
        <v>42088019031</v>
      </c>
      <c r="F20" s="75" t="s">
        <v>21</v>
      </c>
      <c r="G20" s="75" t="s">
        <v>22</v>
      </c>
      <c r="H20" s="68">
        <v>1960000</v>
      </c>
      <c r="I20" s="68">
        <v>1176000</v>
      </c>
      <c r="J20" s="74">
        <v>1176000</v>
      </c>
      <c r="K20" s="108">
        <f t="shared" si="0"/>
        <v>0</v>
      </c>
      <c r="L20" s="80" t="s">
        <v>69</v>
      </c>
      <c r="M20" s="76"/>
      <c r="N20" s="76"/>
      <c r="O20" s="1"/>
      <c r="P20" s="1"/>
    </row>
    <row r="21" spans="1:16" ht="16.5" x14ac:dyDescent="0.25">
      <c r="A21" s="191"/>
      <c r="B21" s="64">
        <f t="shared" si="2"/>
        <v>6</v>
      </c>
      <c r="C21" s="77" t="s">
        <v>44</v>
      </c>
      <c r="D21" s="75" t="s">
        <v>33</v>
      </c>
      <c r="E21" s="75">
        <v>49202008987</v>
      </c>
      <c r="F21" s="75" t="s">
        <v>15</v>
      </c>
      <c r="G21" s="75" t="s">
        <v>32</v>
      </c>
      <c r="H21" s="68">
        <v>3249000</v>
      </c>
      <c r="I21" s="68">
        <v>1950000</v>
      </c>
      <c r="J21" s="68">
        <v>1950000</v>
      </c>
      <c r="K21" s="108">
        <f t="shared" si="0"/>
        <v>0</v>
      </c>
      <c r="L21" s="76" t="s">
        <v>69</v>
      </c>
      <c r="M21" s="76"/>
      <c r="N21" s="85"/>
      <c r="O21" s="1"/>
      <c r="P21" s="1"/>
    </row>
    <row r="22" spans="1:16" ht="16.5" x14ac:dyDescent="0.25">
      <c r="A22" s="191"/>
      <c r="B22" s="64">
        <f t="shared" si="2"/>
        <v>7</v>
      </c>
      <c r="C22" s="77" t="s">
        <v>45</v>
      </c>
      <c r="D22" s="75" t="s">
        <v>24</v>
      </c>
      <c r="E22" s="75">
        <v>93097001330</v>
      </c>
      <c r="F22" s="75" t="s">
        <v>60</v>
      </c>
      <c r="G22" s="75" t="s">
        <v>25</v>
      </c>
      <c r="H22" s="68">
        <v>1800000</v>
      </c>
      <c r="I22" s="68">
        <v>1080000</v>
      </c>
      <c r="J22" s="74">
        <v>1080000</v>
      </c>
      <c r="K22" s="108">
        <f t="shared" si="0"/>
        <v>0</v>
      </c>
      <c r="L22" s="76" t="s">
        <v>69</v>
      </c>
      <c r="M22" s="76"/>
      <c r="N22" s="76"/>
      <c r="O22" s="1"/>
      <c r="P22" s="1"/>
    </row>
    <row r="23" spans="1:16" ht="16.5" x14ac:dyDescent="0.25">
      <c r="A23" s="191"/>
      <c r="B23" s="64">
        <f t="shared" si="2"/>
        <v>8</v>
      </c>
      <c r="C23" s="77" t="s">
        <v>79</v>
      </c>
      <c r="D23" s="75" t="s">
        <v>61</v>
      </c>
      <c r="E23" s="75">
        <v>95095009661</v>
      </c>
      <c r="F23" s="75" t="s">
        <v>62</v>
      </c>
      <c r="G23" s="75" t="s">
        <v>27</v>
      </c>
      <c r="H23" s="68">
        <v>1950000</v>
      </c>
      <c r="I23" s="68">
        <v>1170000</v>
      </c>
      <c r="J23" s="74">
        <v>1170000</v>
      </c>
      <c r="K23" s="108">
        <f t="shared" si="0"/>
        <v>0</v>
      </c>
      <c r="L23" s="76" t="s">
        <v>69</v>
      </c>
      <c r="M23" s="80"/>
      <c r="N23" s="76"/>
      <c r="O23" s="1"/>
      <c r="P23" s="1"/>
    </row>
    <row r="24" spans="1:16" ht="16.5" x14ac:dyDescent="0.25">
      <c r="A24" s="191"/>
      <c r="B24" s="64">
        <f t="shared" si="2"/>
        <v>9</v>
      </c>
      <c r="C24" s="77" t="s">
        <v>98</v>
      </c>
      <c r="D24" s="75" t="s">
        <v>63</v>
      </c>
      <c r="E24" s="81">
        <v>91085001515</v>
      </c>
      <c r="F24" s="66" t="s">
        <v>18</v>
      </c>
      <c r="G24" s="75" t="s">
        <v>57</v>
      </c>
      <c r="H24" s="68">
        <v>1780000</v>
      </c>
      <c r="I24" s="68">
        <v>1068000</v>
      </c>
      <c r="J24" s="74">
        <v>1068000</v>
      </c>
      <c r="K24" s="108">
        <f t="shared" si="0"/>
        <v>0</v>
      </c>
      <c r="L24" s="76" t="s">
        <v>69</v>
      </c>
      <c r="M24" s="76"/>
      <c r="N24" s="76"/>
      <c r="O24" s="1"/>
      <c r="P24" s="1"/>
    </row>
    <row r="25" spans="1:16" ht="16.5" x14ac:dyDescent="0.25">
      <c r="A25" s="191"/>
      <c r="B25" s="64">
        <f t="shared" si="2"/>
        <v>10</v>
      </c>
      <c r="C25" s="77" t="s">
        <v>52</v>
      </c>
      <c r="D25" s="64" t="s">
        <v>54</v>
      </c>
      <c r="E25" s="64" t="s">
        <v>94</v>
      </c>
      <c r="F25" s="64" t="s">
        <v>53</v>
      </c>
      <c r="G25" s="64" t="s">
        <v>35</v>
      </c>
      <c r="H25" s="68">
        <v>2110000</v>
      </c>
      <c r="I25" s="68">
        <v>1260000</v>
      </c>
      <c r="J25" s="68">
        <v>1260000</v>
      </c>
      <c r="K25" s="108">
        <f t="shared" si="0"/>
        <v>0</v>
      </c>
      <c r="L25" s="80" t="s">
        <v>69</v>
      </c>
      <c r="M25" s="83"/>
      <c r="N25" s="76"/>
      <c r="O25" s="1"/>
      <c r="P25" s="1"/>
    </row>
    <row r="26" spans="1:16" ht="16.5" x14ac:dyDescent="0.25">
      <c r="A26" s="191"/>
      <c r="B26" s="64">
        <f t="shared" si="2"/>
        <v>11</v>
      </c>
      <c r="C26" s="78" t="s">
        <v>92</v>
      </c>
      <c r="D26" s="70" t="s">
        <v>88</v>
      </c>
      <c r="E26" s="70" t="s">
        <v>89</v>
      </c>
      <c r="F26" s="70" t="s">
        <v>90</v>
      </c>
      <c r="G26" s="86" t="s">
        <v>93</v>
      </c>
      <c r="H26" s="74">
        <v>700000</v>
      </c>
      <c r="I26" s="74">
        <f>H26*$N$4</f>
        <v>420000</v>
      </c>
      <c r="J26" s="74">
        <v>420000</v>
      </c>
      <c r="K26" s="108">
        <f t="shared" si="0"/>
        <v>0</v>
      </c>
      <c r="L26" s="80" t="s">
        <v>69</v>
      </c>
      <c r="M26" s="84"/>
      <c r="N26" s="79"/>
      <c r="O26" s="1"/>
      <c r="P26" s="1"/>
    </row>
    <row r="27" spans="1:16" x14ac:dyDescent="0.25">
      <c r="A27" s="1"/>
      <c r="O27" s="1"/>
      <c r="P27" s="1"/>
    </row>
    <row r="28" spans="1:16" ht="22.5" x14ac:dyDescent="0.3">
      <c r="H28" s="187" t="s">
        <v>29</v>
      </c>
      <c r="I28" s="188"/>
      <c r="J28" s="9">
        <f>SUM(H7:H1001)</f>
        <v>29569000</v>
      </c>
    </row>
    <row r="29" spans="1:16" ht="22.5" x14ac:dyDescent="0.3">
      <c r="H29" s="187" t="s">
        <v>30</v>
      </c>
      <c r="I29" s="188"/>
      <c r="J29" s="9">
        <f>SUM(I7:I1001)</f>
        <v>17731000</v>
      </c>
    </row>
    <row r="30" spans="1:16" ht="22.5" x14ac:dyDescent="0.3">
      <c r="H30" s="187" t="s">
        <v>117</v>
      </c>
      <c r="I30" s="188"/>
      <c r="J30" s="63">
        <f>SUM(J7:J26)</f>
        <v>17731000</v>
      </c>
    </row>
    <row r="41" spans="4:8" x14ac:dyDescent="0.25">
      <c r="E41" s="1"/>
      <c r="G41" s="25"/>
      <c r="H41" s="1"/>
    </row>
    <row r="42" spans="4:8" x14ac:dyDescent="0.25">
      <c r="D42" s="1"/>
      <c r="E42" s="1"/>
      <c r="F42" s="1"/>
      <c r="G42" s="1"/>
      <c r="H42" s="1"/>
    </row>
  </sheetData>
  <sheetProtection sheet="1" objects="1" scenarios="1"/>
  <mergeCells count="7">
    <mergeCell ref="H29:I29"/>
    <mergeCell ref="H30:I30"/>
    <mergeCell ref="A7:A13"/>
    <mergeCell ref="A15:A26"/>
    <mergeCell ref="B2:K2"/>
    <mergeCell ref="B3:K3"/>
    <mergeCell ref="H28:I28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60DAD-28C5-4E7E-A3E5-3D266A1857D5}">
  <sheetPr codeName="Sheet12"/>
  <dimension ref="A1:P42"/>
  <sheetViews>
    <sheetView topLeftCell="B1" zoomScaleNormal="100" workbookViewId="0">
      <selection activeCell="Q26" sqref="Q26"/>
    </sheetView>
  </sheetViews>
  <sheetFormatPr defaultRowHeight="15" x14ac:dyDescent="0.25"/>
  <cols>
    <col min="1" max="1" width="18.28515625" customWidth="1"/>
    <col min="3" max="3" width="38.85546875" bestFit="1" customWidth="1"/>
    <col min="4" max="4" width="15.42578125" bestFit="1" customWidth="1"/>
    <col min="5" max="5" width="15.5703125" bestFit="1" customWidth="1"/>
    <col min="6" max="6" width="16.42578125" bestFit="1" customWidth="1"/>
    <col min="7" max="7" width="19.5703125" customWidth="1"/>
    <col min="8" max="8" width="20.42578125" customWidth="1"/>
    <col min="9" max="9" width="20.7109375" customWidth="1"/>
    <col min="10" max="10" width="20.140625" customWidth="1"/>
    <col min="11" max="12" width="19.42578125" customWidth="1"/>
    <col min="13" max="13" width="25.42578125" customWidth="1"/>
    <col min="14" max="14" width="14.14062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L2" s="1"/>
      <c r="M2" s="1"/>
      <c r="N2" s="1"/>
      <c r="O2" s="1"/>
      <c r="P2" s="1"/>
    </row>
    <row r="3" spans="1:16" ht="27.75" x14ac:dyDescent="0.25">
      <c r="A3" s="1"/>
      <c r="B3" s="183" t="s">
        <v>31</v>
      </c>
      <c r="C3" s="183"/>
      <c r="D3" s="183"/>
      <c r="E3" s="183"/>
      <c r="F3" s="183"/>
      <c r="G3" s="183"/>
      <c r="H3" s="183"/>
      <c r="I3" s="183"/>
      <c r="J3" s="183"/>
      <c r="K3" s="183"/>
      <c r="L3" s="1"/>
      <c r="M3" s="1"/>
      <c r="N3" s="1"/>
      <c r="O3" s="1"/>
      <c r="P3" s="1"/>
    </row>
    <row r="4" spans="1:16" ht="30.75" x14ac:dyDescent="0.3">
      <c r="A4" s="1"/>
      <c r="C4" s="117"/>
      <c r="D4" s="117"/>
      <c r="E4" s="117"/>
      <c r="F4" s="117"/>
      <c r="H4" s="116" t="s">
        <v>121</v>
      </c>
      <c r="I4" s="117"/>
      <c r="J4" s="117"/>
      <c r="K4" s="117"/>
      <c r="L4" s="1"/>
      <c r="M4" s="23" t="s">
        <v>65</v>
      </c>
      <c r="N4" s="24">
        <v>0.6</v>
      </c>
      <c r="O4" s="1"/>
      <c r="P4" s="1"/>
    </row>
    <row r="5" spans="1:16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0.25" x14ac:dyDescent="0.3">
      <c r="A6" s="105"/>
      <c r="B6" s="106" t="s">
        <v>0</v>
      </c>
      <c r="C6" s="106" t="s">
        <v>1</v>
      </c>
      <c r="D6" s="106" t="s">
        <v>50</v>
      </c>
      <c r="E6" s="106" t="s">
        <v>2</v>
      </c>
      <c r="F6" s="106" t="s">
        <v>3</v>
      </c>
      <c r="G6" s="106" t="s">
        <v>49</v>
      </c>
      <c r="H6" s="106" t="s">
        <v>4</v>
      </c>
      <c r="I6" s="106" t="s">
        <v>20</v>
      </c>
      <c r="J6" s="106" t="s">
        <v>115</v>
      </c>
      <c r="K6" s="106" t="s">
        <v>116</v>
      </c>
      <c r="L6" s="106" t="s">
        <v>7</v>
      </c>
      <c r="M6" s="106" t="s">
        <v>34</v>
      </c>
      <c r="N6" s="106" t="s">
        <v>51</v>
      </c>
      <c r="O6" s="1"/>
      <c r="P6" s="87" t="s">
        <v>69</v>
      </c>
    </row>
    <row r="7" spans="1:16" ht="16.5" x14ac:dyDescent="0.25">
      <c r="A7" s="189" t="s">
        <v>119</v>
      </c>
      <c r="B7" s="64">
        <v>1</v>
      </c>
      <c r="C7" s="65" t="s">
        <v>38</v>
      </c>
      <c r="D7" s="66" t="s">
        <v>9</v>
      </c>
      <c r="E7" s="67">
        <v>91203011680</v>
      </c>
      <c r="F7" s="66" t="s">
        <v>15</v>
      </c>
      <c r="G7" s="66" t="s">
        <v>16</v>
      </c>
      <c r="H7" s="68">
        <v>1950000</v>
      </c>
      <c r="I7" s="68">
        <f>H7*N$4</f>
        <v>1170000</v>
      </c>
      <c r="J7" s="68">
        <v>1170000</v>
      </c>
      <c r="K7" s="68">
        <f>I7-J7</f>
        <v>0</v>
      </c>
      <c r="L7" s="88" t="s">
        <v>26</v>
      </c>
      <c r="M7" s="76"/>
      <c r="N7" s="76"/>
      <c r="O7" s="1"/>
      <c r="P7" s="88" t="s">
        <v>26</v>
      </c>
    </row>
    <row r="8" spans="1:16" ht="16.5" x14ac:dyDescent="0.25">
      <c r="A8" s="190"/>
      <c r="B8" s="64">
        <f>B7+1</f>
        <v>2</v>
      </c>
      <c r="C8" s="65" t="s">
        <v>37</v>
      </c>
      <c r="D8" s="75" t="s">
        <v>28</v>
      </c>
      <c r="E8" s="75">
        <v>42094001136</v>
      </c>
      <c r="F8" s="75" t="s">
        <v>15</v>
      </c>
      <c r="G8" s="75" t="s">
        <v>36</v>
      </c>
      <c r="H8" s="68">
        <v>1860000</v>
      </c>
      <c r="I8" s="68">
        <f t="shared" ref="I8:I11" si="0">H8*N$4</f>
        <v>1116000</v>
      </c>
      <c r="J8" s="74">
        <v>1116000</v>
      </c>
      <c r="K8" s="68">
        <f>I8-J8</f>
        <v>0</v>
      </c>
      <c r="L8" s="88" t="s">
        <v>26</v>
      </c>
      <c r="M8" s="76"/>
      <c r="N8" s="76"/>
      <c r="O8" s="1"/>
      <c r="P8" s="82" t="s">
        <v>72</v>
      </c>
    </row>
    <row r="9" spans="1:16" ht="16.5" x14ac:dyDescent="0.25">
      <c r="A9" s="190"/>
      <c r="B9" s="70">
        <f>B8+1</f>
        <v>3</v>
      </c>
      <c r="C9" s="109" t="s">
        <v>80</v>
      </c>
      <c r="D9" s="110" t="s">
        <v>75</v>
      </c>
      <c r="E9" s="111">
        <v>38085004911</v>
      </c>
      <c r="F9" s="111" t="s">
        <v>13</v>
      </c>
      <c r="G9" s="110" t="s">
        <v>73</v>
      </c>
      <c r="H9" s="112"/>
      <c r="I9" s="119">
        <f t="shared" si="0"/>
        <v>0</v>
      </c>
      <c r="J9" s="112"/>
      <c r="K9" s="119">
        <f>I9-J9</f>
        <v>0</v>
      </c>
      <c r="L9" s="118" t="s">
        <v>120</v>
      </c>
      <c r="M9" s="115"/>
      <c r="N9" s="79"/>
      <c r="O9" s="1"/>
      <c r="P9" s="1"/>
    </row>
    <row r="10" spans="1:16" ht="16.5" x14ac:dyDescent="0.25">
      <c r="A10" s="190"/>
      <c r="B10" s="64">
        <f>B9+1</f>
        <v>4</v>
      </c>
      <c r="C10" s="65" t="s">
        <v>103</v>
      </c>
      <c r="D10" s="66" t="s">
        <v>101</v>
      </c>
      <c r="E10" s="66">
        <v>70081001153</v>
      </c>
      <c r="F10" s="66" t="s">
        <v>102</v>
      </c>
      <c r="G10" s="66" t="s">
        <v>83</v>
      </c>
      <c r="H10" s="68">
        <v>1500000</v>
      </c>
      <c r="I10" s="68">
        <f t="shared" si="0"/>
        <v>900000</v>
      </c>
      <c r="J10" s="74">
        <v>900000</v>
      </c>
      <c r="K10" s="68">
        <f>I10-J10</f>
        <v>0</v>
      </c>
      <c r="L10" s="88" t="s">
        <v>26</v>
      </c>
      <c r="M10" s="76"/>
      <c r="N10" s="76"/>
      <c r="O10" s="1"/>
      <c r="P10" s="1"/>
    </row>
    <row r="11" spans="1:16" ht="16.5" x14ac:dyDescent="0.25">
      <c r="A11" s="190"/>
      <c r="B11" s="70">
        <f>B10+1</f>
        <v>5</v>
      </c>
      <c r="C11" s="71" t="s">
        <v>104</v>
      </c>
      <c r="D11" s="73" t="s">
        <v>106</v>
      </c>
      <c r="E11" s="73">
        <v>27068001194</v>
      </c>
      <c r="F11" s="73" t="s">
        <v>105</v>
      </c>
      <c r="G11" s="73" t="s">
        <v>82</v>
      </c>
      <c r="H11" s="74">
        <v>1650000</v>
      </c>
      <c r="I11" s="68">
        <f t="shared" si="0"/>
        <v>990000</v>
      </c>
      <c r="J11" s="74">
        <v>990000</v>
      </c>
      <c r="K11" s="68">
        <f>I11-J11</f>
        <v>0</v>
      </c>
      <c r="L11" s="88" t="s">
        <v>26</v>
      </c>
      <c r="M11" s="79"/>
      <c r="N11" s="79"/>
      <c r="O11" s="1"/>
      <c r="P11" s="1"/>
    </row>
    <row r="12" spans="1:16" ht="16.5" x14ac:dyDescent="0.25">
      <c r="A12" s="190"/>
      <c r="B12" s="105"/>
      <c r="C12" s="105"/>
      <c r="D12" s="105"/>
      <c r="E12" s="105"/>
      <c r="F12" s="105"/>
      <c r="G12" s="105"/>
      <c r="H12" s="105"/>
      <c r="I12" s="105"/>
      <c r="J12" s="105"/>
      <c r="K12" s="120"/>
      <c r="L12" s="105"/>
      <c r="M12" s="105"/>
      <c r="N12" s="105"/>
      <c r="O12" s="1"/>
      <c r="P12" s="1"/>
    </row>
    <row r="13" spans="1:16" ht="16.5" x14ac:dyDescent="0.25">
      <c r="A13" s="190"/>
      <c r="B13" s="64"/>
      <c r="C13" s="65"/>
      <c r="D13" s="66"/>
      <c r="E13" s="67"/>
      <c r="F13" s="66"/>
      <c r="G13" s="66"/>
      <c r="H13" s="68"/>
      <c r="I13" s="68"/>
      <c r="J13" s="74"/>
      <c r="K13" s="68"/>
      <c r="L13" s="76"/>
      <c r="M13" s="76"/>
      <c r="N13" s="76"/>
      <c r="O13" s="1"/>
      <c r="P13" s="1"/>
    </row>
    <row r="14" spans="1:16" ht="25.5" x14ac:dyDescent="0.25">
      <c r="A14" s="107"/>
      <c r="B14" s="89"/>
      <c r="C14" s="90"/>
      <c r="D14" s="89"/>
      <c r="E14" s="91"/>
      <c r="F14" s="92"/>
      <c r="G14" s="93"/>
      <c r="H14" s="94"/>
      <c r="I14" s="94"/>
      <c r="J14" s="97"/>
      <c r="K14" s="96"/>
      <c r="L14" s="96"/>
      <c r="M14" s="97"/>
      <c r="N14" s="97"/>
      <c r="O14" s="1"/>
      <c r="P14" s="1"/>
    </row>
    <row r="15" spans="1:16" ht="16.5" x14ac:dyDescent="0.25">
      <c r="A15" s="191" t="s">
        <v>118</v>
      </c>
      <c r="B15" s="64">
        <v>1</v>
      </c>
      <c r="C15" s="77" t="s">
        <v>40</v>
      </c>
      <c r="D15" s="66" t="s">
        <v>8</v>
      </c>
      <c r="E15" s="67">
        <v>38096003688</v>
      </c>
      <c r="F15" s="66" t="s">
        <v>13</v>
      </c>
      <c r="G15" s="66" t="s">
        <v>14</v>
      </c>
      <c r="H15" s="68">
        <v>1800000</v>
      </c>
      <c r="I15" s="68">
        <f t="shared" ref="I15:I25" si="1">H15*N$4</f>
        <v>1080000</v>
      </c>
      <c r="J15" s="68">
        <v>1080000</v>
      </c>
      <c r="K15" s="68">
        <f t="shared" ref="K15:K23" si="2">I15-J15</f>
        <v>0</v>
      </c>
      <c r="L15" s="76" t="s">
        <v>69</v>
      </c>
      <c r="M15" s="76"/>
      <c r="N15" s="76"/>
      <c r="O15" s="1"/>
      <c r="P15" s="1"/>
    </row>
    <row r="16" spans="1:16" ht="16.5" x14ac:dyDescent="0.25">
      <c r="A16" s="191"/>
      <c r="B16" s="64">
        <f>B15+1</f>
        <v>2</v>
      </c>
      <c r="C16" s="77" t="s">
        <v>41</v>
      </c>
      <c r="D16" s="66" t="s">
        <v>10</v>
      </c>
      <c r="E16" s="67">
        <v>89078016404</v>
      </c>
      <c r="F16" s="66" t="s">
        <v>18</v>
      </c>
      <c r="G16" s="66" t="s">
        <v>17</v>
      </c>
      <c r="H16" s="68">
        <v>2400000</v>
      </c>
      <c r="I16" s="68">
        <f t="shared" si="1"/>
        <v>1440000</v>
      </c>
      <c r="J16" s="68">
        <v>1440000</v>
      </c>
      <c r="K16" s="68">
        <f t="shared" si="2"/>
        <v>0</v>
      </c>
      <c r="L16" s="76" t="s">
        <v>69</v>
      </c>
      <c r="M16" s="76"/>
      <c r="N16" s="76"/>
      <c r="O16" s="1"/>
      <c r="P16" s="1"/>
    </row>
    <row r="17" spans="1:16" ht="16.5" x14ac:dyDescent="0.25">
      <c r="A17" s="191"/>
      <c r="B17" s="64">
        <f t="shared" ref="B17:B26" si="3">B16+1</f>
        <v>3</v>
      </c>
      <c r="C17" s="78" t="s">
        <v>67</v>
      </c>
      <c r="D17" s="73" t="s">
        <v>11</v>
      </c>
      <c r="E17" s="72">
        <v>89099008054</v>
      </c>
      <c r="F17" s="73" t="s">
        <v>18</v>
      </c>
      <c r="G17" s="73" t="s">
        <v>48</v>
      </c>
      <c r="H17" s="74">
        <v>2910000</v>
      </c>
      <c r="I17" s="68">
        <f t="shared" si="1"/>
        <v>1746000</v>
      </c>
      <c r="J17" s="74">
        <v>1746000</v>
      </c>
      <c r="K17" s="68">
        <f t="shared" si="2"/>
        <v>0</v>
      </c>
      <c r="L17" s="76" t="s">
        <v>69</v>
      </c>
      <c r="M17" s="79"/>
      <c r="N17" s="79"/>
      <c r="O17" s="1"/>
      <c r="P17" s="1"/>
    </row>
    <row r="18" spans="1:16" ht="16.5" x14ac:dyDescent="0.25">
      <c r="A18" s="191"/>
      <c r="B18" s="64">
        <f t="shared" si="3"/>
        <v>4</v>
      </c>
      <c r="C18" s="77" t="s">
        <v>42</v>
      </c>
      <c r="D18" s="75" t="s">
        <v>59</v>
      </c>
      <c r="E18" s="75">
        <v>89082022656</v>
      </c>
      <c r="F18" s="75" t="s">
        <v>18</v>
      </c>
      <c r="G18" s="75" t="s">
        <v>56</v>
      </c>
      <c r="H18" s="68">
        <v>2050000</v>
      </c>
      <c r="I18" s="68">
        <f t="shared" si="1"/>
        <v>1230000</v>
      </c>
      <c r="J18" s="74">
        <v>1230000</v>
      </c>
      <c r="K18" s="68">
        <f t="shared" si="2"/>
        <v>0</v>
      </c>
      <c r="L18" s="76" t="s">
        <v>69</v>
      </c>
      <c r="M18" s="76"/>
      <c r="N18" s="85"/>
      <c r="O18" s="1"/>
      <c r="P18" s="1"/>
    </row>
    <row r="19" spans="1:16" ht="16.5" x14ac:dyDescent="0.25">
      <c r="A19" s="191"/>
      <c r="B19" s="64">
        <f t="shared" si="3"/>
        <v>5</v>
      </c>
      <c r="C19" s="77" t="s">
        <v>43</v>
      </c>
      <c r="D19" s="75" t="s">
        <v>23</v>
      </c>
      <c r="E19" s="75">
        <v>42088019031</v>
      </c>
      <c r="F19" s="75" t="s">
        <v>21</v>
      </c>
      <c r="G19" s="75" t="s">
        <v>22</v>
      </c>
      <c r="H19" s="68">
        <v>1950000</v>
      </c>
      <c r="I19" s="68">
        <f t="shared" si="1"/>
        <v>1170000</v>
      </c>
      <c r="J19" s="74">
        <v>1170000</v>
      </c>
      <c r="K19" s="68">
        <f t="shared" si="2"/>
        <v>0</v>
      </c>
      <c r="L19" s="76" t="s">
        <v>69</v>
      </c>
      <c r="M19" s="76"/>
      <c r="N19" s="76"/>
      <c r="O19" s="1"/>
      <c r="P19" s="1"/>
    </row>
    <row r="20" spans="1:16" ht="16.5" x14ac:dyDescent="0.25">
      <c r="A20" s="191"/>
      <c r="B20" s="64">
        <f t="shared" si="3"/>
        <v>6</v>
      </c>
      <c r="C20" s="77" t="s">
        <v>44</v>
      </c>
      <c r="D20" s="75" t="s">
        <v>33</v>
      </c>
      <c r="E20" s="75">
        <v>49202008987</v>
      </c>
      <c r="F20" s="75" t="s">
        <v>15</v>
      </c>
      <c r="G20" s="75" t="s">
        <v>32</v>
      </c>
      <c r="H20" s="68">
        <v>1710000</v>
      </c>
      <c r="I20" s="68">
        <f t="shared" si="1"/>
        <v>1026000</v>
      </c>
      <c r="J20" s="68">
        <v>1026000</v>
      </c>
      <c r="K20" s="68">
        <f t="shared" si="2"/>
        <v>0</v>
      </c>
      <c r="L20" s="76" t="s">
        <v>69</v>
      </c>
      <c r="M20" s="76"/>
      <c r="N20" s="85"/>
      <c r="O20" s="1"/>
      <c r="P20" s="1"/>
    </row>
    <row r="21" spans="1:16" ht="16.5" x14ac:dyDescent="0.25">
      <c r="A21" s="191"/>
      <c r="B21" s="64">
        <f t="shared" si="3"/>
        <v>7</v>
      </c>
      <c r="C21" s="77" t="s">
        <v>45</v>
      </c>
      <c r="D21" s="75" t="s">
        <v>24</v>
      </c>
      <c r="E21" s="75">
        <v>93097001330</v>
      </c>
      <c r="F21" s="75" t="s">
        <v>60</v>
      </c>
      <c r="G21" s="75" t="s">
        <v>25</v>
      </c>
      <c r="H21" s="68">
        <v>1830000</v>
      </c>
      <c r="I21" s="68">
        <f t="shared" si="1"/>
        <v>1098000</v>
      </c>
      <c r="J21" s="74">
        <v>1100000</v>
      </c>
      <c r="K21" s="68">
        <v>0</v>
      </c>
      <c r="L21" s="76" t="s">
        <v>69</v>
      </c>
      <c r="M21" s="76" t="s">
        <v>128</v>
      </c>
      <c r="N21" s="76"/>
      <c r="O21" s="1"/>
      <c r="P21" s="1"/>
    </row>
    <row r="22" spans="1:16" ht="16.5" x14ac:dyDescent="0.25">
      <c r="A22" s="191"/>
      <c r="B22" s="64">
        <f t="shared" si="3"/>
        <v>8</v>
      </c>
      <c r="C22" s="77" t="s">
        <v>79</v>
      </c>
      <c r="D22" s="75" t="s">
        <v>61</v>
      </c>
      <c r="E22" s="75">
        <v>95095009661</v>
      </c>
      <c r="F22" s="75" t="s">
        <v>62</v>
      </c>
      <c r="G22" s="75" t="s">
        <v>27</v>
      </c>
      <c r="H22" s="68">
        <v>1830000</v>
      </c>
      <c r="I22" s="68">
        <f t="shared" si="1"/>
        <v>1098000</v>
      </c>
      <c r="J22" s="74">
        <v>1098000</v>
      </c>
      <c r="K22" s="68">
        <f t="shared" si="2"/>
        <v>0</v>
      </c>
      <c r="L22" s="76" t="s">
        <v>69</v>
      </c>
      <c r="M22" s="80"/>
      <c r="N22" s="76"/>
      <c r="O22" s="1"/>
      <c r="P22" s="1"/>
    </row>
    <row r="23" spans="1:16" ht="16.5" x14ac:dyDescent="0.25">
      <c r="A23" s="191"/>
      <c r="B23" s="64">
        <f t="shared" si="3"/>
        <v>9</v>
      </c>
      <c r="C23" s="77" t="s">
        <v>98</v>
      </c>
      <c r="D23" s="75" t="s">
        <v>63</v>
      </c>
      <c r="E23" s="81">
        <v>91085001515</v>
      </c>
      <c r="F23" s="66" t="s">
        <v>18</v>
      </c>
      <c r="G23" s="75" t="s">
        <v>57</v>
      </c>
      <c r="H23" s="68">
        <v>1700000</v>
      </c>
      <c r="I23" s="68">
        <f t="shared" si="1"/>
        <v>1020000</v>
      </c>
      <c r="J23" s="74">
        <v>1020000</v>
      </c>
      <c r="K23" s="68">
        <f t="shared" si="2"/>
        <v>0</v>
      </c>
      <c r="L23" s="80" t="s">
        <v>69</v>
      </c>
      <c r="M23" s="76"/>
      <c r="N23" s="76"/>
      <c r="O23" s="1"/>
      <c r="P23" s="1"/>
    </row>
    <row r="24" spans="1:16" ht="16.5" x14ac:dyDescent="0.25">
      <c r="A24" s="191"/>
      <c r="B24" s="64">
        <f t="shared" si="3"/>
        <v>10</v>
      </c>
      <c r="C24" s="77" t="s">
        <v>52</v>
      </c>
      <c r="D24" s="64" t="s">
        <v>54</v>
      </c>
      <c r="E24" s="64" t="s">
        <v>94</v>
      </c>
      <c r="F24" s="64" t="s">
        <v>53</v>
      </c>
      <c r="G24" s="64" t="s">
        <v>35</v>
      </c>
      <c r="H24" s="68">
        <v>2090000</v>
      </c>
      <c r="I24" s="68">
        <f t="shared" si="1"/>
        <v>1254000</v>
      </c>
      <c r="J24" s="68">
        <v>1260000</v>
      </c>
      <c r="K24" s="68">
        <v>0</v>
      </c>
      <c r="L24" s="80" t="s">
        <v>69</v>
      </c>
      <c r="M24" s="76"/>
      <c r="N24" s="76"/>
      <c r="O24" s="1"/>
      <c r="P24" s="1"/>
    </row>
    <row r="25" spans="1:16" ht="16.5" x14ac:dyDescent="0.25">
      <c r="A25" s="191"/>
      <c r="B25" s="64">
        <f t="shared" si="3"/>
        <v>11</v>
      </c>
      <c r="C25" s="78" t="s">
        <v>92</v>
      </c>
      <c r="D25" s="70" t="s">
        <v>88</v>
      </c>
      <c r="E25" s="70" t="s">
        <v>89</v>
      </c>
      <c r="F25" s="70" t="s">
        <v>90</v>
      </c>
      <c r="G25" s="86" t="s">
        <v>93</v>
      </c>
      <c r="H25" s="74">
        <v>2750000</v>
      </c>
      <c r="I25" s="68">
        <f t="shared" si="1"/>
        <v>1650000</v>
      </c>
      <c r="J25" s="74">
        <v>1650000</v>
      </c>
      <c r="K25" s="68">
        <f>I25-J25</f>
        <v>0</v>
      </c>
      <c r="L25" s="80" t="s">
        <v>69</v>
      </c>
      <c r="M25" s="79"/>
      <c r="N25" s="79"/>
      <c r="O25" s="1"/>
      <c r="P25" s="1"/>
    </row>
    <row r="26" spans="1:16" ht="16.5" x14ac:dyDescent="0.25">
      <c r="A26" s="191"/>
      <c r="B26" s="64">
        <f t="shared" si="3"/>
        <v>12</v>
      </c>
      <c r="C26" s="105"/>
      <c r="D26" s="105"/>
      <c r="E26" s="105"/>
      <c r="F26" s="105"/>
      <c r="G26" s="64" t="s">
        <v>19</v>
      </c>
      <c r="H26" s="105"/>
      <c r="I26" s="105"/>
      <c r="J26" s="105"/>
      <c r="K26" s="105"/>
      <c r="L26" s="105"/>
      <c r="M26" s="105"/>
      <c r="N26" s="105"/>
      <c r="O26" s="1"/>
      <c r="P26" s="1"/>
    </row>
    <row r="27" spans="1:16" x14ac:dyDescent="0.25">
      <c r="A27" s="1"/>
      <c r="O27" s="1"/>
      <c r="P27" s="1"/>
    </row>
    <row r="28" spans="1:16" ht="22.5" x14ac:dyDescent="0.3">
      <c r="H28" s="187" t="s">
        <v>29</v>
      </c>
      <c r="I28" s="188"/>
      <c r="J28" s="9">
        <f>SUM(H7:H1001)</f>
        <v>29980000</v>
      </c>
    </row>
    <row r="29" spans="1:16" ht="22.5" x14ac:dyDescent="0.3">
      <c r="H29" s="187" t="s">
        <v>30</v>
      </c>
      <c r="I29" s="188"/>
      <c r="J29" s="9">
        <f>SUM(I7:I1001)</f>
        <v>17988000</v>
      </c>
    </row>
    <row r="30" spans="1:16" ht="22.5" x14ac:dyDescent="0.3">
      <c r="H30" s="187" t="s">
        <v>117</v>
      </c>
      <c r="I30" s="188"/>
      <c r="J30" s="63">
        <f>SUM(J7:J25)</f>
        <v>17996000</v>
      </c>
    </row>
    <row r="41" spans="4:8" x14ac:dyDescent="0.25">
      <c r="E41" s="1"/>
      <c r="G41" s="25"/>
      <c r="H41" s="1"/>
    </row>
    <row r="42" spans="4:8" x14ac:dyDescent="0.25">
      <c r="D42" s="1"/>
      <c r="E42" s="1"/>
      <c r="F42" s="1"/>
      <c r="G42" s="1"/>
      <c r="H42" s="1"/>
    </row>
  </sheetData>
  <mergeCells count="6">
    <mergeCell ref="H30:I30"/>
    <mergeCell ref="B3:K3"/>
    <mergeCell ref="A7:A13"/>
    <mergeCell ref="A15:A26"/>
    <mergeCell ref="H28:I28"/>
    <mergeCell ref="H29:I29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0563F-BA9E-4000-9267-941A5F5EE0B2}">
  <sheetPr codeName="Sheet13"/>
  <dimension ref="A1:P42"/>
  <sheetViews>
    <sheetView zoomScaleNormal="100" workbookViewId="0">
      <selection activeCell="Q26" sqref="Q26"/>
    </sheetView>
  </sheetViews>
  <sheetFormatPr defaultRowHeight="15" x14ac:dyDescent="0.25"/>
  <cols>
    <col min="1" max="1" width="18.28515625" customWidth="1"/>
    <col min="3" max="3" width="42.140625" customWidth="1"/>
    <col min="4" max="6" width="0" hidden="1" customWidth="1"/>
    <col min="7" max="7" width="19.5703125" customWidth="1"/>
    <col min="8" max="8" width="20.42578125" customWidth="1"/>
    <col min="9" max="9" width="20.7109375" customWidth="1"/>
    <col min="10" max="10" width="20.140625" customWidth="1"/>
    <col min="11" max="12" width="19.42578125" customWidth="1"/>
    <col min="13" max="13" width="20.5703125" customWidth="1"/>
    <col min="14" max="14" width="14.14062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L2" s="1"/>
      <c r="M2" s="1"/>
      <c r="N2" s="1"/>
      <c r="O2" s="1"/>
      <c r="P2" s="1"/>
    </row>
    <row r="3" spans="1:16" ht="27.75" x14ac:dyDescent="0.25">
      <c r="A3" s="1"/>
      <c r="B3" s="183" t="s">
        <v>31</v>
      </c>
      <c r="C3" s="183"/>
      <c r="D3" s="183"/>
      <c r="E3" s="183"/>
      <c r="F3" s="183"/>
      <c r="G3" s="183"/>
      <c r="H3" s="183"/>
      <c r="I3" s="183"/>
      <c r="J3" s="183"/>
      <c r="K3" s="183"/>
      <c r="L3" s="1"/>
      <c r="M3" s="1"/>
      <c r="N3" s="1"/>
      <c r="O3" s="1"/>
      <c r="P3" s="1"/>
    </row>
    <row r="4" spans="1:16" ht="30.75" x14ac:dyDescent="0.3">
      <c r="A4" s="1"/>
      <c r="C4" s="117"/>
      <c r="D4" s="117"/>
      <c r="E4" s="117"/>
      <c r="F4" s="117"/>
      <c r="H4" s="116" t="s">
        <v>123</v>
      </c>
      <c r="I4" s="117"/>
      <c r="J4" s="117"/>
      <c r="K4" s="117"/>
      <c r="L4" s="1"/>
      <c r="M4" s="23" t="s">
        <v>65</v>
      </c>
      <c r="N4" s="24">
        <v>0.6</v>
      </c>
      <c r="O4" s="1"/>
      <c r="P4" s="1"/>
    </row>
    <row r="5" spans="1:16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0.25" x14ac:dyDescent="0.3">
      <c r="A6" s="105"/>
      <c r="B6" s="106" t="s">
        <v>0</v>
      </c>
      <c r="C6" s="106" t="s">
        <v>1</v>
      </c>
      <c r="D6" s="106" t="s">
        <v>50</v>
      </c>
      <c r="E6" s="106" t="s">
        <v>2</v>
      </c>
      <c r="F6" s="106" t="s">
        <v>3</v>
      </c>
      <c r="G6" s="106" t="s">
        <v>49</v>
      </c>
      <c r="H6" s="106" t="s">
        <v>4</v>
      </c>
      <c r="I6" s="106" t="s">
        <v>20</v>
      </c>
      <c r="J6" s="106" t="s">
        <v>115</v>
      </c>
      <c r="K6" s="106" t="s">
        <v>116</v>
      </c>
      <c r="L6" s="106" t="s">
        <v>7</v>
      </c>
      <c r="M6" s="106" t="s">
        <v>34</v>
      </c>
      <c r="N6" s="106" t="s">
        <v>51</v>
      </c>
      <c r="O6" s="1"/>
      <c r="P6" s="87" t="s">
        <v>69</v>
      </c>
    </row>
    <row r="7" spans="1:16" ht="16.5" x14ac:dyDescent="0.25">
      <c r="A7" s="189" t="s">
        <v>119</v>
      </c>
      <c r="B7" s="64">
        <v>1</v>
      </c>
      <c r="C7" s="65" t="s">
        <v>38</v>
      </c>
      <c r="D7" s="66" t="s">
        <v>9</v>
      </c>
      <c r="E7" s="67">
        <v>91203011680</v>
      </c>
      <c r="F7" s="66" t="s">
        <v>15</v>
      </c>
      <c r="G7" s="66" t="s">
        <v>16</v>
      </c>
      <c r="H7" s="68">
        <v>2050000</v>
      </c>
      <c r="I7" s="68">
        <f>H7*N$4</f>
        <v>1230000</v>
      </c>
      <c r="J7" s="68">
        <v>1230000</v>
      </c>
      <c r="K7" s="68">
        <f>I7-J7</f>
        <v>0</v>
      </c>
      <c r="L7" s="88" t="s">
        <v>26</v>
      </c>
      <c r="M7" s="76"/>
      <c r="N7" s="76"/>
      <c r="O7" s="1"/>
      <c r="P7" s="88" t="s">
        <v>26</v>
      </c>
    </row>
    <row r="8" spans="1:16" ht="16.5" x14ac:dyDescent="0.25">
      <c r="A8" s="190"/>
      <c r="B8" s="64">
        <f>B7+1</f>
        <v>2</v>
      </c>
      <c r="C8" s="65" t="s">
        <v>37</v>
      </c>
      <c r="D8" s="75" t="s">
        <v>28</v>
      </c>
      <c r="E8" s="75">
        <v>42094001136</v>
      </c>
      <c r="F8" s="75" t="s">
        <v>15</v>
      </c>
      <c r="G8" s="75" t="s">
        <v>36</v>
      </c>
      <c r="H8" s="68">
        <v>1850000</v>
      </c>
      <c r="I8" s="68">
        <f t="shared" ref="I8:I11" si="0">H8*N$4</f>
        <v>1110000</v>
      </c>
      <c r="J8" s="74">
        <v>1110000</v>
      </c>
      <c r="K8" s="68">
        <f>I8-J8</f>
        <v>0</v>
      </c>
      <c r="L8" s="88" t="s">
        <v>26</v>
      </c>
      <c r="M8" s="76"/>
      <c r="N8" s="76"/>
      <c r="O8" s="1"/>
      <c r="P8" s="82" t="s">
        <v>72</v>
      </c>
    </row>
    <row r="9" spans="1:16" ht="16.5" x14ac:dyDescent="0.25">
      <c r="A9" s="190"/>
      <c r="B9" s="70">
        <f>B8+1</f>
        <v>3</v>
      </c>
      <c r="C9" s="109" t="s">
        <v>80</v>
      </c>
      <c r="D9" s="110" t="s">
        <v>75</v>
      </c>
      <c r="E9" s="111">
        <v>38085004911</v>
      </c>
      <c r="F9" s="111" t="s">
        <v>13</v>
      </c>
      <c r="G9" s="110" t="s">
        <v>73</v>
      </c>
      <c r="H9" s="112"/>
      <c r="I9" s="119">
        <f t="shared" si="0"/>
        <v>0</v>
      </c>
      <c r="J9" s="112"/>
      <c r="K9" s="119">
        <f>I9-J9</f>
        <v>0</v>
      </c>
      <c r="L9" s="118" t="s">
        <v>120</v>
      </c>
      <c r="M9" s="115"/>
      <c r="N9" s="79"/>
      <c r="O9" s="1"/>
      <c r="P9" s="1"/>
    </row>
    <row r="10" spans="1:16" ht="16.5" x14ac:dyDescent="0.25">
      <c r="A10" s="190"/>
      <c r="B10" s="64">
        <f>B9+1</f>
        <v>4</v>
      </c>
      <c r="C10" s="65" t="s">
        <v>103</v>
      </c>
      <c r="D10" s="66" t="s">
        <v>101</v>
      </c>
      <c r="E10" s="66">
        <v>70081001153</v>
      </c>
      <c r="F10" s="66" t="s">
        <v>102</v>
      </c>
      <c r="G10" s="66" t="s">
        <v>83</v>
      </c>
      <c r="H10" s="68">
        <v>1250000</v>
      </c>
      <c r="I10" s="68">
        <f t="shared" si="0"/>
        <v>750000</v>
      </c>
      <c r="J10" s="74">
        <v>750000</v>
      </c>
      <c r="K10" s="68">
        <f>I10-J10</f>
        <v>0</v>
      </c>
      <c r="L10" s="88" t="s">
        <v>26</v>
      </c>
      <c r="M10" s="76"/>
      <c r="N10" s="76"/>
      <c r="O10" s="1"/>
      <c r="P10" s="1"/>
    </row>
    <row r="11" spans="1:16" ht="16.5" x14ac:dyDescent="0.25">
      <c r="A11" s="190"/>
      <c r="B11" s="70">
        <f>B10+1</f>
        <v>5</v>
      </c>
      <c r="C11" s="71" t="s">
        <v>104</v>
      </c>
      <c r="D11" s="73" t="s">
        <v>106</v>
      </c>
      <c r="E11" s="73">
        <v>27068001194</v>
      </c>
      <c r="F11" s="73" t="s">
        <v>105</v>
      </c>
      <c r="G11" s="73" t="s">
        <v>82</v>
      </c>
      <c r="H11" s="74">
        <v>1450000</v>
      </c>
      <c r="I11" s="68">
        <f t="shared" si="0"/>
        <v>870000</v>
      </c>
      <c r="J11" s="74">
        <v>870000</v>
      </c>
      <c r="K11" s="68">
        <f>I11-J11</f>
        <v>0</v>
      </c>
      <c r="L11" s="88" t="s">
        <v>26</v>
      </c>
      <c r="M11" s="79" t="s">
        <v>125</v>
      </c>
      <c r="N11" s="79"/>
      <c r="O11" s="1"/>
      <c r="P11" s="1"/>
    </row>
    <row r="12" spans="1:16" ht="16.5" x14ac:dyDescent="0.25">
      <c r="A12" s="190"/>
      <c r="B12" s="105"/>
      <c r="C12" s="105"/>
      <c r="D12" s="105"/>
      <c r="E12" s="105"/>
      <c r="F12" s="105"/>
      <c r="G12" s="105"/>
      <c r="H12" s="105"/>
      <c r="I12" s="105"/>
      <c r="J12" s="105"/>
      <c r="K12" s="120"/>
      <c r="L12" s="105"/>
      <c r="M12" s="105"/>
      <c r="N12" s="105"/>
      <c r="O12" s="1"/>
      <c r="P12" s="1"/>
    </row>
    <row r="13" spans="1:16" ht="16.5" x14ac:dyDescent="0.25">
      <c r="A13" s="190"/>
      <c r="B13" s="64"/>
      <c r="C13" s="65"/>
      <c r="D13" s="66"/>
      <c r="E13" s="67"/>
      <c r="F13" s="66"/>
      <c r="G13" s="66"/>
      <c r="H13" s="68"/>
      <c r="I13" s="68"/>
      <c r="J13" s="74"/>
      <c r="K13" s="68"/>
      <c r="L13" s="76"/>
      <c r="M13" s="76"/>
      <c r="N13" s="76"/>
      <c r="O13" s="1"/>
      <c r="P13" s="1"/>
    </row>
    <row r="14" spans="1:16" ht="25.5" x14ac:dyDescent="0.25">
      <c r="A14" s="107"/>
      <c r="B14" s="89"/>
      <c r="C14" s="90"/>
      <c r="D14" s="89"/>
      <c r="E14" s="91"/>
      <c r="F14" s="92"/>
      <c r="G14" s="93"/>
      <c r="H14" s="94"/>
      <c r="I14" s="94"/>
      <c r="J14" s="97"/>
      <c r="K14" s="96"/>
      <c r="L14" s="96"/>
      <c r="M14" s="97"/>
      <c r="N14" s="97"/>
      <c r="O14" s="1"/>
      <c r="P14" s="1"/>
    </row>
    <row r="15" spans="1:16" ht="16.5" x14ac:dyDescent="0.25">
      <c r="A15" s="191" t="s">
        <v>118</v>
      </c>
      <c r="B15" s="64">
        <v>1</v>
      </c>
      <c r="C15" s="77" t="s">
        <v>40</v>
      </c>
      <c r="D15" s="66" t="s">
        <v>8</v>
      </c>
      <c r="E15" s="67">
        <v>38096003688</v>
      </c>
      <c r="F15" s="66" t="s">
        <v>13</v>
      </c>
      <c r="G15" s="66" t="s">
        <v>14</v>
      </c>
      <c r="H15" s="68">
        <v>3000000</v>
      </c>
      <c r="I15" s="68">
        <f t="shared" ref="I15:I26" si="1">H15*N$4</f>
        <v>1800000</v>
      </c>
      <c r="J15" s="68">
        <v>1800000</v>
      </c>
      <c r="K15" s="68">
        <f t="shared" ref="K15:K26" si="2">I15-J15</f>
        <v>0</v>
      </c>
      <c r="L15" s="87" t="s">
        <v>69</v>
      </c>
      <c r="M15" s="76"/>
      <c r="N15" s="76"/>
      <c r="O15" s="1"/>
      <c r="P15" s="1"/>
    </row>
    <row r="16" spans="1:16" ht="16.5" x14ac:dyDescent="0.25">
      <c r="A16" s="191"/>
      <c r="B16" s="64">
        <f>B15+1</f>
        <v>2</v>
      </c>
      <c r="C16" s="77" t="s">
        <v>41</v>
      </c>
      <c r="D16" s="66" t="s">
        <v>10</v>
      </c>
      <c r="E16" s="67">
        <v>89078016404</v>
      </c>
      <c r="F16" s="66" t="s">
        <v>18</v>
      </c>
      <c r="G16" s="66" t="s">
        <v>17</v>
      </c>
      <c r="H16" s="68">
        <v>1940000</v>
      </c>
      <c r="I16" s="68">
        <f t="shared" si="1"/>
        <v>1164000</v>
      </c>
      <c r="J16" s="68">
        <v>1164000</v>
      </c>
      <c r="K16" s="68">
        <f t="shared" si="2"/>
        <v>0</v>
      </c>
      <c r="L16" s="87" t="s">
        <v>69</v>
      </c>
      <c r="M16" s="76"/>
      <c r="N16" s="76"/>
      <c r="O16" s="1"/>
      <c r="P16" s="1"/>
    </row>
    <row r="17" spans="1:16" ht="16.5" x14ac:dyDescent="0.25">
      <c r="A17" s="191"/>
      <c r="B17" s="64">
        <f t="shared" ref="B17:B26" si="3">B16+1</f>
        <v>3</v>
      </c>
      <c r="C17" s="78" t="s">
        <v>67</v>
      </c>
      <c r="D17" s="73" t="s">
        <v>11</v>
      </c>
      <c r="E17" s="72">
        <v>89099008054</v>
      </c>
      <c r="F17" s="73" t="s">
        <v>18</v>
      </c>
      <c r="G17" s="73" t="s">
        <v>48</v>
      </c>
      <c r="H17" s="74">
        <v>2770000</v>
      </c>
      <c r="I17" s="68">
        <f t="shared" si="1"/>
        <v>1662000</v>
      </c>
      <c r="J17" s="74">
        <v>1662000</v>
      </c>
      <c r="K17" s="68">
        <f t="shared" si="2"/>
        <v>0</v>
      </c>
      <c r="L17" s="87" t="s">
        <v>69</v>
      </c>
      <c r="M17" s="79"/>
      <c r="N17" s="79"/>
      <c r="O17" s="1"/>
      <c r="P17" s="1"/>
    </row>
    <row r="18" spans="1:16" ht="16.5" x14ac:dyDescent="0.25">
      <c r="A18" s="191"/>
      <c r="B18" s="64">
        <f t="shared" si="3"/>
        <v>4</v>
      </c>
      <c r="C18" s="77" t="s">
        <v>42</v>
      </c>
      <c r="D18" s="75" t="s">
        <v>59</v>
      </c>
      <c r="E18" s="75">
        <v>89082022656</v>
      </c>
      <c r="F18" s="75" t="s">
        <v>18</v>
      </c>
      <c r="G18" s="75" t="s">
        <v>56</v>
      </c>
      <c r="H18" s="68">
        <v>2140000</v>
      </c>
      <c r="I18" s="68">
        <f t="shared" si="1"/>
        <v>1284000</v>
      </c>
      <c r="J18" s="74">
        <v>1284000</v>
      </c>
      <c r="K18" s="68">
        <f t="shared" si="2"/>
        <v>0</v>
      </c>
      <c r="L18" s="87" t="s">
        <v>69</v>
      </c>
      <c r="M18" s="76"/>
      <c r="N18" s="85"/>
      <c r="O18" s="1"/>
      <c r="P18" s="1"/>
    </row>
    <row r="19" spans="1:16" ht="16.5" x14ac:dyDescent="0.25">
      <c r="A19" s="191"/>
      <c r="B19" s="64">
        <f t="shared" si="3"/>
        <v>5</v>
      </c>
      <c r="C19" s="77" t="s">
        <v>43</v>
      </c>
      <c r="D19" s="75" t="s">
        <v>23</v>
      </c>
      <c r="E19" s="75">
        <v>42088019031</v>
      </c>
      <c r="F19" s="75" t="s">
        <v>21</v>
      </c>
      <c r="G19" s="75" t="s">
        <v>22</v>
      </c>
      <c r="H19" s="68">
        <v>2520000</v>
      </c>
      <c r="I19" s="68">
        <f t="shared" si="1"/>
        <v>1512000</v>
      </c>
      <c r="J19" s="74">
        <v>1512000</v>
      </c>
      <c r="K19" s="68">
        <f t="shared" si="2"/>
        <v>0</v>
      </c>
      <c r="L19" s="87" t="s">
        <v>69</v>
      </c>
      <c r="M19" s="76"/>
      <c r="N19" s="76"/>
      <c r="O19" s="1"/>
      <c r="P19" s="1"/>
    </row>
    <row r="20" spans="1:16" ht="16.5" x14ac:dyDescent="0.25">
      <c r="A20" s="191"/>
      <c r="B20" s="64">
        <f t="shared" si="3"/>
        <v>6</v>
      </c>
      <c r="C20" s="77" t="s">
        <v>44</v>
      </c>
      <c r="D20" s="75" t="s">
        <v>33</v>
      </c>
      <c r="E20" s="75">
        <v>49202008987</v>
      </c>
      <c r="F20" s="75" t="s">
        <v>15</v>
      </c>
      <c r="G20" s="75" t="s">
        <v>32</v>
      </c>
      <c r="H20" s="68">
        <v>2360000</v>
      </c>
      <c r="I20" s="68">
        <f t="shared" si="1"/>
        <v>1416000</v>
      </c>
      <c r="J20" s="68">
        <v>1416000</v>
      </c>
      <c r="K20" s="68">
        <f t="shared" si="2"/>
        <v>0</v>
      </c>
      <c r="L20" s="87" t="s">
        <v>69</v>
      </c>
      <c r="M20" s="76"/>
      <c r="N20" s="85"/>
      <c r="O20" s="1"/>
      <c r="P20" s="1"/>
    </row>
    <row r="21" spans="1:16" ht="16.5" x14ac:dyDescent="0.25">
      <c r="A21" s="191"/>
      <c r="B21" s="64">
        <f t="shared" si="3"/>
        <v>7</v>
      </c>
      <c r="C21" s="77" t="s">
        <v>45</v>
      </c>
      <c r="D21" s="75" t="s">
        <v>24</v>
      </c>
      <c r="E21" s="75">
        <v>93097001330</v>
      </c>
      <c r="F21" s="75" t="s">
        <v>60</v>
      </c>
      <c r="G21" s="75" t="s">
        <v>25</v>
      </c>
      <c r="H21" s="68">
        <v>1780000</v>
      </c>
      <c r="I21" s="68">
        <f t="shared" si="1"/>
        <v>1068000</v>
      </c>
      <c r="J21" s="74">
        <v>1068000</v>
      </c>
      <c r="K21" s="68">
        <f>I21-J21</f>
        <v>0</v>
      </c>
      <c r="L21" s="87" t="s">
        <v>69</v>
      </c>
      <c r="M21" s="76"/>
      <c r="N21" s="76"/>
      <c r="O21" s="1"/>
      <c r="P21" s="1"/>
    </row>
    <row r="22" spans="1:16" ht="16.5" x14ac:dyDescent="0.25">
      <c r="A22" s="191"/>
      <c r="B22" s="64">
        <f t="shared" si="3"/>
        <v>8</v>
      </c>
      <c r="C22" s="77" t="s">
        <v>79</v>
      </c>
      <c r="D22" s="75" t="s">
        <v>61</v>
      </c>
      <c r="E22" s="75">
        <v>95095009661</v>
      </c>
      <c r="F22" s="75" t="s">
        <v>62</v>
      </c>
      <c r="G22" s="75" t="s">
        <v>27</v>
      </c>
      <c r="H22" s="68">
        <v>1990000</v>
      </c>
      <c r="I22" s="68">
        <f t="shared" si="1"/>
        <v>1194000</v>
      </c>
      <c r="J22" s="74">
        <v>1194000</v>
      </c>
      <c r="K22" s="68">
        <f t="shared" si="2"/>
        <v>0</v>
      </c>
      <c r="L22" s="87" t="s">
        <v>69</v>
      </c>
      <c r="M22" s="80"/>
      <c r="N22" s="76"/>
      <c r="O22" s="1"/>
      <c r="P22" s="1"/>
    </row>
    <row r="23" spans="1:16" ht="16.5" x14ac:dyDescent="0.25">
      <c r="A23" s="191"/>
      <c r="B23" s="64">
        <f t="shared" si="3"/>
        <v>9</v>
      </c>
      <c r="C23" s="77" t="s">
        <v>98</v>
      </c>
      <c r="D23" s="75" t="s">
        <v>63</v>
      </c>
      <c r="E23" s="81">
        <v>91085001515</v>
      </c>
      <c r="F23" s="66" t="s">
        <v>18</v>
      </c>
      <c r="G23" s="75" t="s">
        <v>57</v>
      </c>
      <c r="H23" s="68">
        <v>1000000</v>
      </c>
      <c r="I23" s="68">
        <f t="shared" si="1"/>
        <v>600000</v>
      </c>
      <c r="J23" s="74">
        <v>600000</v>
      </c>
      <c r="K23" s="68">
        <f t="shared" si="2"/>
        <v>0</v>
      </c>
      <c r="L23" s="87" t="s">
        <v>69</v>
      </c>
      <c r="M23" s="76"/>
      <c r="N23" s="76"/>
      <c r="O23" s="1"/>
      <c r="P23" s="1"/>
    </row>
    <row r="24" spans="1:16" ht="16.5" x14ac:dyDescent="0.25">
      <c r="A24" s="191"/>
      <c r="B24" s="64">
        <f t="shared" si="3"/>
        <v>10</v>
      </c>
      <c r="C24" s="77" t="s">
        <v>52</v>
      </c>
      <c r="D24" s="64" t="s">
        <v>54</v>
      </c>
      <c r="E24" s="64" t="s">
        <v>94</v>
      </c>
      <c r="F24" s="64" t="s">
        <v>53</v>
      </c>
      <c r="G24" s="64" t="s">
        <v>35</v>
      </c>
      <c r="H24" s="68">
        <v>2050000</v>
      </c>
      <c r="I24" s="68">
        <f t="shared" si="1"/>
        <v>1230000</v>
      </c>
      <c r="J24" s="68">
        <v>1230000</v>
      </c>
      <c r="K24" s="68">
        <f t="shared" si="2"/>
        <v>0</v>
      </c>
      <c r="L24" s="87" t="s">
        <v>69</v>
      </c>
      <c r="M24" s="76"/>
      <c r="N24" s="76"/>
      <c r="O24" s="1"/>
      <c r="P24" s="1"/>
    </row>
    <row r="25" spans="1:16" ht="16.5" x14ac:dyDescent="0.25">
      <c r="A25" s="191"/>
      <c r="B25" s="64">
        <f t="shared" si="3"/>
        <v>11</v>
      </c>
      <c r="C25" s="78" t="s">
        <v>92</v>
      </c>
      <c r="D25" s="70" t="s">
        <v>88</v>
      </c>
      <c r="E25" s="70" t="s">
        <v>89</v>
      </c>
      <c r="F25" s="70" t="s">
        <v>90</v>
      </c>
      <c r="G25" s="86" t="s">
        <v>93</v>
      </c>
      <c r="H25" s="74">
        <v>3500000</v>
      </c>
      <c r="I25" s="68">
        <f t="shared" si="1"/>
        <v>2100000</v>
      </c>
      <c r="J25" s="74">
        <v>2100000</v>
      </c>
      <c r="K25" s="68">
        <f t="shared" si="2"/>
        <v>0</v>
      </c>
      <c r="L25" s="87" t="s">
        <v>69</v>
      </c>
      <c r="M25" s="79"/>
      <c r="N25" s="79"/>
      <c r="O25" s="1"/>
      <c r="P25" s="1"/>
    </row>
    <row r="26" spans="1:16" ht="16.5" x14ac:dyDescent="0.25">
      <c r="A26" s="191"/>
      <c r="B26" s="64">
        <f t="shared" si="3"/>
        <v>12</v>
      </c>
      <c r="C26" s="105"/>
      <c r="D26" s="105"/>
      <c r="E26" s="105"/>
      <c r="F26" s="105"/>
      <c r="G26" s="64" t="s">
        <v>19</v>
      </c>
      <c r="H26" s="105"/>
      <c r="I26" s="68">
        <f t="shared" si="1"/>
        <v>0</v>
      </c>
      <c r="J26" s="105"/>
      <c r="K26" s="68">
        <f t="shared" si="2"/>
        <v>0</v>
      </c>
      <c r="L26" s="105"/>
      <c r="M26" s="121" t="s">
        <v>124</v>
      </c>
      <c r="N26" s="105"/>
      <c r="O26" s="1"/>
      <c r="P26" s="1"/>
    </row>
    <row r="27" spans="1:16" x14ac:dyDescent="0.25">
      <c r="A27" s="1"/>
      <c r="O27" s="1"/>
      <c r="P27" s="1"/>
    </row>
    <row r="28" spans="1:16" ht="22.5" x14ac:dyDescent="0.3">
      <c r="H28" s="187" t="s">
        <v>29</v>
      </c>
      <c r="I28" s="188"/>
      <c r="J28" s="9">
        <f>SUM(H7:H1001)</f>
        <v>31650000</v>
      </c>
    </row>
    <row r="29" spans="1:16" ht="22.5" x14ac:dyDescent="0.3">
      <c r="H29" s="187" t="s">
        <v>30</v>
      </c>
      <c r="I29" s="188"/>
      <c r="J29" s="9">
        <f>SUM(I7:I1001)</f>
        <v>18990000</v>
      </c>
    </row>
    <row r="30" spans="1:16" ht="22.5" x14ac:dyDescent="0.3">
      <c r="H30" s="187" t="s">
        <v>117</v>
      </c>
      <c r="I30" s="188"/>
      <c r="J30" s="63">
        <f>SUM(J7:J25)</f>
        <v>18990000</v>
      </c>
    </row>
    <row r="41" spans="4:8" x14ac:dyDescent="0.25">
      <c r="E41" s="1"/>
      <c r="G41" s="25"/>
      <c r="H41" s="1"/>
    </row>
    <row r="42" spans="4:8" x14ac:dyDescent="0.25">
      <c r="D42" s="1"/>
      <c r="E42" s="1"/>
      <c r="F42" s="1"/>
      <c r="G42" s="1"/>
      <c r="H42" s="1"/>
    </row>
  </sheetData>
  <sheetProtection sheet="1" objects="1" scenarios="1"/>
  <mergeCells count="6">
    <mergeCell ref="H30:I30"/>
    <mergeCell ref="B3:K3"/>
    <mergeCell ref="A7:A13"/>
    <mergeCell ref="A15:A26"/>
    <mergeCell ref="H28:I28"/>
    <mergeCell ref="H29:I29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5EDF3-4F46-4E80-BC67-B215736C9FA5}">
  <sheetPr codeName="Sheet14"/>
  <dimension ref="A1:P42"/>
  <sheetViews>
    <sheetView zoomScaleNormal="100" workbookViewId="0">
      <selection activeCell="Q26" sqref="Q26"/>
    </sheetView>
  </sheetViews>
  <sheetFormatPr defaultRowHeight="15" x14ac:dyDescent="0.25"/>
  <cols>
    <col min="1" max="1" width="18.28515625" customWidth="1"/>
    <col min="3" max="3" width="42.140625" customWidth="1"/>
    <col min="4" max="6" width="0" hidden="1" customWidth="1"/>
    <col min="7" max="7" width="19.5703125" customWidth="1"/>
    <col min="8" max="8" width="20.42578125" customWidth="1"/>
    <col min="9" max="9" width="20.7109375" customWidth="1"/>
    <col min="10" max="10" width="20.140625" customWidth="1"/>
    <col min="11" max="12" width="19.42578125" customWidth="1"/>
    <col min="13" max="13" width="20.5703125" customWidth="1"/>
    <col min="14" max="14" width="14.14062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L2" s="1"/>
      <c r="M2" s="1"/>
      <c r="N2" s="1"/>
      <c r="O2" s="1"/>
      <c r="P2" s="1"/>
    </row>
    <row r="3" spans="1:16" ht="27.75" x14ac:dyDescent="0.25">
      <c r="A3" s="1"/>
      <c r="B3" s="183" t="s">
        <v>31</v>
      </c>
      <c r="C3" s="183"/>
      <c r="D3" s="183"/>
      <c r="E3" s="183"/>
      <c r="F3" s="183"/>
      <c r="G3" s="183"/>
      <c r="H3" s="183"/>
      <c r="I3" s="183"/>
      <c r="J3" s="183"/>
      <c r="K3" s="183"/>
      <c r="L3" s="1"/>
      <c r="M3" s="1"/>
      <c r="N3" s="1"/>
      <c r="O3" s="1"/>
      <c r="P3" s="1"/>
    </row>
    <row r="4" spans="1:16" ht="30.75" x14ac:dyDescent="0.3">
      <c r="A4" s="1"/>
      <c r="C4" s="117"/>
      <c r="D4" s="117"/>
      <c r="E4" s="117"/>
      <c r="F4" s="117"/>
      <c r="H4" s="116" t="s">
        <v>126</v>
      </c>
      <c r="I4" s="117"/>
      <c r="J4" s="117"/>
      <c r="K4" s="117"/>
      <c r="L4" s="1"/>
      <c r="M4" s="23" t="s">
        <v>65</v>
      </c>
      <c r="N4" s="24">
        <v>0.6</v>
      </c>
      <c r="O4" s="1"/>
      <c r="P4" s="1"/>
    </row>
    <row r="5" spans="1:16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0.25" x14ac:dyDescent="0.3">
      <c r="A6" s="105"/>
      <c r="B6" s="106" t="s">
        <v>0</v>
      </c>
      <c r="C6" s="106" t="s">
        <v>1</v>
      </c>
      <c r="D6" s="106" t="s">
        <v>50</v>
      </c>
      <c r="E6" s="106" t="s">
        <v>2</v>
      </c>
      <c r="F6" s="106" t="s">
        <v>3</v>
      </c>
      <c r="G6" s="106" t="s">
        <v>49</v>
      </c>
      <c r="H6" s="106" t="s">
        <v>4</v>
      </c>
      <c r="I6" s="106" t="s">
        <v>20</v>
      </c>
      <c r="J6" s="106" t="s">
        <v>115</v>
      </c>
      <c r="K6" s="106" t="s">
        <v>116</v>
      </c>
      <c r="L6" s="106" t="s">
        <v>7</v>
      </c>
      <c r="M6" s="106" t="s">
        <v>34</v>
      </c>
      <c r="N6" s="106" t="s">
        <v>51</v>
      </c>
      <c r="O6" s="1"/>
      <c r="P6" s="87" t="s">
        <v>69</v>
      </c>
    </row>
    <row r="7" spans="1:16" ht="16.5" x14ac:dyDescent="0.25">
      <c r="A7" s="189" t="s">
        <v>119</v>
      </c>
      <c r="B7" s="64">
        <v>1</v>
      </c>
      <c r="C7" s="65" t="s">
        <v>38</v>
      </c>
      <c r="D7" s="66" t="s">
        <v>9</v>
      </c>
      <c r="E7" s="67">
        <v>91203011680</v>
      </c>
      <c r="F7" s="66" t="s">
        <v>15</v>
      </c>
      <c r="G7" s="66" t="s">
        <v>16</v>
      </c>
      <c r="H7" s="68">
        <v>1950000</v>
      </c>
      <c r="I7" s="68">
        <f>H7*N$4</f>
        <v>1170000</v>
      </c>
      <c r="J7" s="68">
        <v>1170000</v>
      </c>
      <c r="K7" s="68">
        <f>I7-J7</f>
        <v>0</v>
      </c>
      <c r="L7" s="88" t="s">
        <v>26</v>
      </c>
      <c r="M7" s="76"/>
      <c r="N7" s="76"/>
      <c r="O7" s="1"/>
      <c r="P7" s="88" t="s">
        <v>26</v>
      </c>
    </row>
    <row r="8" spans="1:16" ht="16.5" x14ac:dyDescent="0.25">
      <c r="A8" s="190"/>
      <c r="B8" s="64">
        <f>B7+1</f>
        <v>2</v>
      </c>
      <c r="C8" s="65" t="s">
        <v>37</v>
      </c>
      <c r="D8" s="75" t="s">
        <v>28</v>
      </c>
      <c r="E8" s="75">
        <v>42094001136</v>
      </c>
      <c r="F8" s="75" t="s">
        <v>15</v>
      </c>
      <c r="G8" s="75" t="s">
        <v>36</v>
      </c>
      <c r="H8" s="68">
        <v>1200000</v>
      </c>
      <c r="I8" s="68">
        <f t="shared" ref="I8:I11" si="0">H8*N$4</f>
        <v>720000</v>
      </c>
      <c r="J8" s="74">
        <v>720000</v>
      </c>
      <c r="K8" s="68">
        <f>I8-J8</f>
        <v>0</v>
      </c>
      <c r="L8" s="88" t="s">
        <v>26</v>
      </c>
      <c r="M8" s="76"/>
      <c r="N8" s="76"/>
      <c r="O8" s="1"/>
      <c r="P8" s="82" t="s">
        <v>72</v>
      </c>
    </row>
    <row r="9" spans="1:16" ht="16.5" x14ac:dyDescent="0.25">
      <c r="A9" s="190"/>
      <c r="B9" s="70">
        <f>B8+1</f>
        <v>3</v>
      </c>
      <c r="C9" s="109" t="s">
        <v>80</v>
      </c>
      <c r="D9" s="110" t="s">
        <v>75</v>
      </c>
      <c r="E9" s="111">
        <v>38085004911</v>
      </c>
      <c r="F9" s="111" t="s">
        <v>13</v>
      </c>
      <c r="G9" s="110" t="s">
        <v>73</v>
      </c>
      <c r="H9" s="112"/>
      <c r="I9" s="119">
        <f t="shared" si="0"/>
        <v>0</v>
      </c>
      <c r="J9" s="112"/>
      <c r="K9" s="119">
        <f>I9-J9</f>
        <v>0</v>
      </c>
      <c r="L9" s="118" t="s">
        <v>120</v>
      </c>
      <c r="M9" s="115"/>
      <c r="N9" s="79"/>
      <c r="O9" s="1"/>
      <c r="P9" s="1"/>
    </row>
    <row r="10" spans="1:16" ht="16.5" x14ac:dyDescent="0.25">
      <c r="A10" s="190"/>
      <c r="B10" s="64">
        <f>B9+1</f>
        <v>4</v>
      </c>
      <c r="C10" s="65" t="s">
        <v>103</v>
      </c>
      <c r="D10" s="66" t="s">
        <v>101</v>
      </c>
      <c r="E10" s="66">
        <v>70081001153</v>
      </c>
      <c r="F10" s="66" t="s">
        <v>102</v>
      </c>
      <c r="G10" s="66" t="s">
        <v>83</v>
      </c>
      <c r="H10" s="68">
        <v>1000000</v>
      </c>
      <c r="I10" s="68">
        <f t="shared" si="0"/>
        <v>600000</v>
      </c>
      <c r="J10" s="74">
        <v>600000</v>
      </c>
      <c r="K10" s="68">
        <f>I10-J10</f>
        <v>0</v>
      </c>
      <c r="L10" s="88" t="s">
        <v>26</v>
      </c>
      <c r="M10" s="76"/>
      <c r="N10" s="76"/>
      <c r="O10" s="1"/>
      <c r="P10" s="1"/>
    </row>
    <row r="11" spans="1:16" ht="16.5" x14ac:dyDescent="0.25">
      <c r="A11" s="190"/>
      <c r="B11" s="70">
        <f>B10+1</f>
        <v>5</v>
      </c>
      <c r="C11" s="71" t="s">
        <v>104</v>
      </c>
      <c r="D11" s="73" t="s">
        <v>106</v>
      </c>
      <c r="E11" s="73">
        <v>27068001194</v>
      </c>
      <c r="F11" s="73" t="s">
        <v>105</v>
      </c>
      <c r="G11" s="73" t="s">
        <v>82</v>
      </c>
      <c r="H11" s="74">
        <v>1350000</v>
      </c>
      <c r="I11" s="68">
        <f t="shared" si="0"/>
        <v>810000</v>
      </c>
      <c r="J11" s="74">
        <v>810000</v>
      </c>
      <c r="K11" s="68">
        <f>I11-J11</f>
        <v>0</v>
      </c>
      <c r="L11" s="88" t="s">
        <v>26</v>
      </c>
      <c r="M11" s="79"/>
      <c r="N11" s="79"/>
      <c r="O11" s="1"/>
      <c r="P11" s="1"/>
    </row>
    <row r="12" spans="1:16" ht="16.5" x14ac:dyDescent="0.25">
      <c r="A12" s="190"/>
      <c r="B12" s="105"/>
      <c r="C12" s="105"/>
      <c r="D12" s="105"/>
      <c r="E12" s="105"/>
      <c r="F12" s="105"/>
      <c r="G12" s="105"/>
      <c r="H12" s="105"/>
      <c r="I12" s="105"/>
      <c r="J12" s="105"/>
      <c r="K12" s="120"/>
      <c r="L12" s="105"/>
      <c r="M12" s="105"/>
      <c r="N12" s="105"/>
      <c r="O12" s="1"/>
      <c r="P12" s="1"/>
    </row>
    <row r="13" spans="1:16" ht="16.5" x14ac:dyDescent="0.25">
      <c r="A13" s="190"/>
      <c r="B13" s="64"/>
      <c r="C13" s="65"/>
      <c r="D13" s="66"/>
      <c r="E13" s="67"/>
      <c r="F13" s="66"/>
      <c r="G13" s="66"/>
      <c r="H13" s="68"/>
      <c r="I13" s="68"/>
      <c r="J13" s="74"/>
      <c r="K13" s="68"/>
      <c r="L13" s="76"/>
      <c r="M13" s="76"/>
      <c r="N13" s="76"/>
      <c r="O13" s="1"/>
      <c r="P13" s="1"/>
    </row>
    <row r="14" spans="1:16" ht="25.5" x14ac:dyDescent="0.25">
      <c r="A14" s="107"/>
      <c r="B14" s="89"/>
      <c r="C14" s="90"/>
      <c r="D14" s="89"/>
      <c r="E14" s="91"/>
      <c r="F14" s="92"/>
      <c r="G14" s="93"/>
      <c r="H14" s="94"/>
      <c r="I14" s="94"/>
      <c r="J14" s="97"/>
      <c r="K14" s="96"/>
      <c r="L14" s="96"/>
      <c r="M14" s="97"/>
      <c r="N14" s="97"/>
      <c r="O14" s="1"/>
      <c r="P14" s="1"/>
    </row>
    <row r="15" spans="1:16" ht="16.5" x14ac:dyDescent="0.25">
      <c r="A15" s="191" t="s">
        <v>118</v>
      </c>
      <c r="B15" s="64">
        <v>1</v>
      </c>
      <c r="C15" s="77" t="s">
        <v>40</v>
      </c>
      <c r="D15" s="66" t="s">
        <v>8</v>
      </c>
      <c r="E15" s="67">
        <v>38096003688</v>
      </c>
      <c r="F15" s="66" t="s">
        <v>13</v>
      </c>
      <c r="G15" s="66" t="s">
        <v>14</v>
      </c>
      <c r="H15" s="68">
        <v>2230000</v>
      </c>
      <c r="I15" s="68">
        <f t="shared" ref="I15:I26" si="1">H15*N$4</f>
        <v>1338000</v>
      </c>
      <c r="J15" s="68">
        <v>1340000</v>
      </c>
      <c r="K15" s="68">
        <v>0</v>
      </c>
      <c r="L15" s="87" t="s">
        <v>69</v>
      </c>
      <c r="M15" s="76"/>
      <c r="N15" s="76"/>
      <c r="O15" s="1"/>
      <c r="P15" s="1"/>
    </row>
    <row r="16" spans="1:16" ht="16.5" x14ac:dyDescent="0.25">
      <c r="A16" s="191"/>
      <c r="B16" s="64">
        <f>B15+1</f>
        <v>2</v>
      </c>
      <c r="C16" s="77" t="s">
        <v>41</v>
      </c>
      <c r="D16" s="66" t="s">
        <v>10</v>
      </c>
      <c r="E16" s="67">
        <v>89078016404</v>
      </c>
      <c r="F16" s="66" t="s">
        <v>18</v>
      </c>
      <c r="G16" s="66" t="s">
        <v>17</v>
      </c>
      <c r="H16" s="68">
        <v>1460000</v>
      </c>
      <c r="I16" s="68">
        <f t="shared" si="1"/>
        <v>876000</v>
      </c>
      <c r="J16" s="68">
        <v>876000</v>
      </c>
      <c r="K16" s="68">
        <f t="shared" ref="K16:K26" si="2">I16-J16</f>
        <v>0</v>
      </c>
      <c r="L16" s="87" t="s">
        <v>69</v>
      </c>
      <c r="M16" s="76"/>
      <c r="N16" s="76"/>
      <c r="O16" s="1"/>
      <c r="P16" s="1"/>
    </row>
    <row r="17" spans="1:16" ht="16.5" x14ac:dyDescent="0.25">
      <c r="A17" s="191"/>
      <c r="B17" s="64">
        <f t="shared" ref="B17:B26" si="3">B16+1</f>
        <v>3</v>
      </c>
      <c r="C17" s="78" t="s">
        <v>67</v>
      </c>
      <c r="D17" s="73" t="s">
        <v>11</v>
      </c>
      <c r="E17" s="72">
        <v>89099008054</v>
      </c>
      <c r="F17" s="73" t="s">
        <v>18</v>
      </c>
      <c r="G17" s="73" t="s">
        <v>48</v>
      </c>
      <c r="H17" s="74">
        <v>2075000</v>
      </c>
      <c r="I17" s="68">
        <f t="shared" si="1"/>
        <v>1245000</v>
      </c>
      <c r="J17" s="74">
        <v>1245000</v>
      </c>
      <c r="K17" s="68">
        <f t="shared" si="2"/>
        <v>0</v>
      </c>
      <c r="L17" s="87" t="s">
        <v>69</v>
      </c>
      <c r="M17" s="79"/>
      <c r="N17" s="79"/>
      <c r="O17" s="1"/>
      <c r="P17" s="1"/>
    </row>
    <row r="18" spans="1:16" ht="16.5" x14ac:dyDescent="0.25">
      <c r="A18" s="191"/>
      <c r="B18" s="64">
        <f t="shared" si="3"/>
        <v>4</v>
      </c>
      <c r="C18" s="77" t="s">
        <v>42</v>
      </c>
      <c r="D18" s="75" t="s">
        <v>59</v>
      </c>
      <c r="E18" s="75">
        <v>89082022656</v>
      </c>
      <c r="F18" s="75" t="s">
        <v>18</v>
      </c>
      <c r="G18" s="75" t="s">
        <v>56</v>
      </c>
      <c r="H18" s="68">
        <v>2020000</v>
      </c>
      <c r="I18" s="68">
        <f t="shared" si="1"/>
        <v>1212000</v>
      </c>
      <c r="J18" s="74">
        <v>1212000</v>
      </c>
      <c r="K18" s="68">
        <f t="shared" si="2"/>
        <v>0</v>
      </c>
      <c r="L18" s="87" t="s">
        <v>69</v>
      </c>
      <c r="M18" s="76"/>
      <c r="N18" s="85"/>
      <c r="O18" s="1"/>
      <c r="P18" s="1"/>
    </row>
    <row r="19" spans="1:16" ht="16.5" x14ac:dyDescent="0.25">
      <c r="A19" s="191"/>
      <c r="B19" s="64">
        <f t="shared" si="3"/>
        <v>5</v>
      </c>
      <c r="C19" s="77" t="s">
        <v>43</v>
      </c>
      <c r="D19" s="75" t="s">
        <v>23</v>
      </c>
      <c r="E19" s="75">
        <v>42088019031</v>
      </c>
      <c r="F19" s="75" t="s">
        <v>21</v>
      </c>
      <c r="G19" s="75" t="s">
        <v>22</v>
      </c>
      <c r="H19" s="68">
        <v>1910000</v>
      </c>
      <c r="I19" s="68">
        <f t="shared" si="1"/>
        <v>1146000</v>
      </c>
      <c r="J19" s="74">
        <v>1146000</v>
      </c>
      <c r="K19" s="68">
        <f t="shared" si="2"/>
        <v>0</v>
      </c>
      <c r="L19" s="87" t="s">
        <v>69</v>
      </c>
      <c r="M19" s="76"/>
      <c r="N19" s="76"/>
      <c r="O19" s="1"/>
      <c r="P19" s="1"/>
    </row>
    <row r="20" spans="1:16" ht="16.5" x14ac:dyDescent="0.25">
      <c r="A20" s="191"/>
      <c r="B20" s="64">
        <f t="shared" si="3"/>
        <v>6</v>
      </c>
      <c r="C20" s="77" t="s">
        <v>44</v>
      </c>
      <c r="D20" s="75" t="s">
        <v>33</v>
      </c>
      <c r="E20" s="75">
        <v>49202008987</v>
      </c>
      <c r="F20" s="75" t="s">
        <v>15</v>
      </c>
      <c r="G20" s="75" t="s">
        <v>32</v>
      </c>
      <c r="H20" s="68">
        <v>1250000</v>
      </c>
      <c r="I20" s="68">
        <f t="shared" si="1"/>
        <v>750000</v>
      </c>
      <c r="J20" s="68">
        <v>750000</v>
      </c>
      <c r="K20" s="68">
        <f t="shared" si="2"/>
        <v>0</v>
      </c>
      <c r="L20" s="87" t="s">
        <v>69</v>
      </c>
      <c r="M20" s="76"/>
      <c r="N20" s="85"/>
      <c r="O20" s="1"/>
      <c r="P20" s="1"/>
    </row>
    <row r="21" spans="1:16" ht="16.5" x14ac:dyDescent="0.25">
      <c r="A21" s="191"/>
      <c r="B21" s="64">
        <f t="shared" si="3"/>
        <v>7</v>
      </c>
      <c r="C21" s="77" t="s">
        <v>45</v>
      </c>
      <c r="D21" s="75" t="s">
        <v>24</v>
      </c>
      <c r="E21" s="75">
        <v>93097001330</v>
      </c>
      <c r="F21" s="75" t="s">
        <v>60</v>
      </c>
      <c r="G21" s="75" t="s">
        <v>25</v>
      </c>
      <c r="H21" s="68">
        <v>2280000</v>
      </c>
      <c r="I21" s="68">
        <f t="shared" si="1"/>
        <v>1368000</v>
      </c>
      <c r="J21" s="74">
        <v>1368000</v>
      </c>
      <c r="K21" s="68">
        <f>I21-J21</f>
        <v>0</v>
      </c>
      <c r="L21" s="87" t="s">
        <v>69</v>
      </c>
      <c r="M21" s="76" t="s">
        <v>129</v>
      </c>
      <c r="N21" s="76"/>
      <c r="O21" s="1"/>
      <c r="P21" s="1"/>
    </row>
    <row r="22" spans="1:16" ht="16.5" x14ac:dyDescent="0.25">
      <c r="A22" s="191"/>
      <c r="B22" s="64">
        <f t="shared" si="3"/>
        <v>8</v>
      </c>
      <c r="C22" s="77" t="s">
        <v>79</v>
      </c>
      <c r="D22" s="75" t="s">
        <v>61</v>
      </c>
      <c r="E22" s="75">
        <v>95095009661</v>
      </c>
      <c r="F22" s="75" t="s">
        <v>62</v>
      </c>
      <c r="G22" s="75" t="s">
        <v>27</v>
      </c>
      <c r="H22" s="68">
        <v>1942000</v>
      </c>
      <c r="I22" s="68">
        <f t="shared" si="1"/>
        <v>1165200</v>
      </c>
      <c r="J22" s="74">
        <v>1165000</v>
      </c>
      <c r="K22" s="68">
        <v>0</v>
      </c>
      <c r="L22" s="87" t="s">
        <v>69</v>
      </c>
      <c r="M22" s="80"/>
      <c r="N22" s="76"/>
      <c r="O22" s="1"/>
      <c r="P22" s="1"/>
    </row>
    <row r="23" spans="1:16" ht="16.5" x14ac:dyDescent="0.25">
      <c r="A23" s="191"/>
      <c r="B23" s="64">
        <f t="shared" si="3"/>
        <v>9</v>
      </c>
      <c r="C23" s="77" t="s">
        <v>98</v>
      </c>
      <c r="D23" s="75" t="s">
        <v>63</v>
      </c>
      <c r="E23" s="81">
        <v>91085001515</v>
      </c>
      <c r="F23" s="66" t="s">
        <v>18</v>
      </c>
      <c r="G23" s="75" t="s">
        <v>57</v>
      </c>
      <c r="H23" s="68">
        <v>1935000</v>
      </c>
      <c r="I23" s="68">
        <f t="shared" si="1"/>
        <v>1161000</v>
      </c>
      <c r="J23" s="74">
        <v>1161000</v>
      </c>
      <c r="K23" s="68">
        <f t="shared" si="2"/>
        <v>0</v>
      </c>
      <c r="L23" s="87" t="s">
        <v>69</v>
      </c>
      <c r="M23" s="76"/>
      <c r="N23" s="76"/>
      <c r="O23" s="1"/>
      <c r="P23" s="1"/>
    </row>
    <row r="24" spans="1:16" ht="16.5" x14ac:dyDescent="0.25">
      <c r="A24" s="191"/>
      <c r="B24" s="64">
        <f t="shared" si="3"/>
        <v>10</v>
      </c>
      <c r="C24" s="77" t="s">
        <v>52</v>
      </c>
      <c r="D24" s="64" t="s">
        <v>54</v>
      </c>
      <c r="E24" s="64" t="s">
        <v>94</v>
      </c>
      <c r="F24" s="64" t="s">
        <v>53</v>
      </c>
      <c r="G24" s="64" t="s">
        <v>35</v>
      </c>
      <c r="H24" s="68">
        <v>1900000</v>
      </c>
      <c r="I24" s="68">
        <f t="shared" si="1"/>
        <v>1140000</v>
      </c>
      <c r="J24" s="68">
        <v>1140000</v>
      </c>
      <c r="K24" s="68">
        <f t="shared" si="2"/>
        <v>0</v>
      </c>
      <c r="L24" s="87" t="s">
        <v>69</v>
      </c>
      <c r="M24" s="76"/>
      <c r="N24" s="76"/>
      <c r="O24" s="1"/>
      <c r="P24" s="1"/>
    </row>
    <row r="25" spans="1:16" ht="16.5" x14ac:dyDescent="0.25">
      <c r="A25" s="191"/>
      <c r="B25" s="64">
        <f t="shared" si="3"/>
        <v>11</v>
      </c>
      <c r="C25" s="78" t="s">
        <v>92</v>
      </c>
      <c r="D25" s="70" t="s">
        <v>88</v>
      </c>
      <c r="E25" s="70" t="s">
        <v>89</v>
      </c>
      <c r="F25" s="70" t="s">
        <v>90</v>
      </c>
      <c r="G25" s="64" t="s">
        <v>19</v>
      </c>
      <c r="H25" s="74">
        <v>2970000</v>
      </c>
      <c r="I25" s="68">
        <f t="shared" si="1"/>
        <v>1782000</v>
      </c>
      <c r="J25" s="74">
        <v>1782000</v>
      </c>
      <c r="K25" s="68">
        <f t="shared" si="2"/>
        <v>0</v>
      </c>
      <c r="L25" s="87" t="s">
        <v>69</v>
      </c>
      <c r="M25" s="79"/>
      <c r="N25" s="79"/>
      <c r="O25" s="1"/>
      <c r="P25" s="1"/>
    </row>
    <row r="26" spans="1:16" ht="16.5" x14ac:dyDescent="0.25">
      <c r="A26" s="191"/>
      <c r="B26" s="64">
        <f t="shared" si="3"/>
        <v>12</v>
      </c>
      <c r="C26" s="78" t="s">
        <v>127</v>
      </c>
      <c r="D26" s="105"/>
      <c r="E26" s="105"/>
      <c r="F26" s="105"/>
      <c r="G26" s="122" t="s">
        <v>93</v>
      </c>
      <c r="H26" s="74">
        <v>1890000</v>
      </c>
      <c r="I26" s="68">
        <f t="shared" si="1"/>
        <v>1134000</v>
      </c>
      <c r="J26" s="74">
        <v>1134000</v>
      </c>
      <c r="K26" s="68">
        <f t="shared" si="2"/>
        <v>0</v>
      </c>
      <c r="L26" s="87" t="s">
        <v>69</v>
      </c>
      <c r="M26" s="121" t="s">
        <v>124</v>
      </c>
      <c r="N26" s="105"/>
      <c r="O26" s="1"/>
      <c r="P26" s="1"/>
    </row>
    <row r="27" spans="1:16" x14ac:dyDescent="0.25">
      <c r="A27" s="1"/>
      <c r="O27" s="1"/>
      <c r="P27" s="1"/>
    </row>
    <row r="28" spans="1:16" ht="22.5" x14ac:dyDescent="0.3">
      <c r="H28" s="187" t="s">
        <v>29</v>
      </c>
      <c r="I28" s="188"/>
      <c r="J28" s="9">
        <f>SUM(H7:H1001)</f>
        <v>29362000</v>
      </c>
    </row>
    <row r="29" spans="1:16" ht="22.5" x14ac:dyDescent="0.3">
      <c r="H29" s="187" t="s">
        <v>30</v>
      </c>
      <c r="I29" s="188"/>
      <c r="J29" s="9">
        <f>SUM(I7:I1001)</f>
        <v>17617200</v>
      </c>
    </row>
    <row r="30" spans="1:16" ht="22.5" x14ac:dyDescent="0.3">
      <c r="H30" s="187" t="s">
        <v>117</v>
      </c>
      <c r="I30" s="188"/>
      <c r="J30" s="63">
        <f>SUM(J7:J26)</f>
        <v>17619000</v>
      </c>
    </row>
    <row r="41" spans="4:8" x14ac:dyDescent="0.25">
      <c r="E41" s="1"/>
      <c r="G41" s="25"/>
      <c r="H41" s="1"/>
    </row>
    <row r="42" spans="4:8" x14ac:dyDescent="0.25">
      <c r="D42" s="1"/>
      <c r="E42" s="1"/>
      <c r="F42" s="1"/>
      <c r="G42" s="1"/>
      <c r="H42" s="1"/>
    </row>
  </sheetData>
  <mergeCells count="6">
    <mergeCell ref="H30:I30"/>
    <mergeCell ref="B3:K3"/>
    <mergeCell ref="A7:A13"/>
    <mergeCell ref="A15:A26"/>
    <mergeCell ref="H28:I28"/>
    <mergeCell ref="H29:I29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A39B4-5C0D-4EFA-A7E5-D8070A5BFD8F}">
  <sheetPr codeName="Sheet15"/>
  <dimension ref="A1:R40"/>
  <sheetViews>
    <sheetView zoomScaleNormal="100" workbookViewId="0">
      <selection activeCell="Q26" sqref="Q26"/>
    </sheetView>
  </sheetViews>
  <sheetFormatPr defaultRowHeight="15" x14ac:dyDescent="0.25"/>
  <cols>
    <col min="1" max="1" width="23.140625" customWidth="1"/>
    <col min="3" max="3" width="38" customWidth="1"/>
    <col min="4" max="6" width="0" hidden="1" customWidth="1"/>
    <col min="7" max="7" width="19.5703125" customWidth="1"/>
    <col min="8" max="8" width="20.42578125" customWidth="1"/>
    <col min="9" max="9" width="22.5703125" customWidth="1"/>
    <col min="10" max="10" width="20.140625" customWidth="1"/>
    <col min="11" max="12" width="19.42578125" customWidth="1"/>
    <col min="13" max="13" width="20.5703125" customWidth="1"/>
    <col min="14" max="14" width="14.140625" customWidth="1"/>
    <col min="16" max="16" width="18.5703125" customWidth="1"/>
    <col min="17" max="17" width="22.5703125" customWidth="1"/>
    <col min="18" max="18" width="21.28515625" customWidth="1"/>
  </cols>
  <sheetData>
    <row r="1" spans="1:18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8" x14ac:dyDescent="0.25">
      <c r="A2" s="1"/>
      <c r="L2" s="1"/>
      <c r="M2" s="1"/>
      <c r="N2" s="1"/>
      <c r="O2" s="1"/>
      <c r="P2" s="1"/>
    </row>
    <row r="3" spans="1:18" ht="27.75" x14ac:dyDescent="0.25">
      <c r="A3" s="1"/>
      <c r="B3" s="183" t="s">
        <v>31</v>
      </c>
      <c r="C3" s="183"/>
      <c r="D3" s="183"/>
      <c r="E3" s="183"/>
      <c r="F3" s="183"/>
      <c r="G3" s="183"/>
      <c r="H3" s="183"/>
      <c r="I3" s="183"/>
      <c r="J3" s="183"/>
      <c r="K3" s="183"/>
      <c r="L3" s="1"/>
      <c r="M3" s="1"/>
      <c r="N3" s="1"/>
      <c r="O3" s="1"/>
      <c r="P3" s="1"/>
    </row>
    <row r="4" spans="1:18" ht="30.75" x14ac:dyDescent="0.3">
      <c r="A4" s="1"/>
      <c r="C4" s="117"/>
      <c r="D4" s="117"/>
      <c r="E4" s="117"/>
      <c r="F4" s="117"/>
      <c r="H4" s="116" t="s">
        <v>130</v>
      </c>
      <c r="I4" s="117"/>
      <c r="J4" s="117"/>
      <c r="K4" s="117"/>
      <c r="L4" s="1"/>
      <c r="M4" s="23" t="s">
        <v>65</v>
      </c>
      <c r="N4" s="24">
        <v>0.6</v>
      </c>
      <c r="O4" s="1"/>
      <c r="P4" s="1"/>
    </row>
    <row r="5" spans="1:18" ht="12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8" ht="53.25" customHeight="1" x14ac:dyDescent="0.25">
      <c r="A6" s="105"/>
      <c r="B6" s="137" t="s">
        <v>0</v>
      </c>
      <c r="C6" s="137" t="s">
        <v>1</v>
      </c>
      <c r="D6" s="137" t="s">
        <v>50</v>
      </c>
      <c r="E6" s="137" t="s">
        <v>2</v>
      </c>
      <c r="F6" s="137" t="s">
        <v>3</v>
      </c>
      <c r="G6" s="137" t="s">
        <v>49</v>
      </c>
      <c r="H6" s="137" t="s">
        <v>4</v>
      </c>
      <c r="I6" s="138" t="s">
        <v>142</v>
      </c>
      <c r="J6" s="137" t="s">
        <v>115</v>
      </c>
      <c r="K6" s="137" t="s">
        <v>116</v>
      </c>
      <c r="L6" s="137" t="s">
        <v>7</v>
      </c>
      <c r="M6" s="137" t="s">
        <v>34</v>
      </c>
      <c r="N6" s="137" t="s">
        <v>51</v>
      </c>
      <c r="O6" s="1"/>
      <c r="P6" s="87" t="s">
        <v>69</v>
      </c>
    </row>
    <row r="7" spans="1:18" ht="16.5" customHeight="1" x14ac:dyDescent="0.25">
      <c r="A7" s="197" t="s">
        <v>119</v>
      </c>
      <c r="B7" s="64">
        <v>1</v>
      </c>
      <c r="C7" s="65" t="s">
        <v>132</v>
      </c>
      <c r="D7" s="66" t="s">
        <v>9</v>
      </c>
      <c r="E7" s="67">
        <v>91203011680</v>
      </c>
      <c r="F7" s="66" t="s">
        <v>15</v>
      </c>
      <c r="G7" s="66" t="s">
        <v>16</v>
      </c>
      <c r="H7" s="68">
        <v>1300000</v>
      </c>
      <c r="I7" s="68">
        <f>H7*N$4</f>
        <v>780000</v>
      </c>
      <c r="J7" s="68">
        <v>780000</v>
      </c>
      <c r="K7" s="68">
        <f>I7-J7</f>
        <v>0</v>
      </c>
      <c r="L7" s="88" t="s">
        <v>26</v>
      </c>
      <c r="M7" s="76"/>
      <c r="N7" s="76"/>
      <c r="O7" s="1"/>
      <c r="P7" s="88" t="s">
        <v>26</v>
      </c>
    </row>
    <row r="8" spans="1:18" ht="16.5" customHeight="1" x14ac:dyDescent="0.25">
      <c r="A8" s="198"/>
      <c r="B8" s="64">
        <f>B7+1</f>
        <v>2</v>
      </c>
      <c r="C8" s="65" t="s">
        <v>133</v>
      </c>
      <c r="D8" s="75" t="s">
        <v>28</v>
      </c>
      <c r="E8" s="75">
        <v>42094001136</v>
      </c>
      <c r="F8" s="75" t="s">
        <v>15</v>
      </c>
      <c r="G8" s="75" t="s">
        <v>36</v>
      </c>
      <c r="H8" s="68">
        <v>2400000</v>
      </c>
      <c r="I8" s="68">
        <f t="shared" ref="I8:I11" si="0">H8*N$4</f>
        <v>1440000</v>
      </c>
      <c r="J8" s="74">
        <v>1440000</v>
      </c>
      <c r="K8" s="68">
        <f>I8-J8</f>
        <v>0</v>
      </c>
      <c r="L8" s="88" t="s">
        <v>26</v>
      </c>
      <c r="M8" s="136" t="s">
        <v>145</v>
      </c>
      <c r="N8" s="76"/>
      <c r="O8" s="1"/>
      <c r="P8" s="82" t="s">
        <v>72</v>
      </c>
    </row>
    <row r="9" spans="1:18" ht="16.5" customHeight="1" x14ac:dyDescent="0.25">
      <c r="A9" s="198"/>
      <c r="B9" s="70">
        <f>B8+1</f>
        <v>3</v>
      </c>
      <c r="C9" s="125"/>
      <c r="D9" s="110" t="s">
        <v>75</v>
      </c>
      <c r="E9" s="111">
        <v>38085004911</v>
      </c>
      <c r="F9" s="111" t="s">
        <v>13</v>
      </c>
      <c r="G9" s="127"/>
      <c r="H9" s="126"/>
      <c r="I9" s="126"/>
      <c r="J9" s="126"/>
      <c r="K9" s="126"/>
      <c r="L9" s="124"/>
      <c r="M9" s="139"/>
      <c r="N9" s="79"/>
      <c r="O9" s="1"/>
      <c r="P9" s="1"/>
    </row>
    <row r="10" spans="1:18" ht="16.5" customHeight="1" x14ac:dyDescent="0.25">
      <c r="A10" s="198"/>
      <c r="B10" s="64">
        <f>B9+1</f>
        <v>4</v>
      </c>
      <c r="C10" s="65" t="s">
        <v>134</v>
      </c>
      <c r="D10" s="66" t="s">
        <v>101</v>
      </c>
      <c r="E10" s="66">
        <v>70081001153</v>
      </c>
      <c r="F10" s="66" t="s">
        <v>102</v>
      </c>
      <c r="G10" s="66" t="s">
        <v>83</v>
      </c>
      <c r="H10" s="68">
        <v>1000000</v>
      </c>
      <c r="I10" s="68">
        <f t="shared" si="0"/>
        <v>600000</v>
      </c>
      <c r="J10" s="74">
        <v>600000</v>
      </c>
      <c r="K10" s="68">
        <f>I10-J10</f>
        <v>0</v>
      </c>
      <c r="L10" s="88" t="s">
        <v>26</v>
      </c>
      <c r="M10" s="76"/>
      <c r="N10" s="76"/>
      <c r="O10" s="1"/>
      <c r="P10" s="200" t="s">
        <v>29</v>
      </c>
      <c r="Q10" s="200"/>
      <c r="R10" s="195">
        <f>SUM(H7:H999)</f>
        <v>28468000</v>
      </c>
    </row>
    <row r="11" spans="1:18" ht="16.5" customHeight="1" x14ac:dyDescent="0.25">
      <c r="A11" s="199"/>
      <c r="B11" s="70">
        <f>B10+1</f>
        <v>5</v>
      </c>
      <c r="C11" s="71" t="s">
        <v>135</v>
      </c>
      <c r="D11" s="73" t="s">
        <v>106</v>
      </c>
      <c r="E11" s="73">
        <v>27068001194</v>
      </c>
      <c r="F11" s="73" t="s">
        <v>105</v>
      </c>
      <c r="G11" s="127" t="s">
        <v>73</v>
      </c>
      <c r="H11" s="74">
        <v>500000</v>
      </c>
      <c r="I11" s="68">
        <f t="shared" si="0"/>
        <v>300000</v>
      </c>
      <c r="J11" s="74">
        <v>300000</v>
      </c>
      <c r="K11" s="68">
        <f>I11-J11</f>
        <v>0</v>
      </c>
      <c r="L11" s="88" t="s">
        <v>26</v>
      </c>
      <c r="M11" s="79"/>
      <c r="N11" s="79"/>
      <c r="O11" s="1"/>
      <c r="P11" s="200"/>
      <c r="Q11" s="200"/>
      <c r="R11" s="195"/>
    </row>
    <row r="12" spans="1:18" ht="16.5" customHeight="1" x14ac:dyDescent="0.25">
      <c r="A12" s="107"/>
      <c r="B12" s="89"/>
      <c r="C12" s="90"/>
      <c r="D12" s="89"/>
      <c r="E12" s="91"/>
      <c r="F12" s="92"/>
      <c r="G12" s="93"/>
      <c r="H12" s="94"/>
      <c r="I12" s="94"/>
      <c r="J12" s="97"/>
      <c r="K12" s="123"/>
      <c r="L12" s="96"/>
      <c r="M12" s="97"/>
      <c r="N12" s="97"/>
      <c r="O12" s="1"/>
      <c r="P12" s="194" t="s">
        <v>143</v>
      </c>
      <c r="Q12" s="194"/>
      <c r="R12" s="195">
        <f>SUM(I7:I999)</f>
        <v>17080800</v>
      </c>
    </row>
    <row r="13" spans="1:18" ht="22.5" customHeight="1" x14ac:dyDescent="0.25">
      <c r="A13" s="191" t="s">
        <v>118</v>
      </c>
      <c r="B13" s="64">
        <v>1</v>
      </c>
      <c r="C13" s="77" t="s">
        <v>40</v>
      </c>
      <c r="D13" s="66" t="s">
        <v>8</v>
      </c>
      <c r="E13" s="67">
        <v>38096003688</v>
      </c>
      <c r="F13" s="66" t="s">
        <v>13</v>
      </c>
      <c r="G13" s="66" t="s">
        <v>14</v>
      </c>
      <c r="H13" s="68">
        <v>1850000</v>
      </c>
      <c r="I13" s="68">
        <f>H13*N$4</f>
        <v>1110000</v>
      </c>
      <c r="J13" s="68">
        <v>1110000</v>
      </c>
      <c r="K13" s="68">
        <f t="shared" ref="K13:K27" si="1">I13-J13</f>
        <v>0</v>
      </c>
      <c r="L13" s="87" t="s">
        <v>69</v>
      </c>
      <c r="M13" s="76"/>
      <c r="N13" s="76"/>
      <c r="O13" s="1"/>
      <c r="P13" s="194"/>
      <c r="Q13" s="194"/>
      <c r="R13" s="195"/>
    </row>
    <row r="14" spans="1:18" ht="16.5" customHeight="1" x14ac:dyDescent="0.25">
      <c r="A14" s="191"/>
      <c r="B14" s="64">
        <f>B13+1</f>
        <v>2</v>
      </c>
      <c r="C14" s="77" t="s">
        <v>41</v>
      </c>
      <c r="D14" s="66" t="s">
        <v>10</v>
      </c>
      <c r="E14" s="67">
        <v>89078016404</v>
      </c>
      <c r="F14" s="66" t="s">
        <v>18</v>
      </c>
      <c r="G14" s="66" t="s">
        <v>17</v>
      </c>
      <c r="H14" s="68">
        <v>2490000</v>
      </c>
      <c r="I14" s="68">
        <f t="shared" ref="I14:I27" si="2">H14*N$4</f>
        <v>1494000</v>
      </c>
      <c r="J14" s="68">
        <v>1494000</v>
      </c>
      <c r="K14" s="68">
        <f t="shared" si="1"/>
        <v>0</v>
      </c>
      <c r="L14" s="87" t="s">
        <v>69</v>
      </c>
      <c r="M14" s="76"/>
      <c r="N14" s="76"/>
      <c r="O14" s="1"/>
      <c r="P14" s="194"/>
      <c r="Q14" s="194"/>
      <c r="R14" s="195"/>
    </row>
    <row r="15" spans="1:18" ht="22.5" x14ac:dyDescent="0.3">
      <c r="A15" s="191"/>
      <c r="B15" s="64">
        <f t="shared" ref="B15:B24" si="3">B14+1</f>
        <v>3</v>
      </c>
      <c r="C15" s="78" t="s">
        <v>67</v>
      </c>
      <c r="D15" s="73" t="s">
        <v>11</v>
      </c>
      <c r="E15" s="72">
        <v>89099008054</v>
      </c>
      <c r="F15" s="73" t="s">
        <v>18</v>
      </c>
      <c r="G15" s="73" t="s">
        <v>48</v>
      </c>
      <c r="H15" s="74">
        <v>1410000</v>
      </c>
      <c r="I15" s="68">
        <f t="shared" si="2"/>
        <v>846000</v>
      </c>
      <c r="J15" s="74">
        <v>846000</v>
      </c>
      <c r="K15" s="68">
        <f t="shared" si="1"/>
        <v>0</v>
      </c>
      <c r="L15" s="87" t="s">
        <v>69</v>
      </c>
      <c r="M15" s="79"/>
      <c r="N15" s="79"/>
      <c r="O15" s="1"/>
      <c r="P15" s="196" t="s">
        <v>117</v>
      </c>
      <c r="Q15" s="196"/>
      <c r="R15" s="130">
        <f>SUM(J7:J98)</f>
        <v>16486200</v>
      </c>
    </row>
    <row r="16" spans="1:18" ht="16.5" x14ac:dyDescent="0.25">
      <c r="A16" s="191"/>
      <c r="B16" s="64">
        <f t="shared" si="3"/>
        <v>4</v>
      </c>
      <c r="C16" s="77" t="s">
        <v>42</v>
      </c>
      <c r="D16" s="75" t="s">
        <v>59</v>
      </c>
      <c r="E16" s="75">
        <v>89082022656</v>
      </c>
      <c r="F16" s="75" t="s">
        <v>18</v>
      </c>
      <c r="G16" s="75" t="s">
        <v>56</v>
      </c>
      <c r="H16" s="68">
        <v>1740000</v>
      </c>
      <c r="I16" s="68">
        <f t="shared" si="2"/>
        <v>1044000</v>
      </c>
      <c r="J16" s="74">
        <v>1044000</v>
      </c>
      <c r="K16" s="68">
        <f t="shared" si="1"/>
        <v>0</v>
      </c>
      <c r="L16" s="87" t="s">
        <v>69</v>
      </c>
      <c r="M16" s="76"/>
      <c r="N16" s="85"/>
      <c r="O16" s="1"/>
      <c r="P16" s="1"/>
    </row>
    <row r="17" spans="1:16" ht="16.5" x14ac:dyDescent="0.25">
      <c r="A17" s="191"/>
      <c r="B17" s="64">
        <f t="shared" si="3"/>
        <v>5</v>
      </c>
      <c r="C17" s="77" t="s">
        <v>43</v>
      </c>
      <c r="D17" s="75" t="s">
        <v>23</v>
      </c>
      <c r="E17" s="75">
        <v>42088019031</v>
      </c>
      <c r="F17" s="75" t="s">
        <v>21</v>
      </c>
      <c r="G17" s="75" t="s">
        <v>22</v>
      </c>
      <c r="H17" s="68">
        <v>1710000</v>
      </c>
      <c r="I17" s="68">
        <f t="shared" si="2"/>
        <v>1026000</v>
      </c>
      <c r="J17" s="74">
        <v>1026000</v>
      </c>
      <c r="K17" s="68">
        <f t="shared" si="1"/>
        <v>0</v>
      </c>
      <c r="L17" s="87" t="s">
        <v>69</v>
      </c>
      <c r="M17" s="76"/>
      <c r="N17" s="76"/>
      <c r="O17" s="1"/>
      <c r="P17" s="1"/>
    </row>
    <row r="18" spans="1:16" ht="16.5" x14ac:dyDescent="0.25">
      <c r="A18" s="191"/>
      <c r="B18" s="64">
        <f t="shared" si="3"/>
        <v>6</v>
      </c>
      <c r="C18" s="77" t="s">
        <v>44</v>
      </c>
      <c r="D18" s="75" t="s">
        <v>33</v>
      </c>
      <c r="E18" s="75">
        <v>49202008987</v>
      </c>
      <c r="F18" s="75" t="s">
        <v>15</v>
      </c>
      <c r="G18" s="75" t="s">
        <v>32</v>
      </c>
      <c r="H18" s="68">
        <v>1460000</v>
      </c>
      <c r="I18" s="68">
        <f t="shared" si="2"/>
        <v>876000</v>
      </c>
      <c r="J18" s="68">
        <v>876000</v>
      </c>
      <c r="K18" s="68">
        <f t="shared" si="1"/>
        <v>0</v>
      </c>
      <c r="L18" s="87" t="s">
        <v>69</v>
      </c>
      <c r="M18" s="76"/>
      <c r="N18" s="85"/>
      <c r="O18" s="1"/>
      <c r="P18" s="1"/>
    </row>
    <row r="19" spans="1:16" ht="16.5" x14ac:dyDescent="0.25">
      <c r="A19" s="191"/>
      <c r="B19" s="64">
        <f t="shared" si="3"/>
        <v>7</v>
      </c>
      <c r="C19" s="77"/>
      <c r="D19" s="75" t="s">
        <v>24</v>
      </c>
      <c r="E19" s="75">
        <v>93097001330</v>
      </c>
      <c r="F19" s="75" t="s">
        <v>60</v>
      </c>
      <c r="G19" s="75"/>
      <c r="H19" s="68"/>
      <c r="I19" s="68">
        <f t="shared" si="2"/>
        <v>0</v>
      </c>
      <c r="J19" s="74"/>
      <c r="K19" s="68">
        <f t="shared" si="1"/>
        <v>0</v>
      </c>
      <c r="L19" s="76"/>
      <c r="M19" s="76"/>
      <c r="N19" s="76"/>
      <c r="O19" s="1"/>
      <c r="P19" s="1"/>
    </row>
    <row r="20" spans="1:16" ht="16.5" x14ac:dyDescent="0.25">
      <c r="A20" s="191"/>
      <c r="B20" s="64">
        <f t="shared" si="3"/>
        <v>8</v>
      </c>
      <c r="C20" s="77" t="s">
        <v>79</v>
      </c>
      <c r="D20" s="75" t="s">
        <v>61</v>
      </c>
      <c r="E20" s="75">
        <v>95095009661</v>
      </c>
      <c r="F20" s="75" t="s">
        <v>62</v>
      </c>
      <c r="G20" s="75" t="s">
        <v>27</v>
      </c>
      <c r="H20" s="68">
        <v>1720000</v>
      </c>
      <c r="I20" s="68">
        <f t="shared" si="2"/>
        <v>1032000</v>
      </c>
      <c r="J20" s="74">
        <v>1032000</v>
      </c>
      <c r="K20" s="68">
        <f t="shared" si="1"/>
        <v>0</v>
      </c>
      <c r="L20" s="87" t="s">
        <v>69</v>
      </c>
      <c r="M20" s="80"/>
      <c r="N20" s="76"/>
      <c r="O20" s="1"/>
      <c r="P20" s="1"/>
    </row>
    <row r="21" spans="1:16" ht="16.5" x14ac:dyDescent="0.25">
      <c r="A21" s="191"/>
      <c r="B21" s="64">
        <f t="shared" si="3"/>
        <v>9</v>
      </c>
      <c r="C21" s="77" t="s">
        <v>98</v>
      </c>
      <c r="D21" s="75" t="s">
        <v>63</v>
      </c>
      <c r="E21" s="81">
        <v>91085001515</v>
      </c>
      <c r="F21" s="66" t="s">
        <v>18</v>
      </c>
      <c r="G21" s="75" t="s">
        <v>57</v>
      </c>
      <c r="H21" s="68">
        <v>1910000</v>
      </c>
      <c r="I21" s="68">
        <f t="shared" si="2"/>
        <v>1146000</v>
      </c>
      <c r="J21" s="74">
        <v>1146000</v>
      </c>
      <c r="K21" s="68">
        <f t="shared" si="1"/>
        <v>0</v>
      </c>
      <c r="L21" s="87" t="s">
        <v>69</v>
      </c>
      <c r="M21" s="76"/>
      <c r="N21" s="76"/>
      <c r="O21" s="1"/>
      <c r="P21" s="1"/>
    </row>
    <row r="22" spans="1:16" ht="16.5" x14ac:dyDescent="0.25">
      <c r="A22" s="191"/>
      <c r="B22" s="64">
        <f t="shared" si="3"/>
        <v>10</v>
      </c>
      <c r="C22" s="77" t="s">
        <v>52</v>
      </c>
      <c r="D22" s="64" t="s">
        <v>54</v>
      </c>
      <c r="E22" s="64" t="s">
        <v>94</v>
      </c>
      <c r="F22" s="64" t="s">
        <v>53</v>
      </c>
      <c r="G22" s="64" t="s">
        <v>35</v>
      </c>
      <c r="H22" s="68">
        <v>1990000</v>
      </c>
      <c r="I22" s="68">
        <f t="shared" si="2"/>
        <v>1194000</v>
      </c>
      <c r="J22" s="68">
        <v>1200000</v>
      </c>
      <c r="K22" s="68">
        <v>0</v>
      </c>
      <c r="L22" s="87" t="s">
        <v>69</v>
      </c>
      <c r="M22" s="76"/>
      <c r="N22" s="76"/>
      <c r="O22" s="1"/>
      <c r="P22" s="1"/>
    </row>
    <row r="23" spans="1:16" ht="16.5" x14ac:dyDescent="0.25">
      <c r="A23" s="191"/>
      <c r="B23" s="64">
        <f t="shared" si="3"/>
        <v>11</v>
      </c>
      <c r="C23" s="78" t="s">
        <v>92</v>
      </c>
      <c r="D23" s="70" t="s">
        <v>88</v>
      </c>
      <c r="E23" s="70" t="s">
        <v>89</v>
      </c>
      <c r="F23" s="70" t="s">
        <v>90</v>
      </c>
      <c r="G23" s="64" t="s">
        <v>137</v>
      </c>
      <c r="H23" s="74">
        <v>1752000</v>
      </c>
      <c r="I23" s="68">
        <f t="shared" si="2"/>
        <v>1051200</v>
      </c>
      <c r="J23" s="68">
        <v>1051200</v>
      </c>
      <c r="K23" s="68">
        <f t="shared" si="1"/>
        <v>0</v>
      </c>
      <c r="L23" s="87" t="s">
        <v>69</v>
      </c>
      <c r="M23" s="79"/>
      <c r="N23" s="79"/>
      <c r="O23" s="1"/>
      <c r="P23" s="1"/>
    </row>
    <row r="24" spans="1:16" ht="16.5" x14ac:dyDescent="0.25">
      <c r="A24" s="191"/>
      <c r="B24" s="64">
        <f t="shared" si="3"/>
        <v>12</v>
      </c>
      <c r="C24" s="78" t="s">
        <v>131</v>
      </c>
      <c r="D24" s="105"/>
      <c r="E24" s="105"/>
      <c r="F24" s="105"/>
      <c r="G24" s="122" t="s">
        <v>93</v>
      </c>
      <c r="H24" s="74">
        <v>1868000</v>
      </c>
      <c r="I24" s="68">
        <f t="shared" si="2"/>
        <v>1120800</v>
      </c>
      <c r="J24" s="74">
        <v>1120000</v>
      </c>
      <c r="K24" s="68">
        <v>0</v>
      </c>
      <c r="L24" s="87" t="s">
        <v>69</v>
      </c>
      <c r="M24" s="121" t="s">
        <v>124</v>
      </c>
      <c r="N24" s="105"/>
      <c r="O24" s="1"/>
      <c r="P24" s="1"/>
    </row>
    <row r="25" spans="1:16" x14ac:dyDescent="0.25">
      <c r="A25" s="128"/>
      <c r="B25" s="129"/>
      <c r="C25" s="129"/>
      <c r="D25" s="129"/>
      <c r="E25" s="129"/>
      <c r="F25" s="129"/>
      <c r="G25" s="129"/>
      <c r="H25" s="129"/>
      <c r="I25" s="129"/>
      <c r="J25" s="129"/>
      <c r="K25" s="129"/>
      <c r="L25" s="129"/>
      <c r="M25" s="129"/>
      <c r="N25" s="129"/>
      <c r="O25" s="1"/>
      <c r="P25" s="1"/>
    </row>
    <row r="26" spans="1:16" ht="61.5" customHeight="1" x14ac:dyDescent="0.25">
      <c r="A26" s="192" t="s">
        <v>136</v>
      </c>
      <c r="B26" s="64">
        <v>1</v>
      </c>
      <c r="C26" s="65" t="s">
        <v>139</v>
      </c>
      <c r="D26" s="66"/>
      <c r="E26" s="66"/>
      <c r="F26" s="66"/>
      <c r="G26" s="75" t="s">
        <v>25</v>
      </c>
      <c r="H26" s="134">
        <v>1828000</v>
      </c>
      <c r="I26" s="132">
        <f t="shared" si="2"/>
        <v>1096800</v>
      </c>
      <c r="J26" s="132">
        <v>497000</v>
      </c>
      <c r="K26" s="132">
        <v>0</v>
      </c>
      <c r="L26" s="87" t="s">
        <v>69</v>
      </c>
      <c r="M26" s="136" t="s">
        <v>140</v>
      </c>
      <c r="N26" s="76"/>
      <c r="O26" s="1"/>
      <c r="P26" s="1"/>
    </row>
    <row r="27" spans="1:16" ht="46.5" customHeight="1" x14ac:dyDescent="0.25">
      <c r="A27" s="193"/>
      <c r="B27" s="64">
        <f>B26+1</f>
        <v>2</v>
      </c>
      <c r="C27" s="65" t="s">
        <v>138</v>
      </c>
      <c r="D27" s="75"/>
      <c r="E27" s="75"/>
      <c r="F27" s="75"/>
      <c r="G27" s="64" t="s">
        <v>19</v>
      </c>
      <c r="H27" s="134">
        <v>1540000</v>
      </c>
      <c r="I27" s="132">
        <f t="shared" si="2"/>
        <v>924000</v>
      </c>
      <c r="J27" s="133">
        <v>924000</v>
      </c>
      <c r="K27" s="132">
        <f t="shared" si="1"/>
        <v>0</v>
      </c>
      <c r="L27" s="87" t="s">
        <v>69</v>
      </c>
      <c r="M27" s="136" t="s">
        <v>141</v>
      </c>
      <c r="N27" s="76"/>
      <c r="O27" s="1"/>
      <c r="P27" s="1"/>
    </row>
    <row r="28" spans="1:16" ht="16.5" customHeight="1" x14ac:dyDescent="0.25">
      <c r="A28" s="193"/>
      <c r="B28" s="70">
        <f>B27+1</f>
        <v>3</v>
      </c>
      <c r="C28" s="125"/>
      <c r="D28" s="110"/>
      <c r="E28" s="111"/>
      <c r="F28" s="111"/>
      <c r="G28" s="127"/>
      <c r="H28" s="135"/>
      <c r="I28" s="134"/>
      <c r="J28" s="134"/>
      <c r="K28" s="134"/>
      <c r="L28" s="131"/>
      <c r="M28" s="115"/>
      <c r="N28" s="79"/>
    </row>
    <row r="29" spans="1:16" ht="16.5" customHeight="1" x14ac:dyDescent="0.25">
      <c r="A29" s="193"/>
      <c r="B29" s="64">
        <f>B28+1</f>
        <v>4</v>
      </c>
      <c r="C29" s="65"/>
      <c r="D29" s="66"/>
      <c r="E29" s="66"/>
      <c r="F29" s="66"/>
      <c r="G29" s="66"/>
      <c r="H29" s="135"/>
      <c r="I29" s="132"/>
      <c r="J29" s="133"/>
      <c r="K29" s="132"/>
      <c r="L29" s="131"/>
      <c r="M29" s="76"/>
      <c r="N29" s="76"/>
    </row>
    <row r="30" spans="1:16" ht="16.5" customHeight="1" x14ac:dyDescent="0.25">
      <c r="A30" s="193"/>
      <c r="B30" s="70">
        <f>B29+1</f>
        <v>5</v>
      </c>
      <c r="C30" s="71"/>
      <c r="D30" s="73"/>
      <c r="E30" s="73"/>
      <c r="F30" s="73"/>
      <c r="G30" s="73"/>
      <c r="H30" s="135"/>
      <c r="I30" s="132"/>
      <c r="J30" s="133"/>
      <c r="K30" s="132"/>
      <c r="L30" s="131"/>
      <c r="M30" s="79"/>
      <c r="N30" s="79"/>
    </row>
    <row r="31" spans="1:16" ht="15" customHeight="1" x14ac:dyDescent="0.25"/>
    <row r="32" spans="1:16" ht="15" customHeight="1" x14ac:dyDescent="0.25"/>
    <row r="39" spans="4:8" x14ac:dyDescent="0.25">
      <c r="E39" s="1"/>
      <c r="G39" s="25"/>
      <c r="H39" s="1"/>
    </row>
    <row r="40" spans="4:8" x14ac:dyDescent="0.25">
      <c r="D40" s="1"/>
      <c r="E40" s="1"/>
      <c r="F40" s="1"/>
      <c r="G40" s="1"/>
      <c r="H40" s="1"/>
    </row>
  </sheetData>
  <mergeCells count="9">
    <mergeCell ref="B3:K3"/>
    <mergeCell ref="A13:A24"/>
    <mergeCell ref="A26:A30"/>
    <mergeCell ref="P12:Q14"/>
    <mergeCell ref="R12:R14"/>
    <mergeCell ref="P15:Q15"/>
    <mergeCell ref="A7:A11"/>
    <mergeCell ref="P10:Q11"/>
    <mergeCell ref="R10:R11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E20F8-2946-4A89-B604-2D931ED8F90F}">
  <sheetPr codeName="Sheet17"/>
  <dimension ref="A1:R40"/>
  <sheetViews>
    <sheetView zoomScale="85" zoomScaleNormal="85" workbookViewId="0">
      <selection activeCell="C8" sqref="C8"/>
    </sheetView>
  </sheetViews>
  <sheetFormatPr defaultRowHeight="15" x14ac:dyDescent="0.25"/>
  <cols>
    <col min="1" max="1" width="23.140625" customWidth="1"/>
    <col min="3" max="3" width="38" customWidth="1"/>
    <col min="4" max="6" width="0" hidden="1" customWidth="1"/>
    <col min="7" max="7" width="19.5703125" customWidth="1"/>
    <col min="8" max="8" width="20.42578125" customWidth="1"/>
    <col min="9" max="9" width="22.5703125" customWidth="1"/>
    <col min="10" max="10" width="20.140625" customWidth="1"/>
    <col min="11" max="12" width="19.42578125" customWidth="1"/>
    <col min="13" max="13" width="20.5703125" customWidth="1"/>
    <col min="14" max="14" width="14.140625" customWidth="1"/>
    <col min="16" max="16" width="18.5703125" customWidth="1"/>
    <col min="17" max="17" width="22.5703125" customWidth="1"/>
    <col min="18" max="18" width="21.28515625" customWidth="1"/>
  </cols>
  <sheetData>
    <row r="1" spans="1:18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8" x14ac:dyDescent="0.25">
      <c r="A2" s="1"/>
      <c r="L2" s="1"/>
      <c r="M2" s="1"/>
      <c r="N2" s="1"/>
      <c r="O2" s="1"/>
      <c r="P2" s="1"/>
    </row>
    <row r="3" spans="1:18" ht="27.75" x14ac:dyDescent="0.25">
      <c r="A3" s="1"/>
      <c r="B3" s="183" t="s">
        <v>31</v>
      </c>
      <c r="C3" s="183"/>
      <c r="D3" s="183"/>
      <c r="E3" s="183"/>
      <c r="F3" s="183"/>
      <c r="G3" s="183"/>
      <c r="H3" s="183"/>
      <c r="I3" s="183"/>
      <c r="J3" s="183"/>
      <c r="K3" s="183"/>
      <c r="L3" s="1"/>
      <c r="M3" s="1"/>
      <c r="N3" s="1"/>
      <c r="O3" s="1"/>
      <c r="P3" s="1"/>
    </row>
    <row r="4" spans="1:18" ht="30.75" x14ac:dyDescent="0.3">
      <c r="A4" s="1"/>
      <c r="C4" s="117"/>
      <c r="D4" s="117"/>
      <c r="E4" s="117"/>
      <c r="F4" s="117"/>
      <c r="H4" s="116" t="s">
        <v>144</v>
      </c>
      <c r="I4" s="117"/>
      <c r="J4" s="117"/>
      <c r="K4" s="117"/>
      <c r="L4" s="1"/>
      <c r="M4" s="23" t="s">
        <v>65</v>
      </c>
      <c r="N4" s="24">
        <v>0.6</v>
      </c>
      <c r="O4" s="1"/>
      <c r="P4" s="1"/>
    </row>
    <row r="5" spans="1:18" ht="12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8" ht="53.25" customHeight="1" x14ac:dyDescent="0.25">
      <c r="A6" s="105"/>
      <c r="B6" s="137" t="s">
        <v>0</v>
      </c>
      <c r="C6" s="137" t="s">
        <v>1</v>
      </c>
      <c r="D6" s="137" t="s">
        <v>50</v>
      </c>
      <c r="E6" s="137" t="s">
        <v>2</v>
      </c>
      <c r="F6" s="137" t="s">
        <v>3</v>
      </c>
      <c r="G6" s="137" t="s">
        <v>49</v>
      </c>
      <c r="H6" s="137" t="s">
        <v>4</v>
      </c>
      <c r="I6" s="138" t="s">
        <v>142</v>
      </c>
      <c r="J6" s="137" t="s">
        <v>115</v>
      </c>
      <c r="K6" s="137" t="s">
        <v>116</v>
      </c>
      <c r="L6" s="137" t="s">
        <v>7</v>
      </c>
      <c r="M6" s="137" t="s">
        <v>34</v>
      </c>
      <c r="N6" s="137" t="s">
        <v>51</v>
      </c>
      <c r="O6" s="1"/>
      <c r="P6" s="87" t="s">
        <v>69</v>
      </c>
    </row>
    <row r="7" spans="1:18" ht="16.5" customHeight="1" x14ac:dyDescent="0.25">
      <c r="A7" s="197" t="s">
        <v>119</v>
      </c>
      <c r="B7" s="64">
        <v>1</v>
      </c>
      <c r="C7" s="65" t="s">
        <v>132</v>
      </c>
      <c r="D7" s="66" t="s">
        <v>9</v>
      </c>
      <c r="E7" s="67">
        <v>91203011680</v>
      </c>
      <c r="F7" s="66" t="s">
        <v>15</v>
      </c>
      <c r="G7" s="66" t="s">
        <v>16</v>
      </c>
      <c r="H7" s="68">
        <v>1900000</v>
      </c>
      <c r="I7" s="68">
        <f>H7*N$4</f>
        <v>1140000</v>
      </c>
      <c r="J7" s="68">
        <v>1140000</v>
      </c>
      <c r="K7" s="68">
        <f>I7-J7</f>
        <v>0</v>
      </c>
      <c r="L7" s="88" t="s">
        <v>26</v>
      </c>
      <c r="M7" s="76"/>
      <c r="N7" s="76"/>
      <c r="O7" s="1"/>
      <c r="P7" s="88" t="s">
        <v>26</v>
      </c>
    </row>
    <row r="8" spans="1:18" ht="16.5" customHeight="1" x14ac:dyDescent="0.25">
      <c r="A8" s="198"/>
      <c r="B8" s="64">
        <f>B7+1</f>
        <v>2</v>
      </c>
      <c r="C8" s="80" t="s">
        <v>147</v>
      </c>
      <c r="D8" s="75" t="s">
        <v>28</v>
      </c>
      <c r="E8" s="75">
        <v>42094001136</v>
      </c>
      <c r="F8" s="75" t="s">
        <v>15</v>
      </c>
      <c r="G8" s="75" t="s">
        <v>36</v>
      </c>
      <c r="H8" s="80" t="s">
        <v>147</v>
      </c>
      <c r="I8" s="80" t="s">
        <v>147</v>
      </c>
      <c r="J8" s="80" t="s">
        <v>147</v>
      </c>
      <c r="K8" s="80" t="s">
        <v>147</v>
      </c>
      <c r="L8" s="80" t="s">
        <v>147</v>
      </c>
      <c r="M8" s="76"/>
      <c r="N8" s="76"/>
      <c r="O8" s="1"/>
      <c r="P8" s="82" t="s">
        <v>72</v>
      </c>
    </row>
    <row r="9" spans="1:18" ht="16.5" customHeight="1" x14ac:dyDescent="0.25">
      <c r="A9" s="198"/>
      <c r="B9" s="64">
        <f t="shared" ref="B9:B10" si="0">B8+1</f>
        <v>3</v>
      </c>
      <c r="C9" s="65" t="s">
        <v>134</v>
      </c>
      <c r="D9" s="66" t="s">
        <v>101</v>
      </c>
      <c r="E9" s="66">
        <v>70081001153</v>
      </c>
      <c r="F9" s="66" t="s">
        <v>102</v>
      </c>
      <c r="G9" s="66" t="s">
        <v>83</v>
      </c>
      <c r="H9" s="68">
        <v>1150000</v>
      </c>
      <c r="I9" s="68">
        <f>H9*N$4</f>
        <v>690000</v>
      </c>
      <c r="J9" s="74">
        <v>690000</v>
      </c>
      <c r="K9" s="68">
        <f>I9-J9</f>
        <v>0</v>
      </c>
      <c r="L9" s="88" t="s">
        <v>26</v>
      </c>
      <c r="M9" s="115"/>
      <c r="N9" s="79"/>
      <c r="O9" s="1"/>
      <c r="P9" s="1"/>
    </row>
    <row r="10" spans="1:18" ht="16.5" customHeight="1" x14ac:dyDescent="0.25">
      <c r="A10" s="198"/>
      <c r="B10" s="64">
        <f t="shared" si="0"/>
        <v>4</v>
      </c>
      <c r="C10" s="71" t="s">
        <v>135</v>
      </c>
      <c r="D10" s="73" t="s">
        <v>106</v>
      </c>
      <c r="E10" s="73">
        <v>27068001194</v>
      </c>
      <c r="F10" s="73" t="s">
        <v>105</v>
      </c>
      <c r="G10" s="127" t="s">
        <v>73</v>
      </c>
      <c r="H10" s="74">
        <v>1050000</v>
      </c>
      <c r="I10" s="68">
        <f>H10*N$4</f>
        <v>630000</v>
      </c>
      <c r="J10" s="74">
        <v>630000</v>
      </c>
      <c r="K10" s="68">
        <f>I10-J10</f>
        <v>0</v>
      </c>
      <c r="L10" s="88" t="s">
        <v>26</v>
      </c>
      <c r="M10" s="76"/>
      <c r="N10" s="76"/>
      <c r="O10" s="1"/>
      <c r="P10" s="200" t="s">
        <v>29</v>
      </c>
      <c r="Q10" s="200"/>
      <c r="R10" s="195">
        <f>SUM(H7:H999)</f>
        <v>20755000</v>
      </c>
    </row>
    <row r="11" spans="1:18" ht="16.5" customHeight="1" x14ac:dyDescent="0.25">
      <c r="A11" s="199"/>
      <c r="M11" s="79"/>
      <c r="N11" s="79"/>
      <c r="O11" s="1"/>
      <c r="P11" s="200"/>
      <c r="Q11" s="200"/>
      <c r="R11" s="195"/>
    </row>
    <row r="12" spans="1:18" ht="16.5" customHeight="1" x14ac:dyDescent="0.25">
      <c r="A12" s="107"/>
      <c r="B12" s="89"/>
      <c r="C12" s="90"/>
      <c r="D12" s="89"/>
      <c r="E12" s="91"/>
      <c r="F12" s="92"/>
      <c r="G12" s="93"/>
      <c r="H12" s="94"/>
      <c r="I12" s="94"/>
      <c r="J12" s="97"/>
      <c r="K12" s="123"/>
      <c r="L12" s="96"/>
      <c r="M12" s="97"/>
      <c r="N12" s="97"/>
      <c r="O12" s="1"/>
      <c r="P12" s="194" t="s">
        <v>143</v>
      </c>
      <c r="Q12" s="194"/>
      <c r="R12" s="195">
        <f>SUM(I7:I999)</f>
        <v>12453000</v>
      </c>
    </row>
    <row r="13" spans="1:18" ht="22.5" customHeight="1" x14ac:dyDescent="0.25">
      <c r="A13" s="191" t="s">
        <v>118</v>
      </c>
      <c r="B13" s="64">
        <v>1</v>
      </c>
      <c r="C13" s="77" t="s">
        <v>40</v>
      </c>
      <c r="D13" s="66" t="s">
        <v>8</v>
      </c>
      <c r="E13" s="67">
        <v>38096003688</v>
      </c>
      <c r="F13" s="66" t="s">
        <v>13</v>
      </c>
      <c r="G13" s="66" t="s">
        <v>14</v>
      </c>
      <c r="H13" s="68">
        <v>2060000</v>
      </c>
      <c r="I13" s="68">
        <f>H13*N$4</f>
        <v>1236000</v>
      </c>
      <c r="J13" s="68">
        <v>1236000</v>
      </c>
      <c r="K13" s="68">
        <f t="shared" ref="K13:K27" si="1">I13-J13</f>
        <v>0</v>
      </c>
      <c r="L13" s="87" t="s">
        <v>69</v>
      </c>
      <c r="M13" s="76"/>
      <c r="N13" s="76"/>
      <c r="O13" s="1"/>
      <c r="P13" s="194"/>
      <c r="Q13" s="194"/>
      <c r="R13" s="195"/>
    </row>
    <row r="14" spans="1:18" ht="16.5" customHeight="1" x14ac:dyDescent="0.25">
      <c r="A14" s="191"/>
      <c r="B14" s="64">
        <f>B13+1</f>
        <v>2</v>
      </c>
      <c r="C14" s="77" t="s">
        <v>41</v>
      </c>
      <c r="D14" s="66" t="s">
        <v>10</v>
      </c>
      <c r="E14" s="67">
        <v>89078016404</v>
      </c>
      <c r="F14" s="66" t="s">
        <v>18</v>
      </c>
      <c r="G14" s="66" t="s">
        <v>17</v>
      </c>
      <c r="H14" s="68">
        <v>1630000</v>
      </c>
      <c r="I14" s="68">
        <f t="shared" ref="I14:I27" si="2">H14*N$4</f>
        <v>978000</v>
      </c>
      <c r="J14" s="68">
        <v>978000</v>
      </c>
      <c r="K14" s="68">
        <f t="shared" si="1"/>
        <v>0</v>
      </c>
      <c r="L14" s="87" t="s">
        <v>69</v>
      </c>
      <c r="M14" s="76"/>
      <c r="N14" s="76"/>
      <c r="O14" s="1"/>
      <c r="P14" s="194"/>
      <c r="Q14" s="194"/>
      <c r="R14" s="195"/>
    </row>
    <row r="15" spans="1:18" ht="22.5" x14ac:dyDescent="0.3">
      <c r="A15" s="191"/>
      <c r="B15" s="64">
        <f t="shared" ref="B15:B24" si="3">B14+1</f>
        <v>3</v>
      </c>
      <c r="C15" s="78" t="s">
        <v>67</v>
      </c>
      <c r="D15" s="73" t="s">
        <v>11</v>
      </c>
      <c r="E15" s="72">
        <v>89099008054</v>
      </c>
      <c r="F15" s="73" t="s">
        <v>18</v>
      </c>
      <c r="G15" s="73" t="s">
        <v>48</v>
      </c>
      <c r="H15" s="74">
        <v>1490000</v>
      </c>
      <c r="I15" s="68">
        <f t="shared" si="2"/>
        <v>894000</v>
      </c>
      <c r="J15" s="74">
        <v>894000</v>
      </c>
      <c r="K15" s="68">
        <f t="shared" si="1"/>
        <v>0</v>
      </c>
      <c r="L15" s="87" t="s">
        <v>69</v>
      </c>
      <c r="M15" s="79"/>
      <c r="N15" s="79"/>
      <c r="O15" s="1"/>
      <c r="P15" s="196" t="s">
        <v>117</v>
      </c>
      <c r="Q15" s="196"/>
      <c r="R15" s="130">
        <f>SUM(J7:J98)</f>
        <v>12451000</v>
      </c>
    </row>
    <row r="16" spans="1:18" ht="16.5" x14ac:dyDescent="0.25">
      <c r="A16" s="191"/>
      <c r="B16" s="64">
        <f t="shared" si="3"/>
        <v>4</v>
      </c>
      <c r="C16" s="141" t="s">
        <v>43</v>
      </c>
      <c r="D16" s="142" t="s">
        <v>23</v>
      </c>
      <c r="E16" s="142">
        <v>42088019031</v>
      </c>
      <c r="F16" s="142" t="s">
        <v>21</v>
      </c>
      <c r="G16" s="142" t="s">
        <v>22</v>
      </c>
      <c r="H16" s="143"/>
      <c r="I16" s="143">
        <f t="shared" ref="I16:I22" si="4">H16*N$4</f>
        <v>0</v>
      </c>
      <c r="J16" s="144"/>
      <c r="K16" s="143">
        <f>I16-J16</f>
        <v>0</v>
      </c>
      <c r="L16" s="140" t="s">
        <v>146</v>
      </c>
      <c r="M16" s="76"/>
      <c r="N16" s="85"/>
      <c r="O16" s="1"/>
      <c r="P16" s="1"/>
    </row>
    <row r="17" spans="1:16" ht="16.5" x14ac:dyDescent="0.25">
      <c r="A17" s="191"/>
      <c r="B17" s="64">
        <f t="shared" si="3"/>
        <v>5</v>
      </c>
      <c r="C17" s="77" t="s">
        <v>44</v>
      </c>
      <c r="D17" s="75" t="s">
        <v>33</v>
      </c>
      <c r="E17" s="75">
        <v>49202008987</v>
      </c>
      <c r="F17" s="75" t="s">
        <v>15</v>
      </c>
      <c r="G17" s="75" t="s">
        <v>32</v>
      </c>
      <c r="H17" s="68">
        <v>1280000</v>
      </c>
      <c r="I17" s="68">
        <f t="shared" si="4"/>
        <v>768000</v>
      </c>
      <c r="J17" s="68">
        <v>768000</v>
      </c>
      <c r="K17" s="68">
        <f>I17-J17</f>
        <v>0</v>
      </c>
      <c r="L17" s="87" t="s">
        <v>69</v>
      </c>
      <c r="M17" s="76"/>
      <c r="N17" s="76"/>
      <c r="O17" s="1"/>
      <c r="P17" s="1"/>
    </row>
    <row r="18" spans="1:16" ht="16.5" x14ac:dyDescent="0.25">
      <c r="A18" s="191"/>
      <c r="B18" s="64">
        <f t="shared" si="3"/>
        <v>6</v>
      </c>
      <c r="C18" s="77" t="s">
        <v>79</v>
      </c>
      <c r="D18" s="75" t="s">
        <v>61</v>
      </c>
      <c r="E18" s="75">
        <v>95095009661</v>
      </c>
      <c r="F18" s="75" t="s">
        <v>62</v>
      </c>
      <c r="G18" s="75" t="s">
        <v>27</v>
      </c>
      <c r="H18" s="68">
        <v>1650000</v>
      </c>
      <c r="I18" s="68">
        <f t="shared" si="4"/>
        <v>990000</v>
      </c>
      <c r="J18" s="74">
        <v>990000</v>
      </c>
      <c r="K18" s="68">
        <f>I18-J18</f>
        <v>0</v>
      </c>
      <c r="L18" s="87" t="s">
        <v>69</v>
      </c>
      <c r="M18" s="80"/>
      <c r="N18" s="85"/>
      <c r="O18" s="1"/>
      <c r="P18" s="1"/>
    </row>
    <row r="19" spans="1:16" ht="16.5" x14ac:dyDescent="0.25">
      <c r="A19" s="191"/>
      <c r="B19" s="64">
        <f t="shared" si="3"/>
        <v>7</v>
      </c>
      <c r="C19" s="77" t="s">
        <v>98</v>
      </c>
      <c r="D19" s="75" t="s">
        <v>63</v>
      </c>
      <c r="E19" s="81">
        <v>91085001515</v>
      </c>
      <c r="F19" s="66" t="s">
        <v>18</v>
      </c>
      <c r="G19" s="75" t="s">
        <v>57</v>
      </c>
      <c r="H19" s="68">
        <v>1700000</v>
      </c>
      <c r="I19" s="68">
        <f t="shared" si="4"/>
        <v>1020000</v>
      </c>
      <c r="J19" s="74">
        <v>1020000</v>
      </c>
      <c r="K19" s="68">
        <f>I19-J19</f>
        <v>0</v>
      </c>
      <c r="L19" s="87" t="s">
        <v>69</v>
      </c>
      <c r="M19" s="76"/>
      <c r="N19" s="76"/>
      <c r="O19" s="1"/>
      <c r="P19" s="1"/>
    </row>
    <row r="20" spans="1:16" ht="16.5" x14ac:dyDescent="0.25">
      <c r="A20" s="191"/>
      <c r="B20" s="64">
        <f t="shared" si="3"/>
        <v>8</v>
      </c>
      <c r="C20" s="77" t="s">
        <v>52</v>
      </c>
      <c r="D20" s="64" t="s">
        <v>54</v>
      </c>
      <c r="E20" s="64" t="s">
        <v>94</v>
      </c>
      <c r="F20" s="64" t="s">
        <v>53</v>
      </c>
      <c r="G20" s="64" t="s">
        <v>35</v>
      </c>
      <c r="H20" s="68">
        <v>920000</v>
      </c>
      <c r="I20" s="68">
        <f t="shared" si="4"/>
        <v>552000</v>
      </c>
      <c r="J20" s="68">
        <v>550000</v>
      </c>
      <c r="K20" s="68">
        <v>0</v>
      </c>
      <c r="L20" s="87" t="s">
        <v>69</v>
      </c>
      <c r="M20" s="76"/>
      <c r="N20" s="76"/>
      <c r="O20" s="1"/>
      <c r="P20" s="1"/>
    </row>
    <row r="21" spans="1:16" ht="16.5" x14ac:dyDescent="0.25">
      <c r="A21" s="191"/>
      <c r="B21" s="64">
        <f t="shared" si="3"/>
        <v>9</v>
      </c>
      <c r="C21" s="78" t="s">
        <v>92</v>
      </c>
      <c r="D21" s="70" t="s">
        <v>88</v>
      </c>
      <c r="E21" s="70" t="s">
        <v>89</v>
      </c>
      <c r="F21" s="70" t="s">
        <v>90</v>
      </c>
      <c r="G21" s="64" t="s">
        <v>137</v>
      </c>
      <c r="H21" s="74">
        <v>1700000</v>
      </c>
      <c r="I21" s="68">
        <f t="shared" si="4"/>
        <v>1020000</v>
      </c>
      <c r="J21" s="68">
        <v>1020000</v>
      </c>
      <c r="K21" s="68">
        <f>I21-J21</f>
        <v>0</v>
      </c>
      <c r="L21" s="87" t="s">
        <v>69</v>
      </c>
      <c r="M21" s="79"/>
      <c r="N21" s="76"/>
      <c r="O21" s="1"/>
      <c r="P21" s="1"/>
    </row>
    <row r="22" spans="1:16" ht="16.5" x14ac:dyDescent="0.25">
      <c r="A22" s="191"/>
      <c r="B22" s="64">
        <f t="shared" si="3"/>
        <v>10</v>
      </c>
      <c r="C22" s="78" t="s">
        <v>131</v>
      </c>
      <c r="D22" s="105"/>
      <c r="E22" s="105"/>
      <c r="F22" s="105"/>
      <c r="G22" s="122" t="s">
        <v>93</v>
      </c>
      <c r="H22" s="74">
        <v>1370000</v>
      </c>
      <c r="I22" s="68">
        <f t="shared" si="4"/>
        <v>822000</v>
      </c>
      <c r="J22" s="74">
        <v>822000</v>
      </c>
      <c r="K22" s="68">
        <f>I22-J22</f>
        <v>0</v>
      </c>
      <c r="L22" s="87" t="s">
        <v>69</v>
      </c>
      <c r="M22" s="121" t="s">
        <v>124</v>
      </c>
      <c r="N22" s="76"/>
      <c r="O22" s="1"/>
      <c r="P22" s="1"/>
    </row>
    <row r="23" spans="1:16" ht="16.5" x14ac:dyDescent="0.25">
      <c r="A23" s="191"/>
      <c r="B23" s="64">
        <f t="shared" si="3"/>
        <v>11</v>
      </c>
      <c r="C23" s="145"/>
      <c r="D23" s="145"/>
      <c r="E23" s="145"/>
      <c r="F23" s="145"/>
      <c r="G23" s="145"/>
      <c r="H23" s="145"/>
      <c r="I23" s="145"/>
      <c r="J23" s="145"/>
      <c r="K23" s="145"/>
      <c r="L23" s="145"/>
      <c r="M23" s="145"/>
      <c r="N23" s="79"/>
      <c r="O23" s="1"/>
      <c r="P23" s="1"/>
    </row>
    <row r="24" spans="1:16" ht="16.5" x14ac:dyDescent="0.25">
      <c r="A24" s="191"/>
      <c r="B24" s="64">
        <f t="shared" si="3"/>
        <v>12</v>
      </c>
      <c r="C24" s="145"/>
      <c r="D24" s="145"/>
      <c r="E24" s="145"/>
      <c r="F24" s="145"/>
      <c r="G24" s="145"/>
      <c r="H24" s="145"/>
      <c r="I24" s="145"/>
      <c r="J24" s="145"/>
      <c r="K24" s="145"/>
      <c r="L24" s="145"/>
      <c r="M24" s="145"/>
      <c r="N24" s="105"/>
      <c r="O24" s="1"/>
      <c r="P24" s="1"/>
    </row>
    <row r="25" spans="1:16" x14ac:dyDescent="0.25">
      <c r="A25" s="128"/>
      <c r="B25" s="129"/>
      <c r="C25" s="129"/>
      <c r="D25" s="129"/>
      <c r="E25" s="129"/>
      <c r="F25" s="129"/>
      <c r="G25" s="129"/>
      <c r="H25" s="129"/>
      <c r="I25" s="129"/>
      <c r="J25" s="129"/>
      <c r="K25" s="129"/>
      <c r="L25" s="129"/>
      <c r="M25" s="129"/>
      <c r="N25" s="129"/>
      <c r="O25" s="1"/>
      <c r="P25" s="1"/>
    </row>
    <row r="26" spans="1:16" ht="22.15" customHeight="1" x14ac:dyDescent="0.25">
      <c r="A26" s="192" t="s">
        <v>136</v>
      </c>
      <c r="B26" s="64">
        <v>1</v>
      </c>
      <c r="C26" s="65" t="s">
        <v>139</v>
      </c>
      <c r="D26" s="66"/>
      <c r="E26" s="66"/>
      <c r="F26" s="66"/>
      <c r="G26" s="75" t="s">
        <v>25</v>
      </c>
      <c r="H26" s="134">
        <v>1130000</v>
      </c>
      <c r="I26" s="132">
        <f t="shared" si="2"/>
        <v>678000</v>
      </c>
      <c r="J26" s="132">
        <v>678000</v>
      </c>
      <c r="K26" s="132">
        <v>0</v>
      </c>
      <c r="L26" s="87" t="s">
        <v>69</v>
      </c>
      <c r="M26" s="136"/>
      <c r="N26" s="76"/>
      <c r="O26" s="1"/>
      <c r="P26" s="1"/>
    </row>
    <row r="27" spans="1:16" ht="20.45" customHeight="1" x14ac:dyDescent="0.25">
      <c r="A27" s="193"/>
      <c r="B27" s="64">
        <f>B26+1</f>
        <v>2</v>
      </c>
      <c r="C27" s="65" t="s">
        <v>138</v>
      </c>
      <c r="D27" s="75"/>
      <c r="E27" s="75"/>
      <c r="F27" s="75"/>
      <c r="G27" s="64" t="s">
        <v>19</v>
      </c>
      <c r="H27" s="134">
        <v>1725000</v>
      </c>
      <c r="I27" s="132">
        <f t="shared" si="2"/>
        <v>1035000</v>
      </c>
      <c r="J27" s="133">
        <v>1035000</v>
      </c>
      <c r="K27" s="132">
        <f t="shared" si="1"/>
        <v>0</v>
      </c>
      <c r="L27" s="87" t="s">
        <v>69</v>
      </c>
      <c r="M27" s="136"/>
      <c r="N27" s="76"/>
      <c r="O27" s="1"/>
      <c r="P27" s="1"/>
    </row>
    <row r="28" spans="1:16" ht="16.5" customHeight="1" x14ac:dyDescent="0.25">
      <c r="A28" s="193"/>
      <c r="B28" s="70">
        <f>B27+1</f>
        <v>3</v>
      </c>
      <c r="C28" s="80" t="s">
        <v>147</v>
      </c>
      <c r="D28" s="110"/>
      <c r="E28" s="111"/>
      <c r="F28" s="111"/>
      <c r="G28" s="75" t="s">
        <v>56</v>
      </c>
      <c r="H28" s="80" t="s">
        <v>147</v>
      </c>
      <c r="I28" s="80" t="s">
        <v>147</v>
      </c>
      <c r="J28" s="80" t="s">
        <v>147</v>
      </c>
      <c r="K28" s="80" t="s">
        <v>147</v>
      </c>
      <c r="L28" s="80" t="s">
        <v>147</v>
      </c>
      <c r="M28" s="115"/>
      <c r="N28" s="79"/>
    </row>
    <row r="29" spans="1:16" ht="16.5" customHeight="1" x14ac:dyDescent="0.25">
      <c r="A29" s="193"/>
      <c r="B29" s="64">
        <f>B28+1</f>
        <v>4</v>
      </c>
      <c r="C29" s="65"/>
      <c r="D29" s="66"/>
      <c r="E29" s="66"/>
      <c r="F29" s="66"/>
      <c r="G29" s="66"/>
      <c r="H29" s="135"/>
      <c r="I29" s="132"/>
      <c r="J29" s="133"/>
      <c r="K29" s="132"/>
      <c r="L29" s="131"/>
      <c r="M29" s="76"/>
      <c r="N29" s="76"/>
    </row>
    <row r="30" spans="1:16" ht="16.5" customHeight="1" x14ac:dyDescent="0.25">
      <c r="A30" s="193"/>
      <c r="B30" s="70">
        <f>B29+1</f>
        <v>5</v>
      </c>
      <c r="C30" s="71"/>
      <c r="D30" s="73"/>
      <c r="E30" s="73"/>
      <c r="F30" s="73"/>
      <c r="G30" s="73"/>
      <c r="H30" s="135"/>
      <c r="I30" s="132"/>
      <c r="J30" s="133"/>
      <c r="K30" s="132"/>
      <c r="L30" s="131"/>
      <c r="M30" s="79"/>
      <c r="N30" s="79"/>
    </row>
    <row r="31" spans="1:16" ht="15" customHeight="1" x14ac:dyDescent="0.25"/>
    <row r="32" spans="1:16" ht="15" customHeight="1" x14ac:dyDescent="0.25"/>
    <row r="39" spans="4:8" x14ac:dyDescent="0.25">
      <c r="E39" s="1"/>
      <c r="G39" s="25"/>
      <c r="H39" s="1"/>
    </row>
    <row r="40" spans="4:8" x14ac:dyDescent="0.25">
      <c r="D40" s="1"/>
      <c r="E40" s="1"/>
      <c r="F40" s="1"/>
      <c r="G40" s="1"/>
      <c r="H40" s="1"/>
    </row>
  </sheetData>
  <sheetProtection sheet="1" objects="1" scenarios="1"/>
  <mergeCells count="9">
    <mergeCell ref="A26:A30"/>
    <mergeCell ref="B3:K3"/>
    <mergeCell ref="A7:A11"/>
    <mergeCell ref="P10:Q11"/>
    <mergeCell ref="R10:R11"/>
    <mergeCell ref="P12:Q14"/>
    <mergeCell ref="R12:R14"/>
    <mergeCell ref="A13:A24"/>
    <mergeCell ref="P15:Q15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556B5-660E-4D44-A6A1-DA5AA95CAC2A}">
  <sheetPr codeName="Sheet18"/>
  <dimension ref="A1:R40"/>
  <sheetViews>
    <sheetView zoomScale="85" zoomScaleNormal="85" workbookViewId="0">
      <selection activeCell="J10" activeCellId="1" sqref="H10 J10"/>
    </sheetView>
  </sheetViews>
  <sheetFormatPr defaultRowHeight="15" x14ac:dyDescent="0.25"/>
  <cols>
    <col min="1" max="1" width="23.140625" customWidth="1"/>
    <col min="3" max="3" width="38" customWidth="1"/>
    <col min="4" max="6" width="0" hidden="1" customWidth="1"/>
    <col min="7" max="7" width="19.5703125" customWidth="1"/>
    <col min="8" max="8" width="20.42578125" customWidth="1"/>
    <col min="9" max="9" width="22.5703125" customWidth="1"/>
    <col min="10" max="10" width="20.140625" customWidth="1"/>
    <col min="11" max="12" width="19.42578125" customWidth="1"/>
    <col min="13" max="13" width="20.5703125" customWidth="1"/>
    <col min="14" max="14" width="14.140625" customWidth="1"/>
    <col min="16" max="16" width="18.5703125" customWidth="1"/>
    <col min="17" max="17" width="22.5703125" customWidth="1"/>
    <col min="18" max="18" width="21.28515625" customWidth="1"/>
  </cols>
  <sheetData>
    <row r="1" spans="1:18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8" x14ac:dyDescent="0.25">
      <c r="A2" s="1"/>
      <c r="L2" s="1"/>
      <c r="M2" s="1"/>
      <c r="N2" s="1"/>
      <c r="O2" s="1"/>
      <c r="P2" s="1"/>
    </row>
    <row r="3" spans="1:18" ht="27.75" x14ac:dyDescent="0.25">
      <c r="A3" s="1"/>
      <c r="B3" s="183" t="s">
        <v>31</v>
      </c>
      <c r="C3" s="183"/>
      <c r="D3" s="183"/>
      <c r="E3" s="183"/>
      <c r="F3" s="183"/>
      <c r="G3" s="183"/>
      <c r="H3" s="183"/>
      <c r="I3" s="183"/>
      <c r="J3" s="183"/>
      <c r="K3" s="183"/>
      <c r="L3" s="1"/>
      <c r="M3" s="1"/>
      <c r="N3" s="1"/>
      <c r="O3" s="1"/>
      <c r="P3" s="1"/>
    </row>
    <row r="4" spans="1:18" ht="30.75" x14ac:dyDescent="0.3">
      <c r="A4" s="1"/>
      <c r="C4" s="117"/>
      <c r="D4" s="117"/>
      <c r="E4" s="117"/>
      <c r="F4" s="117"/>
      <c r="H4" s="116" t="s">
        <v>149</v>
      </c>
      <c r="I4" s="117"/>
      <c r="J4" s="117"/>
      <c r="K4" s="117"/>
      <c r="L4" s="1"/>
      <c r="M4" s="23" t="s">
        <v>65</v>
      </c>
      <c r="N4" s="24">
        <v>0.6</v>
      </c>
      <c r="O4" s="1"/>
      <c r="P4" s="1"/>
    </row>
    <row r="5" spans="1:18" ht="12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8" ht="53.25" customHeight="1" x14ac:dyDescent="0.25">
      <c r="A6" s="105"/>
      <c r="B6" s="137" t="s">
        <v>0</v>
      </c>
      <c r="C6" s="137" t="s">
        <v>1</v>
      </c>
      <c r="D6" s="137" t="s">
        <v>50</v>
      </c>
      <c r="E6" s="137" t="s">
        <v>2</v>
      </c>
      <c r="F6" s="137" t="s">
        <v>3</v>
      </c>
      <c r="G6" s="137" t="s">
        <v>49</v>
      </c>
      <c r="H6" s="137" t="s">
        <v>4</v>
      </c>
      <c r="I6" s="138" t="s">
        <v>142</v>
      </c>
      <c r="J6" s="137" t="s">
        <v>115</v>
      </c>
      <c r="K6" s="137" t="s">
        <v>116</v>
      </c>
      <c r="L6" s="137" t="s">
        <v>7</v>
      </c>
      <c r="M6" s="137" t="s">
        <v>34</v>
      </c>
      <c r="N6" s="137" t="s">
        <v>51</v>
      </c>
      <c r="O6" s="1"/>
      <c r="P6" s="87" t="s">
        <v>69</v>
      </c>
    </row>
    <row r="7" spans="1:18" ht="16.5" customHeight="1" x14ac:dyDescent="0.25">
      <c r="A7" s="197" t="s">
        <v>119</v>
      </c>
      <c r="B7" s="64">
        <v>1</v>
      </c>
      <c r="C7" s="65" t="s">
        <v>132</v>
      </c>
      <c r="D7" s="66" t="s">
        <v>9</v>
      </c>
      <c r="E7" s="67">
        <v>91203011680</v>
      </c>
      <c r="F7" s="66" t="s">
        <v>15</v>
      </c>
      <c r="G7" s="66" t="s">
        <v>16</v>
      </c>
      <c r="H7" s="68">
        <v>1700000</v>
      </c>
      <c r="I7" s="68">
        <f>H7*N$4</f>
        <v>1020000</v>
      </c>
      <c r="J7" s="68">
        <v>1020000</v>
      </c>
      <c r="K7" s="68">
        <f>I7-J7</f>
        <v>0</v>
      </c>
      <c r="L7" s="88" t="s">
        <v>26</v>
      </c>
      <c r="M7" s="76"/>
      <c r="N7" s="76"/>
      <c r="O7" s="1"/>
      <c r="P7" s="88" t="s">
        <v>26</v>
      </c>
    </row>
    <row r="8" spans="1:18" ht="16.5" customHeight="1" x14ac:dyDescent="0.25">
      <c r="A8" s="198"/>
      <c r="B8" s="64">
        <f>B7+1</f>
        <v>2</v>
      </c>
      <c r="C8" s="80" t="s">
        <v>150</v>
      </c>
      <c r="D8" s="75" t="s">
        <v>28</v>
      </c>
      <c r="E8" s="75">
        <v>42094001136</v>
      </c>
      <c r="F8" s="75" t="s">
        <v>15</v>
      </c>
      <c r="G8" s="75" t="s">
        <v>36</v>
      </c>
      <c r="H8" s="68">
        <v>1500000</v>
      </c>
      <c r="I8" s="68">
        <f>H8*N$4</f>
        <v>900000</v>
      </c>
      <c r="J8" s="68">
        <v>750000</v>
      </c>
      <c r="K8" s="80">
        <v>0</v>
      </c>
      <c r="L8" s="88" t="s">
        <v>26</v>
      </c>
      <c r="M8" s="76"/>
      <c r="N8" s="76"/>
      <c r="O8" s="1"/>
      <c r="P8" s="82" t="s">
        <v>72</v>
      </c>
    </row>
    <row r="9" spans="1:18" ht="16.5" customHeight="1" x14ac:dyDescent="0.25">
      <c r="A9" s="198"/>
      <c r="B9" s="64">
        <f t="shared" ref="B9:B10" si="0">B8+1</f>
        <v>3</v>
      </c>
      <c r="C9" s="65" t="s">
        <v>134</v>
      </c>
      <c r="D9" s="66" t="s">
        <v>101</v>
      </c>
      <c r="E9" s="66">
        <v>70081001153</v>
      </c>
      <c r="F9" s="66" t="s">
        <v>102</v>
      </c>
      <c r="G9" s="66" t="s">
        <v>83</v>
      </c>
      <c r="H9" s="68">
        <v>1600000</v>
      </c>
      <c r="I9" s="68">
        <f>H9*N$4</f>
        <v>960000</v>
      </c>
      <c r="J9" s="74">
        <v>960000</v>
      </c>
      <c r="K9" s="68">
        <f>I9-J9</f>
        <v>0</v>
      </c>
      <c r="L9" s="88" t="s">
        <v>26</v>
      </c>
      <c r="M9" s="115"/>
      <c r="N9" s="79"/>
      <c r="O9" s="1"/>
      <c r="P9" s="1"/>
    </row>
    <row r="10" spans="1:18" ht="16.5" customHeight="1" x14ac:dyDescent="0.25">
      <c r="A10" s="198"/>
      <c r="B10" s="64">
        <f t="shared" si="0"/>
        <v>4</v>
      </c>
      <c r="C10" s="71" t="s">
        <v>135</v>
      </c>
      <c r="D10" s="73" t="s">
        <v>106</v>
      </c>
      <c r="E10" s="73">
        <v>27068001194</v>
      </c>
      <c r="F10" s="73" t="s">
        <v>105</v>
      </c>
      <c r="G10" s="127" t="s">
        <v>73</v>
      </c>
      <c r="H10" s="74">
        <v>1300000</v>
      </c>
      <c r="I10" s="68">
        <f>H10*N$4</f>
        <v>780000</v>
      </c>
      <c r="J10" s="74">
        <v>780000</v>
      </c>
      <c r="K10" s="68">
        <f>I10-J10</f>
        <v>0</v>
      </c>
      <c r="L10" s="88" t="s">
        <v>26</v>
      </c>
      <c r="M10" s="76"/>
      <c r="N10" s="76"/>
      <c r="O10" s="1"/>
      <c r="P10" s="200" t="s">
        <v>29</v>
      </c>
      <c r="Q10" s="200"/>
      <c r="R10" s="195">
        <f>SUM(H7:H999)</f>
        <v>29815000</v>
      </c>
    </row>
    <row r="11" spans="1:18" ht="16.5" customHeight="1" x14ac:dyDescent="0.25">
      <c r="A11" s="199"/>
      <c r="M11" s="79"/>
      <c r="N11" s="79"/>
      <c r="O11" s="1"/>
      <c r="P11" s="200"/>
      <c r="Q11" s="200"/>
      <c r="R11" s="195"/>
    </row>
    <row r="12" spans="1:18" ht="16.5" customHeight="1" x14ac:dyDescent="0.25">
      <c r="A12" s="107"/>
      <c r="B12" s="89"/>
      <c r="C12" s="90"/>
      <c r="D12" s="89"/>
      <c r="E12" s="91"/>
      <c r="F12" s="92"/>
      <c r="G12" s="93"/>
      <c r="H12" s="94"/>
      <c r="I12" s="94"/>
      <c r="J12" s="97"/>
      <c r="K12" s="123"/>
      <c r="L12" s="96"/>
      <c r="M12" s="97"/>
      <c r="N12" s="97"/>
      <c r="O12" s="1"/>
      <c r="P12" s="194" t="s">
        <v>143</v>
      </c>
      <c r="Q12" s="194"/>
      <c r="R12" s="195">
        <f>SUM(I7:I999)</f>
        <v>17889000</v>
      </c>
    </row>
    <row r="13" spans="1:18" ht="22.5" customHeight="1" x14ac:dyDescent="0.25">
      <c r="A13" s="191" t="s">
        <v>118</v>
      </c>
      <c r="B13" s="64">
        <v>1</v>
      </c>
      <c r="C13" s="77" t="s">
        <v>40</v>
      </c>
      <c r="D13" s="66" t="s">
        <v>8</v>
      </c>
      <c r="E13" s="67">
        <v>38096003688</v>
      </c>
      <c r="F13" s="66" t="s">
        <v>13</v>
      </c>
      <c r="G13" s="66" t="s">
        <v>14</v>
      </c>
      <c r="H13" s="68">
        <v>1630000</v>
      </c>
      <c r="I13" s="68">
        <f>H13*N$4</f>
        <v>978000</v>
      </c>
      <c r="J13" s="68">
        <v>978000</v>
      </c>
      <c r="K13" s="68">
        <f t="shared" ref="K13:K29" si="1">I13-J13</f>
        <v>0</v>
      </c>
      <c r="L13" s="87" t="s">
        <v>69</v>
      </c>
      <c r="M13" s="76"/>
      <c r="N13" s="76"/>
      <c r="O13" s="1"/>
      <c r="P13" s="194"/>
      <c r="Q13" s="194"/>
      <c r="R13" s="195"/>
    </row>
    <row r="14" spans="1:18" ht="16.5" customHeight="1" x14ac:dyDescent="0.25">
      <c r="A14" s="191"/>
      <c r="B14" s="64">
        <f>B13+1</f>
        <v>2</v>
      </c>
      <c r="C14" s="77"/>
      <c r="D14" s="66"/>
      <c r="E14" s="67"/>
      <c r="F14" s="66"/>
      <c r="G14" s="66"/>
      <c r="H14" s="68"/>
      <c r="I14" s="68"/>
      <c r="J14" s="68"/>
      <c r="K14" s="68"/>
      <c r="L14" s="76"/>
      <c r="M14" s="76"/>
      <c r="N14" s="76"/>
      <c r="O14" s="1"/>
      <c r="P14" s="194"/>
      <c r="Q14" s="194"/>
      <c r="R14" s="195"/>
    </row>
    <row r="15" spans="1:18" ht="22.5" x14ac:dyDescent="0.3">
      <c r="A15" s="191"/>
      <c r="B15" s="64">
        <f t="shared" ref="B15:B24" si="2">B14+1</f>
        <v>3</v>
      </c>
      <c r="C15" s="78" t="s">
        <v>67</v>
      </c>
      <c r="D15" s="73" t="s">
        <v>11</v>
      </c>
      <c r="E15" s="72">
        <v>89099008054</v>
      </c>
      <c r="F15" s="73" t="s">
        <v>18</v>
      </c>
      <c r="G15" s="73" t="s">
        <v>48</v>
      </c>
      <c r="H15" s="74">
        <v>1610000</v>
      </c>
      <c r="I15" s="68">
        <f t="shared" ref="I15:I29" si="3">H15*N$4</f>
        <v>966000</v>
      </c>
      <c r="J15" s="74">
        <v>966000</v>
      </c>
      <c r="K15" s="68">
        <f t="shared" si="1"/>
        <v>0</v>
      </c>
      <c r="L15" s="87" t="s">
        <v>69</v>
      </c>
      <c r="M15" s="79"/>
      <c r="N15" s="79"/>
      <c r="O15" s="1"/>
      <c r="P15" s="196" t="s">
        <v>117</v>
      </c>
      <c r="Q15" s="196"/>
      <c r="R15" s="130">
        <f>SUM(J7:J98)</f>
        <v>17728000</v>
      </c>
    </row>
    <row r="16" spans="1:18" ht="16.5" x14ac:dyDescent="0.25">
      <c r="A16" s="191"/>
      <c r="B16" s="64">
        <f t="shared" si="2"/>
        <v>4</v>
      </c>
      <c r="C16" s="77" t="s">
        <v>43</v>
      </c>
      <c r="D16" s="75" t="s">
        <v>23</v>
      </c>
      <c r="E16" s="75">
        <v>42088019031</v>
      </c>
      <c r="F16" s="75" t="s">
        <v>21</v>
      </c>
      <c r="G16" s="75" t="s">
        <v>22</v>
      </c>
      <c r="H16" s="68">
        <v>1790000</v>
      </c>
      <c r="I16" s="68">
        <f t="shared" si="3"/>
        <v>1074000</v>
      </c>
      <c r="J16" s="74">
        <v>1074000</v>
      </c>
      <c r="K16" s="68">
        <f t="shared" si="1"/>
        <v>0</v>
      </c>
      <c r="L16" s="87" t="s">
        <v>69</v>
      </c>
      <c r="M16" s="76"/>
      <c r="N16" s="85"/>
      <c r="O16" s="1"/>
      <c r="P16" s="1"/>
    </row>
    <row r="17" spans="1:16" ht="16.5" x14ac:dyDescent="0.25">
      <c r="A17" s="191"/>
      <c r="B17" s="64">
        <f t="shared" si="2"/>
        <v>5</v>
      </c>
      <c r="C17" s="77" t="s">
        <v>44</v>
      </c>
      <c r="D17" s="75" t="s">
        <v>33</v>
      </c>
      <c r="E17" s="75">
        <v>49202008987</v>
      </c>
      <c r="F17" s="75" t="s">
        <v>15</v>
      </c>
      <c r="G17" s="75" t="s">
        <v>32</v>
      </c>
      <c r="H17" s="68">
        <v>1010000</v>
      </c>
      <c r="I17" s="68">
        <f t="shared" si="3"/>
        <v>606000</v>
      </c>
      <c r="J17" s="68">
        <v>606000</v>
      </c>
      <c r="K17" s="68">
        <f t="shared" ref="K17:K22" si="4">I17-J17</f>
        <v>0</v>
      </c>
      <c r="L17" s="87" t="s">
        <v>69</v>
      </c>
      <c r="M17" s="76"/>
      <c r="N17" s="76"/>
      <c r="O17" s="1"/>
      <c r="P17" s="1"/>
    </row>
    <row r="18" spans="1:16" ht="16.5" x14ac:dyDescent="0.25">
      <c r="A18" s="191"/>
      <c r="B18" s="64">
        <f t="shared" si="2"/>
        <v>6</v>
      </c>
      <c r="C18" s="77" t="s">
        <v>79</v>
      </c>
      <c r="D18" s="75" t="s">
        <v>61</v>
      </c>
      <c r="E18" s="75">
        <v>95095009661</v>
      </c>
      <c r="F18" s="75" t="s">
        <v>62</v>
      </c>
      <c r="G18" s="75" t="s">
        <v>27</v>
      </c>
      <c r="H18" s="68">
        <v>1750000</v>
      </c>
      <c r="I18" s="68">
        <f t="shared" si="3"/>
        <v>1050000</v>
      </c>
      <c r="J18" s="74">
        <v>1050000</v>
      </c>
      <c r="K18" s="68">
        <f t="shared" si="4"/>
        <v>0</v>
      </c>
      <c r="L18" s="87" t="s">
        <v>69</v>
      </c>
      <c r="M18" s="80"/>
      <c r="N18" s="85"/>
      <c r="O18" s="1"/>
      <c r="P18" s="1"/>
    </row>
    <row r="19" spans="1:16" ht="16.5" x14ac:dyDescent="0.25">
      <c r="A19" s="191"/>
      <c r="B19" s="64">
        <f t="shared" si="2"/>
        <v>7</v>
      </c>
      <c r="C19" s="77" t="s">
        <v>98</v>
      </c>
      <c r="D19" s="75" t="s">
        <v>63</v>
      </c>
      <c r="E19" s="81">
        <v>91085001515</v>
      </c>
      <c r="F19" s="66" t="s">
        <v>18</v>
      </c>
      <c r="G19" s="75" t="s">
        <v>57</v>
      </c>
      <c r="H19" s="68">
        <v>1800000</v>
      </c>
      <c r="I19" s="68">
        <f t="shared" si="3"/>
        <v>1080000</v>
      </c>
      <c r="J19" s="74">
        <v>1080000</v>
      </c>
      <c r="K19" s="68">
        <f t="shared" si="4"/>
        <v>0</v>
      </c>
      <c r="L19" s="87" t="s">
        <v>69</v>
      </c>
      <c r="M19" s="76"/>
      <c r="N19" s="76"/>
      <c r="O19" s="1"/>
      <c r="P19" s="1"/>
    </row>
    <row r="20" spans="1:16" ht="16.5" x14ac:dyDescent="0.25">
      <c r="A20" s="191"/>
      <c r="B20" s="64">
        <f t="shared" si="2"/>
        <v>8</v>
      </c>
      <c r="C20" s="77" t="s">
        <v>52</v>
      </c>
      <c r="D20" s="64" t="s">
        <v>54</v>
      </c>
      <c r="E20" s="64" t="s">
        <v>94</v>
      </c>
      <c r="F20" s="64" t="s">
        <v>53</v>
      </c>
      <c r="G20" s="64" t="s">
        <v>35</v>
      </c>
      <c r="H20" s="68">
        <v>1870000</v>
      </c>
      <c r="I20" s="68">
        <f t="shared" si="3"/>
        <v>1122000</v>
      </c>
      <c r="J20" s="68">
        <v>1120000</v>
      </c>
      <c r="K20" s="68">
        <f t="shared" si="4"/>
        <v>2000</v>
      </c>
      <c r="L20" s="87" t="s">
        <v>69</v>
      </c>
      <c r="M20" s="76"/>
      <c r="N20" s="76"/>
      <c r="O20" s="1"/>
      <c r="P20" s="1"/>
    </row>
    <row r="21" spans="1:16" ht="16.5" x14ac:dyDescent="0.25">
      <c r="A21" s="191"/>
      <c r="B21" s="64">
        <f t="shared" si="2"/>
        <v>9</v>
      </c>
      <c r="C21" s="78" t="s">
        <v>92</v>
      </c>
      <c r="D21" s="70" t="s">
        <v>88</v>
      </c>
      <c r="E21" s="70" t="s">
        <v>89</v>
      </c>
      <c r="F21" s="70" t="s">
        <v>90</v>
      </c>
      <c r="G21" s="64" t="s">
        <v>137</v>
      </c>
      <c r="H21" s="74">
        <v>3430000</v>
      </c>
      <c r="I21" s="68">
        <f t="shared" si="3"/>
        <v>2058000</v>
      </c>
      <c r="J21" s="68">
        <v>2058000</v>
      </c>
      <c r="K21" s="68">
        <f t="shared" si="4"/>
        <v>0</v>
      </c>
      <c r="L21" s="87" t="s">
        <v>69</v>
      </c>
      <c r="M21" s="79"/>
      <c r="N21" s="76"/>
      <c r="O21" s="1"/>
      <c r="P21" s="1"/>
    </row>
    <row r="22" spans="1:16" ht="16.5" x14ac:dyDescent="0.25">
      <c r="A22" s="191"/>
      <c r="B22" s="64">
        <f t="shared" si="2"/>
        <v>10</v>
      </c>
      <c r="C22" s="78" t="s">
        <v>131</v>
      </c>
      <c r="D22" s="105"/>
      <c r="E22" s="105"/>
      <c r="F22" s="105"/>
      <c r="G22" s="122" t="s">
        <v>93</v>
      </c>
      <c r="H22" s="74">
        <v>1745000</v>
      </c>
      <c r="I22" s="68">
        <f t="shared" si="3"/>
        <v>1047000</v>
      </c>
      <c r="J22" s="74">
        <v>1047000</v>
      </c>
      <c r="K22" s="68">
        <f t="shared" si="4"/>
        <v>0</v>
      </c>
      <c r="L22" s="87" t="s">
        <v>69</v>
      </c>
      <c r="M22" s="121" t="s">
        <v>124</v>
      </c>
      <c r="N22" s="76"/>
      <c r="O22" s="1"/>
      <c r="P22" s="1"/>
    </row>
    <row r="23" spans="1:16" ht="16.5" x14ac:dyDescent="0.25">
      <c r="A23" s="191"/>
      <c r="B23" s="64">
        <f t="shared" si="2"/>
        <v>11</v>
      </c>
      <c r="C23" s="145"/>
      <c r="D23" s="145"/>
      <c r="E23" s="145"/>
      <c r="F23" s="145"/>
      <c r="G23" s="145"/>
      <c r="H23" s="145"/>
      <c r="I23" s="145"/>
      <c r="J23" s="145"/>
      <c r="K23" s="145"/>
      <c r="L23" s="145"/>
      <c r="M23" s="145"/>
      <c r="N23" s="79"/>
      <c r="O23" s="1"/>
      <c r="P23" s="1"/>
    </row>
    <row r="24" spans="1:16" ht="16.5" x14ac:dyDescent="0.25">
      <c r="A24" s="191"/>
      <c r="B24" s="64">
        <f t="shared" si="2"/>
        <v>12</v>
      </c>
      <c r="C24" s="145"/>
      <c r="D24" s="145"/>
      <c r="E24" s="145"/>
      <c r="F24" s="145"/>
      <c r="G24" s="145"/>
      <c r="H24" s="145"/>
      <c r="I24" s="145"/>
      <c r="J24" s="145"/>
      <c r="K24" s="145"/>
      <c r="L24" s="145"/>
      <c r="M24" s="145"/>
      <c r="N24" s="105"/>
      <c r="O24" s="1"/>
      <c r="P24" s="1"/>
    </row>
    <row r="25" spans="1:16" x14ac:dyDescent="0.25">
      <c r="A25" s="128"/>
      <c r="B25" s="129"/>
      <c r="C25" s="129"/>
      <c r="D25" s="129"/>
      <c r="E25" s="129"/>
      <c r="F25" s="129"/>
      <c r="G25" s="129"/>
      <c r="H25" s="129"/>
      <c r="I25" s="129"/>
      <c r="J25" s="129"/>
      <c r="K25" s="129"/>
      <c r="L25" s="129"/>
      <c r="M25" s="129"/>
      <c r="N25" s="129"/>
      <c r="O25" s="1"/>
      <c r="P25" s="1"/>
    </row>
    <row r="26" spans="1:16" ht="22.15" customHeight="1" x14ac:dyDescent="0.25">
      <c r="A26" s="192" t="s">
        <v>136</v>
      </c>
      <c r="B26" s="64">
        <v>1</v>
      </c>
      <c r="C26" s="65" t="s">
        <v>139</v>
      </c>
      <c r="D26" s="66"/>
      <c r="E26" s="66"/>
      <c r="F26" s="66"/>
      <c r="G26" s="75" t="s">
        <v>25</v>
      </c>
      <c r="H26" s="134">
        <v>1830000</v>
      </c>
      <c r="I26" s="132">
        <f t="shared" si="3"/>
        <v>1098000</v>
      </c>
      <c r="J26" s="132">
        <v>1089000</v>
      </c>
      <c r="K26" s="132">
        <v>9000</v>
      </c>
      <c r="L26" s="87" t="s">
        <v>69</v>
      </c>
      <c r="M26" s="136"/>
      <c r="N26" s="76"/>
      <c r="O26" s="1"/>
      <c r="P26" s="1"/>
    </row>
    <row r="27" spans="1:16" ht="20.45" customHeight="1" x14ac:dyDescent="0.25">
      <c r="A27" s="193"/>
      <c r="B27" s="64">
        <f>B26+1</f>
        <v>2</v>
      </c>
      <c r="C27" s="65" t="s">
        <v>138</v>
      </c>
      <c r="D27" s="75"/>
      <c r="E27" s="75"/>
      <c r="F27" s="75"/>
      <c r="G27" s="64" t="s">
        <v>19</v>
      </c>
      <c r="H27" s="134">
        <v>1960000</v>
      </c>
      <c r="I27" s="132">
        <f t="shared" si="3"/>
        <v>1176000</v>
      </c>
      <c r="J27" s="133">
        <v>1176000</v>
      </c>
      <c r="K27" s="132">
        <f t="shared" si="1"/>
        <v>0</v>
      </c>
      <c r="L27" s="87" t="s">
        <v>69</v>
      </c>
      <c r="M27" s="136"/>
      <c r="N27" s="76"/>
      <c r="O27" s="1"/>
      <c r="P27" s="1"/>
    </row>
    <row r="28" spans="1:16" ht="16.5" customHeight="1" x14ac:dyDescent="0.25">
      <c r="A28" s="193"/>
      <c r="B28" s="70">
        <f>B27+1</f>
        <v>3</v>
      </c>
      <c r="C28" s="65" t="s">
        <v>148</v>
      </c>
      <c r="D28" s="110"/>
      <c r="E28" s="111"/>
      <c r="F28" s="111"/>
      <c r="G28" s="75" t="s">
        <v>56</v>
      </c>
      <c r="H28" s="68">
        <v>1520000</v>
      </c>
      <c r="I28" s="132">
        <f t="shared" si="3"/>
        <v>912000</v>
      </c>
      <c r="J28" s="68">
        <v>912000</v>
      </c>
      <c r="K28" s="132">
        <f t="shared" si="1"/>
        <v>0</v>
      </c>
      <c r="L28" s="87" t="s">
        <v>69</v>
      </c>
      <c r="M28" s="115"/>
      <c r="N28" s="79"/>
    </row>
    <row r="29" spans="1:16" ht="16.5" customHeight="1" x14ac:dyDescent="0.25">
      <c r="A29" s="193"/>
      <c r="B29" s="64">
        <f>B28+1</f>
        <v>4</v>
      </c>
      <c r="C29" s="77" t="s">
        <v>41</v>
      </c>
      <c r="D29" s="66" t="s">
        <v>10</v>
      </c>
      <c r="E29" s="67">
        <v>89078016404</v>
      </c>
      <c r="F29" s="66" t="s">
        <v>18</v>
      </c>
      <c r="G29" s="66" t="s">
        <v>17</v>
      </c>
      <c r="H29" s="135">
        <v>1770000</v>
      </c>
      <c r="I29" s="132">
        <f t="shared" si="3"/>
        <v>1062000</v>
      </c>
      <c r="J29" s="133">
        <v>1062000</v>
      </c>
      <c r="K29" s="132">
        <f t="shared" si="1"/>
        <v>0</v>
      </c>
      <c r="L29" s="87" t="s">
        <v>69</v>
      </c>
      <c r="M29" s="76"/>
      <c r="N29" s="76"/>
    </row>
    <row r="30" spans="1:16" ht="16.5" customHeight="1" x14ac:dyDescent="0.25">
      <c r="A30" s="193"/>
      <c r="B30" s="70">
        <f>B29+1</f>
        <v>5</v>
      </c>
      <c r="C30" s="71"/>
      <c r="D30" s="73"/>
      <c r="E30" s="73"/>
      <c r="F30" s="73"/>
      <c r="G30" s="73"/>
      <c r="H30" s="135"/>
      <c r="I30" s="132"/>
      <c r="J30" s="133"/>
      <c r="K30" s="132"/>
      <c r="L30" s="131"/>
      <c r="M30" s="79"/>
      <c r="N30" s="79"/>
    </row>
    <row r="31" spans="1:16" ht="15" customHeight="1" x14ac:dyDescent="0.25"/>
    <row r="32" spans="1:16" ht="15" customHeight="1" x14ac:dyDescent="0.25"/>
    <row r="39" spans="4:8" x14ac:dyDescent="0.25">
      <c r="E39" s="1"/>
      <c r="G39" s="25"/>
      <c r="H39" s="1"/>
    </row>
    <row r="40" spans="4:8" x14ac:dyDescent="0.25">
      <c r="D40" s="1"/>
      <c r="E40" s="1"/>
      <c r="F40" s="1"/>
      <c r="G40" s="1"/>
      <c r="H40" s="1"/>
    </row>
  </sheetData>
  <sheetProtection sheet="1" objects="1" scenarios="1"/>
  <mergeCells count="9">
    <mergeCell ref="A26:A30"/>
    <mergeCell ref="B3:K3"/>
    <mergeCell ref="A7:A11"/>
    <mergeCell ref="P10:Q11"/>
    <mergeCell ref="R10:R11"/>
    <mergeCell ref="P12:Q14"/>
    <mergeCell ref="R12:R14"/>
    <mergeCell ref="A13:A24"/>
    <mergeCell ref="P15:Q15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A2A59-A917-4AB1-8764-D9870B6B2836}">
  <sheetPr codeName="Sheet19"/>
  <dimension ref="A1:R40"/>
  <sheetViews>
    <sheetView zoomScale="85" zoomScaleNormal="85" workbookViewId="0">
      <selection activeCell="J28" activeCellId="1" sqref="H28 J28"/>
    </sheetView>
  </sheetViews>
  <sheetFormatPr defaultRowHeight="15" x14ac:dyDescent="0.25"/>
  <cols>
    <col min="1" max="1" width="23.140625" customWidth="1"/>
    <col min="3" max="3" width="35.28515625" customWidth="1"/>
    <col min="4" max="4" width="19.85546875" customWidth="1"/>
    <col min="5" max="5" width="19.28515625" customWidth="1"/>
    <col min="6" max="6" width="26.42578125" customWidth="1"/>
    <col min="7" max="7" width="19.5703125" customWidth="1"/>
    <col min="8" max="8" width="20.42578125" customWidth="1"/>
    <col min="9" max="9" width="22.5703125" customWidth="1"/>
    <col min="10" max="10" width="20.140625" customWidth="1"/>
    <col min="11" max="12" width="19.42578125" customWidth="1"/>
    <col min="13" max="13" width="20.5703125" customWidth="1"/>
    <col min="14" max="14" width="14.140625" customWidth="1"/>
    <col min="16" max="16" width="18.5703125" customWidth="1"/>
    <col min="17" max="17" width="22.5703125" customWidth="1"/>
    <col min="18" max="18" width="21.28515625" customWidth="1"/>
  </cols>
  <sheetData>
    <row r="1" spans="1:18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8" x14ac:dyDescent="0.25">
      <c r="A2" s="1"/>
      <c r="L2" s="1"/>
      <c r="M2" s="1"/>
      <c r="N2" s="1"/>
      <c r="O2" s="1"/>
      <c r="P2" s="1"/>
    </row>
    <row r="3" spans="1:18" ht="27.75" x14ac:dyDescent="0.25">
      <c r="A3" s="1"/>
      <c r="B3" s="183" t="s">
        <v>31</v>
      </c>
      <c r="C3" s="183"/>
      <c r="D3" s="183"/>
      <c r="E3" s="183"/>
      <c r="F3" s="183"/>
      <c r="G3" s="183"/>
      <c r="H3" s="183"/>
      <c r="I3" s="183"/>
      <c r="J3" s="183"/>
      <c r="K3" s="183"/>
      <c r="L3" s="1"/>
      <c r="M3" s="1"/>
      <c r="N3" s="1"/>
      <c r="O3" s="1"/>
      <c r="P3" s="1"/>
    </row>
    <row r="4" spans="1:18" ht="30.75" x14ac:dyDescent="0.3">
      <c r="A4" s="1"/>
      <c r="C4" s="117"/>
      <c r="D4" s="117"/>
      <c r="E4" s="117"/>
      <c r="F4" s="116" t="s">
        <v>151</v>
      </c>
      <c r="I4" s="117"/>
      <c r="J4" s="117"/>
      <c r="K4" s="117"/>
      <c r="L4" s="1"/>
      <c r="M4" s="23" t="s">
        <v>65</v>
      </c>
      <c r="N4" s="24">
        <v>0.6</v>
      </c>
      <c r="O4" s="1"/>
      <c r="P4" s="1"/>
    </row>
    <row r="5" spans="1:18" ht="12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8" ht="53.25" customHeight="1" x14ac:dyDescent="0.25">
      <c r="A6" s="105"/>
      <c r="B6" s="137" t="s">
        <v>0</v>
      </c>
      <c r="C6" s="137" t="s">
        <v>1</v>
      </c>
      <c r="D6" s="137" t="s">
        <v>50</v>
      </c>
      <c r="E6" s="137" t="s">
        <v>2</v>
      </c>
      <c r="F6" s="137" t="s">
        <v>3</v>
      </c>
      <c r="G6" s="137" t="s">
        <v>49</v>
      </c>
      <c r="H6" s="137" t="s">
        <v>4</v>
      </c>
      <c r="I6" s="138" t="s">
        <v>142</v>
      </c>
      <c r="J6" s="137" t="s">
        <v>115</v>
      </c>
      <c r="K6" s="137" t="s">
        <v>116</v>
      </c>
      <c r="L6" s="137" t="s">
        <v>7</v>
      </c>
      <c r="M6" s="137" t="s">
        <v>34</v>
      </c>
      <c r="N6" s="137" t="s">
        <v>51</v>
      </c>
      <c r="O6" s="1"/>
      <c r="P6" s="87" t="s">
        <v>69</v>
      </c>
    </row>
    <row r="7" spans="1:18" ht="16.5" customHeight="1" x14ac:dyDescent="0.25">
      <c r="A7" s="197" t="s">
        <v>119</v>
      </c>
      <c r="B7" s="64">
        <v>1</v>
      </c>
      <c r="C7" s="65" t="s">
        <v>132</v>
      </c>
      <c r="D7" s="66" t="s">
        <v>9</v>
      </c>
      <c r="E7" s="67">
        <v>91203011680</v>
      </c>
      <c r="F7" s="66" t="s">
        <v>15</v>
      </c>
      <c r="G7" s="66" t="s">
        <v>16</v>
      </c>
      <c r="H7" s="68">
        <v>1400000</v>
      </c>
      <c r="I7" s="68">
        <f>H7*N$4</f>
        <v>840000</v>
      </c>
      <c r="J7" s="68">
        <v>840000</v>
      </c>
      <c r="K7" s="68">
        <f>I7-J7</f>
        <v>0</v>
      </c>
      <c r="L7" s="88" t="s">
        <v>26</v>
      </c>
      <c r="M7" s="76"/>
      <c r="N7" s="76"/>
      <c r="O7" s="1"/>
      <c r="P7" s="88" t="s">
        <v>26</v>
      </c>
    </row>
    <row r="8" spans="1:18" ht="16.5" customHeight="1" x14ac:dyDescent="0.25">
      <c r="A8" s="198"/>
      <c r="B8" s="64">
        <f>B7+1</f>
        <v>2</v>
      </c>
      <c r="C8" s="65" t="s">
        <v>150</v>
      </c>
      <c r="D8" s="75" t="s">
        <v>28</v>
      </c>
      <c r="E8" s="75">
        <v>42094001136</v>
      </c>
      <c r="F8" s="75" t="s">
        <v>15</v>
      </c>
      <c r="G8" s="75" t="s">
        <v>36</v>
      </c>
      <c r="H8" s="68">
        <v>1800000</v>
      </c>
      <c r="I8" s="68">
        <f>H8*N$4</f>
        <v>1080000</v>
      </c>
      <c r="J8" s="68">
        <v>900000</v>
      </c>
      <c r="K8" s="68">
        <v>0</v>
      </c>
      <c r="L8" s="88" t="s">
        <v>26</v>
      </c>
      <c r="M8" s="76"/>
      <c r="N8" s="76"/>
      <c r="O8" s="1"/>
      <c r="P8" s="82" t="s">
        <v>72</v>
      </c>
    </row>
    <row r="9" spans="1:18" ht="16.5" customHeight="1" x14ac:dyDescent="0.25">
      <c r="A9" s="198"/>
      <c r="B9" s="64">
        <f t="shared" ref="B9:B10" si="0">B8+1</f>
        <v>3</v>
      </c>
      <c r="C9" s="65" t="s">
        <v>134</v>
      </c>
      <c r="D9" s="66" t="s">
        <v>101</v>
      </c>
      <c r="E9" s="66">
        <v>70081001153</v>
      </c>
      <c r="F9" s="66" t="s">
        <v>102</v>
      </c>
      <c r="G9" s="66" t="s">
        <v>83</v>
      </c>
      <c r="H9" s="68">
        <v>1000000</v>
      </c>
      <c r="I9" s="68">
        <f>H9*N$4</f>
        <v>600000</v>
      </c>
      <c r="J9" s="74">
        <v>600000</v>
      </c>
      <c r="K9" s="68">
        <f>I9-J9</f>
        <v>0</v>
      </c>
      <c r="L9" s="88" t="s">
        <v>26</v>
      </c>
      <c r="M9" s="115"/>
      <c r="N9" s="79"/>
      <c r="O9" s="1"/>
      <c r="P9" s="1"/>
    </row>
    <row r="10" spans="1:18" ht="16.5" customHeight="1" x14ac:dyDescent="0.25">
      <c r="A10" s="198"/>
      <c r="B10" s="64">
        <f t="shared" si="0"/>
        <v>4</v>
      </c>
      <c r="C10" s="71" t="s">
        <v>135</v>
      </c>
      <c r="D10" s="73" t="s">
        <v>106</v>
      </c>
      <c r="E10" s="73">
        <v>27068001194</v>
      </c>
      <c r="F10" s="73" t="s">
        <v>105</v>
      </c>
      <c r="G10" s="127" t="s">
        <v>73</v>
      </c>
      <c r="H10" s="74">
        <v>1350000</v>
      </c>
      <c r="I10" s="68">
        <f>H10*N$4</f>
        <v>810000</v>
      </c>
      <c r="J10" s="74">
        <v>810000</v>
      </c>
      <c r="K10" s="68">
        <f>I10-J10</f>
        <v>0</v>
      </c>
      <c r="L10" s="88" t="s">
        <v>26</v>
      </c>
      <c r="M10" s="76"/>
      <c r="N10" s="76"/>
      <c r="O10" s="1"/>
      <c r="P10" s="200" t="s">
        <v>29</v>
      </c>
      <c r="Q10" s="200"/>
      <c r="R10" s="195">
        <f>SUM(H7:H999)</f>
        <v>29241000</v>
      </c>
    </row>
    <row r="11" spans="1:18" ht="16.5" customHeight="1" x14ac:dyDescent="0.25">
      <c r="A11" s="199"/>
      <c r="H11" s="146"/>
      <c r="I11" s="146"/>
      <c r="J11" s="146"/>
      <c r="K11" s="146"/>
      <c r="M11" s="79"/>
      <c r="N11" s="79"/>
      <c r="O11" s="1"/>
      <c r="P11" s="200"/>
      <c r="Q11" s="200"/>
      <c r="R11" s="195"/>
    </row>
    <row r="12" spans="1:18" ht="16.5" customHeight="1" x14ac:dyDescent="0.25">
      <c r="A12" s="107"/>
      <c r="B12" s="89"/>
      <c r="C12" s="90"/>
      <c r="D12" s="89"/>
      <c r="E12" s="91"/>
      <c r="F12" s="92"/>
      <c r="G12" s="93"/>
      <c r="H12" s="94"/>
      <c r="I12" s="94"/>
      <c r="J12" s="147"/>
      <c r="K12" s="123"/>
      <c r="L12" s="96"/>
      <c r="M12" s="97"/>
      <c r="N12" s="97"/>
      <c r="O12" s="1"/>
      <c r="P12" s="194" t="s">
        <v>143</v>
      </c>
      <c r="Q12" s="194"/>
      <c r="R12" s="195">
        <f>SUM(I7:I999)</f>
        <v>17544600</v>
      </c>
    </row>
    <row r="13" spans="1:18" ht="22.5" customHeight="1" x14ac:dyDescent="0.25">
      <c r="A13" s="191" t="s">
        <v>118</v>
      </c>
      <c r="B13" s="64">
        <v>1</v>
      </c>
      <c r="C13" s="77" t="s">
        <v>40</v>
      </c>
      <c r="D13" s="66" t="s">
        <v>8</v>
      </c>
      <c r="E13" s="67">
        <v>38096003688</v>
      </c>
      <c r="F13" s="66" t="s">
        <v>13</v>
      </c>
      <c r="G13" s="66" t="s">
        <v>14</v>
      </c>
      <c r="H13" s="68">
        <v>900000</v>
      </c>
      <c r="I13" s="68">
        <f>H13*N$4</f>
        <v>540000</v>
      </c>
      <c r="J13" s="68">
        <v>540000</v>
      </c>
      <c r="K13" s="68">
        <f t="shared" ref="K13:K29" si="1">I13-J13</f>
        <v>0</v>
      </c>
      <c r="L13" s="87" t="s">
        <v>69</v>
      </c>
      <c r="M13" s="76"/>
      <c r="N13" s="76"/>
      <c r="O13" s="1"/>
      <c r="P13" s="194"/>
      <c r="Q13" s="194"/>
      <c r="R13" s="195"/>
    </row>
    <row r="14" spans="1:18" ht="16.5" customHeight="1" x14ac:dyDescent="0.25">
      <c r="A14" s="191"/>
      <c r="B14" s="64">
        <f>B13+1</f>
        <v>2</v>
      </c>
      <c r="C14" s="77"/>
      <c r="D14" s="66"/>
      <c r="E14" s="67"/>
      <c r="F14" s="66"/>
      <c r="G14" s="66"/>
      <c r="H14" s="68"/>
      <c r="I14" s="68"/>
      <c r="J14" s="68"/>
      <c r="K14" s="68"/>
      <c r="L14" s="76"/>
      <c r="M14" s="76"/>
      <c r="N14" s="76"/>
      <c r="O14" s="1"/>
      <c r="P14" s="194"/>
      <c r="Q14" s="194"/>
      <c r="R14" s="195"/>
    </row>
    <row r="15" spans="1:18" ht="22.5" x14ac:dyDescent="0.3">
      <c r="A15" s="191"/>
      <c r="B15" s="64">
        <f t="shared" ref="B15:B24" si="2">B14+1</f>
        <v>3</v>
      </c>
      <c r="C15" s="78" t="s">
        <v>67</v>
      </c>
      <c r="D15" s="73" t="s">
        <v>11</v>
      </c>
      <c r="E15" s="72">
        <v>89099008054</v>
      </c>
      <c r="F15" s="73" t="s">
        <v>18</v>
      </c>
      <c r="G15" s="73" t="s">
        <v>48</v>
      </c>
      <c r="H15" s="74">
        <v>1480000</v>
      </c>
      <c r="I15" s="68">
        <f t="shared" ref="I15:I29" si="3">H15*N$4</f>
        <v>888000</v>
      </c>
      <c r="J15" s="74">
        <v>888000</v>
      </c>
      <c r="K15" s="68">
        <f t="shared" si="1"/>
        <v>0</v>
      </c>
      <c r="L15" s="87" t="s">
        <v>69</v>
      </c>
      <c r="M15" s="79"/>
      <c r="N15" s="79"/>
      <c r="O15" s="1"/>
      <c r="P15" s="196" t="s">
        <v>117</v>
      </c>
      <c r="Q15" s="196"/>
      <c r="R15" s="130">
        <f>SUM(J7:J98)</f>
        <v>17384600</v>
      </c>
    </row>
    <row r="16" spans="1:18" ht="16.5" x14ac:dyDescent="0.25">
      <c r="A16" s="191"/>
      <c r="B16" s="64">
        <f t="shared" si="2"/>
        <v>4</v>
      </c>
      <c r="C16" s="77" t="s">
        <v>43</v>
      </c>
      <c r="D16" s="75" t="s">
        <v>23</v>
      </c>
      <c r="E16" s="75">
        <v>42088019031</v>
      </c>
      <c r="F16" s="75" t="s">
        <v>21</v>
      </c>
      <c r="G16" s="75" t="s">
        <v>22</v>
      </c>
      <c r="H16" s="68">
        <v>1850000</v>
      </c>
      <c r="I16" s="68">
        <f t="shared" si="3"/>
        <v>1110000</v>
      </c>
      <c r="J16" s="74">
        <v>1110000</v>
      </c>
      <c r="K16" s="68">
        <f t="shared" si="1"/>
        <v>0</v>
      </c>
      <c r="L16" s="87" t="s">
        <v>69</v>
      </c>
      <c r="M16" s="76"/>
      <c r="N16" s="85"/>
      <c r="O16" s="1"/>
      <c r="P16" s="1"/>
    </row>
    <row r="17" spans="1:16" ht="16.5" x14ac:dyDescent="0.25">
      <c r="A17" s="191"/>
      <c r="B17" s="64">
        <f t="shared" si="2"/>
        <v>5</v>
      </c>
      <c r="C17" s="77" t="s">
        <v>44</v>
      </c>
      <c r="D17" s="75" t="s">
        <v>33</v>
      </c>
      <c r="E17" s="75">
        <v>49202008987</v>
      </c>
      <c r="F17" s="75" t="s">
        <v>15</v>
      </c>
      <c r="G17" s="75" t="s">
        <v>32</v>
      </c>
      <c r="H17" s="68">
        <v>1440000</v>
      </c>
      <c r="I17" s="68">
        <f t="shared" si="3"/>
        <v>864000</v>
      </c>
      <c r="J17" s="68">
        <v>864000</v>
      </c>
      <c r="K17" s="68">
        <f t="shared" si="1"/>
        <v>0</v>
      </c>
      <c r="L17" s="87" t="s">
        <v>69</v>
      </c>
      <c r="M17" s="76"/>
      <c r="N17" s="76"/>
      <c r="O17" s="1"/>
      <c r="P17" s="1"/>
    </row>
    <row r="18" spans="1:16" ht="16.5" x14ac:dyDescent="0.25">
      <c r="A18" s="191"/>
      <c r="B18" s="64">
        <f t="shared" si="2"/>
        <v>6</v>
      </c>
      <c r="C18" s="77" t="s">
        <v>79</v>
      </c>
      <c r="D18" s="75" t="s">
        <v>61</v>
      </c>
      <c r="E18" s="75">
        <v>95095009661</v>
      </c>
      <c r="F18" s="75" t="s">
        <v>62</v>
      </c>
      <c r="G18" s="75" t="s">
        <v>27</v>
      </c>
      <c r="H18" s="68">
        <v>1890000</v>
      </c>
      <c r="I18" s="68">
        <f t="shared" si="3"/>
        <v>1134000</v>
      </c>
      <c r="J18" s="74">
        <v>1134000</v>
      </c>
      <c r="K18" s="68">
        <f t="shared" si="1"/>
        <v>0</v>
      </c>
      <c r="L18" s="87" t="s">
        <v>69</v>
      </c>
      <c r="M18" s="80"/>
      <c r="N18" s="85"/>
      <c r="O18" s="1"/>
      <c r="P18" s="1"/>
    </row>
    <row r="19" spans="1:16" ht="16.5" x14ac:dyDescent="0.25">
      <c r="A19" s="191"/>
      <c r="B19" s="64">
        <f t="shared" si="2"/>
        <v>7</v>
      </c>
      <c r="C19" s="77" t="s">
        <v>98</v>
      </c>
      <c r="D19" s="75" t="s">
        <v>63</v>
      </c>
      <c r="E19" s="81">
        <v>91085001515</v>
      </c>
      <c r="F19" s="66" t="s">
        <v>18</v>
      </c>
      <c r="G19" s="75" t="s">
        <v>57</v>
      </c>
      <c r="H19" s="68">
        <v>1800000</v>
      </c>
      <c r="I19" s="68">
        <f t="shared" si="3"/>
        <v>1080000</v>
      </c>
      <c r="J19" s="74">
        <v>1080000</v>
      </c>
      <c r="K19" s="68">
        <f t="shared" si="1"/>
        <v>0</v>
      </c>
      <c r="L19" s="87" t="s">
        <v>69</v>
      </c>
      <c r="M19" s="76"/>
      <c r="N19" s="76"/>
      <c r="O19" s="1"/>
      <c r="P19" s="1"/>
    </row>
    <row r="20" spans="1:16" ht="16.5" x14ac:dyDescent="0.25">
      <c r="A20" s="191"/>
      <c r="B20" s="64">
        <f t="shared" si="2"/>
        <v>8</v>
      </c>
      <c r="C20" s="77" t="s">
        <v>52</v>
      </c>
      <c r="D20" s="64" t="s">
        <v>54</v>
      </c>
      <c r="E20" s="64" t="s">
        <v>94</v>
      </c>
      <c r="F20" s="64" t="s">
        <v>53</v>
      </c>
      <c r="G20" s="64" t="s">
        <v>35</v>
      </c>
      <c r="H20" s="68">
        <v>1940000</v>
      </c>
      <c r="I20" s="68">
        <f t="shared" si="3"/>
        <v>1164000</v>
      </c>
      <c r="J20" s="68">
        <v>1164000</v>
      </c>
      <c r="K20" s="68">
        <f t="shared" si="1"/>
        <v>0</v>
      </c>
      <c r="L20" s="87" t="s">
        <v>69</v>
      </c>
      <c r="M20" s="76"/>
      <c r="N20" s="76"/>
      <c r="O20" s="1"/>
      <c r="P20" s="1"/>
    </row>
    <row r="21" spans="1:16" ht="16.5" x14ac:dyDescent="0.25">
      <c r="A21" s="191"/>
      <c r="B21" s="64">
        <f t="shared" si="2"/>
        <v>9</v>
      </c>
      <c r="C21" s="78" t="s">
        <v>92</v>
      </c>
      <c r="D21" s="70" t="s">
        <v>88</v>
      </c>
      <c r="E21" s="70" t="s">
        <v>89</v>
      </c>
      <c r="F21" s="70" t="s">
        <v>90</v>
      </c>
      <c r="G21" s="64" t="s">
        <v>137</v>
      </c>
      <c r="H21" s="74">
        <v>4201000</v>
      </c>
      <c r="I21" s="68">
        <f t="shared" si="3"/>
        <v>2520600</v>
      </c>
      <c r="J21" s="68">
        <v>2520600</v>
      </c>
      <c r="K21" s="68">
        <f t="shared" si="1"/>
        <v>0</v>
      </c>
      <c r="L21" s="87" t="s">
        <v>69</v>
      </c>
      <c r="M21" s="79"/>
      <c r="N21" s="76"/>
      <c r="O21" s="1"/>
      <c r="P21" s="1"/>
    </row>
    <row r="22" spans="1:16" ht="16.5" x14ac:dyDescent="0.25">
      <c r="A22" s="191"/>
      <c r="B22" s="64">
        <f t="shared" si="2"/>
        <v>10</v>
      </c>
      <c r="C22" s="78" t="s">
        <v>131</v>
      </c>
      <c r="D22" s="105"/>
      <c r="E22" s="105"/>
      <c r="F22" s="105"/>
      <c r="G22" s="122" t="s">
        <v>93</v>
      </c>
      <c r="H22" s="74">
        <v>1445000</v>
      </c>
      <c r="I22" s="68">
        <f t="shared" si="3"/>
        <v>867000</v>
      </c>
      <c r="J22" s="74">
        <v>867000</v>
      </c>
      <c r="K22" s="68">
        <f t="shared" si="1"/>
        <v>0</v>
      </c>
      <c r="L22" s="87" t="s">
        <v>69</v>
      </c>
      <c r="M22" s="121" t="s">
        <v>124</v>
      </c>
      <c r="N22" s="76"/>
      <c r="O22" s="1"/>
      <c r="P22" s="1"/>
    </row>
    <row r="23" spans="1:16" ht="16.5" x14ac:dyDescent="0.25">
      <c r="A23" s="191"/>
      <c r="B23" s="64">
        <f t="shared" si="2"/>
        <v>11</v>
      </c>
      <c r="C23" s="145"/>
      <c r="D23" s="145"/>
      <c r="E23" s="145"/>
      <c r="F23" s="145"/>
      <c r="G23" s="145"/>
      <c r="H23" s="148"/>
      <c r="I23" s="148"/>
      <c r="J23" s="148"/>
      <c r="K23" s="148"/>
      <c r="L23" s="145"/>
      <c r="M23" s="145"/>
      <c r="N23" s="79"/>
      <c r="O23" s="1"/>
      <c r="P23" s="1"/>
    </row>
    <row r="24" spans="1:16" ht="16.5" x14ac:dyDescent="0.25">
      <c r="A24" s="191"/>
      <c r="B24" s="64">
        <f t="shared" si="2"/>
        <v>12</v>
      </c>
      <c r="C24" s="145"/>
      <c r="D24" s="145"/>
      <c r="E24" s="145"/>
      <c r="F24" s="145"/>
      <c r="G24" s="145"/>
      <c r="H24" s="148"/>
      <c r="I24" s="148"/>
      <c r="J24" s="148"/>
      <c r="K24" s="148"/>
      <c r="L24" s="145"/>
      <c r="M24" s="145"/>
      <c r="N24" s="105"/>
      <c r="O24" s="1"/>
      <c r="P24" s="1"/>
    </row>
    <row r="25" spans="1:16" x14ac:dyDescent="0.25">
      <c r="A25" s="128"/>
      <c r="B25" s="129"/>
      <c r="C25" s="129"/>
      <c r="D25" s="129"/>
      <c r="E25" s="129"/>
      <c r="F25" s="129"/>
      <c r="G25" s="129"/>
      <c r="H25" s="149"/>
      <c r="I25" s="149"/>
      <c r="J25" s="149"/>
      <c r="K25" s="149"/>
      <c r="L25" s="129"/>
      <c r="M25" s="129"/>
      <c r="N25" s="129"/>
      <c r="O25" s="1"/>
      <c r="P25" s="1"/>
    </row>
    <row r="26" spans="1:16" ht="22.15" customHeight="1" x14ac:dyDescent="0.25">
      <c r="A26" s="192" t="s">
        <v>136</v>
      </c>
      <c r="B26" s="64">
        <v>1</v>
      </c>
      <c r="C26" s="65" t="s">
        <v>139</v>
      </c>
      <c r="D26" s="66"/>
      <c r="E26" s="66"/>
      <c r="F26" s="66"/>
      <c r="G26" s="75" t="s">
        <v>25</v>
      </c>
      <c r="H26" s="134">
        <v>1435000</v>
      </c>
      <c r="I26" s="132">
        <f t="shared" si="3"/>
        <v>861000</v>
      </c>
      <c r="J26" s="132">
        <v>861000</v>
      </c>
      <c r="K26" s="132">
        <f t="shared" si="1"/>
        <v>0</v>
      </c>
      <c r="L26" s="87" t="s">
        <v>69</v>
      </c>
      <c r="M26" s="136"/>
      <c r="N26" s="76"/>
      <c r="O26" s="1"/>
      <c r="P26" s="1"/>
    </row>
    <row r="27" spans="1:16" ht="20.45" customHeight="1" x14ac:dyDescent="0.25">
      <c r="A27" s="193"/>
      <c r="B27" s="64">
        <f>B26+1</f>
        <v>2</v>
      </c>
      <c r="C27" s="65" t="s">
        <v>138</v>
      </c>
      <c r="D27" s="75"/>
      <c r="E27" s="75"/>
      <c r="F27" s="75"/>
      <c r="G27" s="64" t="s">
        <v>19</v>
      </c>
      <c r="H27" s="134">
        <v>1725000</v>
      </c>
      <c r="I27" s="132">
        <f t="shared" si="3"/>
        <v>1035000</v>
      </c>
      <c r="J27" s="133">
        <v>1035000</v>
      </c>
      <c r="K27" s="132">
        <f t="shared" si="1"/>
        <v>0</v>
      </c>
      <c r="L27" s="87" t="s">
        <v>69</v>
      </c>
      <c r="M27" s="136"/>
      <c r="N27" s="76"/>
      <c r="O27" s="1"/>
      <c r="P27" s="1"/>
    </row>
    <row r="28" spans="1:16" ht="16.5" customHeight="1" x14ac:dyDescent="0.25">
      <c r="A28" s="193"/>
      <c r="B28" s="70">
        <f>B27+1</f>
        <v>3</v>
      </c>
      <c r="C28" s="65" t="s">
        <v>148</v>
      </c>
      <c r="D28" s="110"/>
      <c r="E28" s="111"/>
      <c r="F28" s="111"/>
      <c r="G28" s="75" t="s">
        <v>56</v>
      </c>
      <c r="H28" s="68">
        <v>1445000</v>
      </c>
      <c r="I28" s="132">
        <f t="shared" si="3"/>
        <v>867000</v>
      </c>
      <c r="J28" s="68">
        <v>887000</v>
      </c>
      <c r="K28" s="132">
        <v>0</v>
      </c>
      <c r="L28" s="87" t="s">
        <v>69</v>
      </c>
      <c r="M28" s="115"/>
      <c r="N28" s="79"/>
    </row>
    <row r="29" spans="1:16" ht="16.5" customHeight="1" x14ac:dyDescent="0.25">
      <c r="A29" s="193"/>
      <c r="B29" s="64">
        <f>B28+1</f>
        <v>4</v>
      </c>
      <c r="C29" s="77" t="s">
        <v>41</v>
      </c>
      <c r="D29" s="66" t="s">
        <v>10</v>
      </c>
      <c r="E29" s="67">
        <v>89078016404</v>
      </c>
      <c r="F29" s="66" t="s">
        <v>18</v>
      </c>
      <c r="G29" s="66" t="s">
        <v>17</v>
      </c>
      <c r="H29" s="135">
        <v>2140000</v>
      </c>
      <c r="I29" s="132">
        <f t="shared" si="3"/>
        <v>1284000</v>
      </c>
      <c r="J29" s="133">
        <v>1284000</v>
      </c>
      <c r="K29" s="132">
        <f t="shared" si="1"/>
        <v>0</v>
      </c>
      <c r="L29" s="87" t="s">
        <v>69</v>
      </c>
      <c r="M29" s="76"/>
      <c r="N29" s="76"/>
    </row>
    <row r="30" spans="1:16" ht="16.5" customHeight="1" x14ac:dyDescent="0.25">
      <c r="A30" s="193"/>
      <c r="B30" s="70">
        <f>B29+1</f>
        <v>5</v>
      </c>
      <c r="C30" s="71"/>
      <c r="D30" s="73"/>
      <c r="E30" s="73"/>
      <c r="F30" s="73"/>
      <c r="G30" s="73"/>
      <c r="H30" s="135"/>
      <c r="I30" s="132"/>
      <c r="J30" s="133"/>
      <c r="K30" s="132"/>
      <c r="L30" s="131"/>
      <c r="M30" s="79"/>
      <c r="N30" s="79"/>
    </row>
    <row r="31" spans="1:16" ht="15" customHeight="1" x14ac:dyDescent="0.25"/>
    <row r="32" spans="1:16" ht="15" customHeight="1" x14ac:dyDescent="0.25"/>
    <row r="39" spans="4:8" x14ac:dyDescent="0.25">
      <c r="E39" s="1"/>
      <c r="G39" s="25"/>
      <c r="H39" s="1"/>
    </row>
    <row r="40" spans="4:8" x14ac:dyDescent="0.25">
      <c r="D40" s="1"/>
      <c r="E40" s="1"/>
      <c r="F40" s="1"/>
      <c r="G40" s="1"/>
      <c r="H40" s="1"/>
    </row>
  </sheetData>
  <mergeCells count="9">
    <mergeCell ref="A26:A30"/>
    <mergeCell ref="B3:K3"/>
    <mergeCell ref="A7:A11"/>
    <mergeCell ref="P10:Q11"/>
    <mergeCell ref="R10:R11"/>
    <mergeCell ref="P12:Q14"/>
    <mergeCell ref="R12:R14"/>
    <mergeCell ref="A13:A24"/>
    <mergeCell ref="P15:Q15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0B2E1-7667-41FC-8D33-F9E95D5AE19F}">
  <sheetPr codeName="Sheet20"/>
  <dimension ref="A1:R40"/>
  <sheetViews>
    <sheetView topLeftCell="A3" zoomScale="85" zoomScaleNormal="85" workbookViewId="0">
      <selection activeCell="J29" activeCellId="1" sqref="H29 J29"/>
    </sheetView>
  </sheetViews>
  <sheetFormatPr defaultRowHeight="15" x14ac:dyDescent="0.25"/>
  <cols>
    <col min="1" max="1" width="23.140625" customWidth="1"/>
    <col min="3" max="3" width="35.28515625" customWidth="1"/>
    <col min="4" max="4" width="19.85546875" hidden="1" customWidth="1"/>
    <col min="5" max="5" width="19.28515625" hidden="1" customWidth="1"/>
    <col min="6" max="6" width="26.42578125" hidden="1" customWidth="1"/>
    <col min="7" max="7" width="19.5703125" customWidth="1"/>
    <col min="8" max="8" width="20.42578125" customWidth="1"/>
    <col min="9" max="9" width="22.5703125" customWidth="1"/>
    <col min="10" max="10" width="20.140625" customWidth="1"/>
    <col min="11" max="12" width="19.42578125" customWidth="1"/>
    <col min="13" max="13" width="35.140625" customWidth="1"/>
    <col min="14" max="14" width="14.140625" customWidth="1"/>
    <col min="16" max="16" width="18.5703125" customWidth="1"/>
    <col min="17" max="17" width="22.5703125" customWidth="1"/>
    <col min="18" max="18" width="21.28515625" customWidth="1"/>
  </cols>
  <sheetData>
    <row r="1" spans="1:18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8" x14ac:dyDescent="0.25">
      <c r="A2" s="1"/>
      <c r="L2" s="1"/>
      <c r="M2" s="1"/>
      <c r="N2" s="1"/>
      <c r="O2" s="1"/>
      <c r="P2" s="1"/>
    </row>
    <row r="3" spans="1:18" ht="27.75" x14ac:dyDescent="0.25">
      <c r="A3" s="1"/>
      <c r="B3" s="183" t="s">
        <v>31</v>
      </c>
      <c r="C3" s="183"/>
      <c r="D3" s="183"/>
      <c r="E3" s="183"/>
      <c r="F3" s="183"/>
      <c r="G3" s="183"/>
      <c r="H3" s="183"/>
      <c r="I3" s="183"/>
      <c r="J3" s="183"/>
      <c r="K3" s="183"/>
      <c r="L3" s="1"/>
      <c r="M3" s="1"/>
      <c r="N3" s="1"/>
      <c r="O3" s="1"/>
      <c r="P3" s="1"/>
    </row>
    <row r="4" spans="1:18" ht="30.75" x14ac:dyDescent="0.3">
      <c r="A4" s="1"/>
      <c r="C4" s="117"/>
      <c r="D4" s="117"/>
      <c r="E4" s="117"/>
      <c r="H4" s="116" t="s">
        <v>152</v>
      </c>
      <c r="I4" s="117"/>
      <c r="J4" s="117"/>
      <c r="K4" s="117"/>
      <c r="L4" s="1"/>
      <c r="M4" s="23" t="s">
        <v>65</v>
      </c>
      <c r="N4" s="24">
        <v>0.6</v>
      </c>
      <c r="O4" s="1"/>
      <c r="P4" s="1"/>
    </row>
    <row r="5" spans="1:18" ht="12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8" ht="53.25" customHeight="1" x14ac:dyDescent="0.25">
      <c r="A6" s="105"/>
      <c r="B6" s="137" t="s">
        <v>0</v>
      </c>
      <c r="C6" s="137" t="s">
        <v>1</v>
      </c>
      <c r="D6" s="137" t="s">
        <v>50</v>
      </c>
      <c r="E6" s="137" t="s">
        <v>2</v>
      </c>
      <c r="F6" s="137" t="s">
        <v>3</v>
      </c>
      <c r="G6" s="137" t="s">
        <v>49</v>
      </c>
      <c r="H6" s="137" t="s">
        <v>4</v>
      </c>
      <c r="I6" s="138" t="s">
        <v>142</v>
      </c>
      <c r="J6" s="137" t="s">
        <v>115</v>
      </c>
      <c r="K6" s="137" t="s">
        <v>116</v>
      </c>
      <c r="L6" s="137" t="s">
        <v>7</v>
      </c>
      <c r="M6" s="137" t="s">
        <v>34</v>
      </c>
      <c r="N6" s="137" t="s">
        <v>51</v>
      </c>
      <c r="O6" s="1"/>
      <c r="P6" s="87" t="s">
        <v>69</v>
      </c>
    </row>
    <row r="7" spans="1:18" ht="16.5" customHeight="1" x14ac:dyDescent="0.25">
      <c r="A7" s="197" t="s">
        <v>119</v>
      </c>
      <c r="B7" s="64">
        <v>1</v>
      </c>
      <c r="C7" s="65" t="s">
        <v>132</v>
      </c>
      <c r="D7" s="66" t="s">
        <v>9</v>
      </c>
      <c r="E7" s="67">
        <v>91203011680</v>
      </c>
      <c r="F7" s="66" t="s">
        <v>15</v>
      </c>
      <c r="G7" s="66" t="s">
        <v>16</v>
      </c>
      <c r="H7" s="68">
        <v>1450000</v>
      </c>
      <c r="I7" s="68">
        <f>H7*N$4</f>
        <v>870000</v>
      </c>
      <c r="J7" s="68">
        <v>850000</v>
      </c>
      <c r="K7" s="68">
        <f>I7-J7</f>
        <v>20000</v>
      </c>
      <c r="L7" s="88" t="s">
        <v>26</v>
      </c>
      <c r="M7" s="76" t="s">
        <v>153</v>
      </c>
      <c r="N7" s="76"/>
      <c r="O7" s="1"/>
      <c r="P7" s="88" t="s">
        <v>26</v>
      </c>
    </row>
    <row r="8" spans="1:18" ht="16.5" customHeight="1" x14ac:dyDescent="0.25">
      <c r="A8" s="198"/>
      <c r="B8" s="64">
        <f>B7+1</f>
        <v>2</v>
      </c>
      <c r="C8" s="65" t="s">
        <v>150</v>
      </c>
      <c r="D8" s="75" t="s">
        <v>28</v>
      </c>
      <c r="E8" s="75">
        <v>42094001136</v>
      </c>
      <c r="F8" s="75" t="s">
        <v>15</v>
      </c>
      <c r="G8" s="75" t="s">
        <v>36</v>
      </c>
      <c r="H8" s="68">
        <v>1600000</v>
      </c>
      <c r="I8" s="68">
        <f>H8*N$4</f>
        <v>960000</v>
      </c>
      <c r="J8" s="68">
        <v>800000</v>
      </c>
      <c r="K8" s="68">
        <v>0</v>
      </c>
      <c r="L8" s="88" t="s">
        <v>26</v>
      </c>
      <c r="M8" s="76" t="s">
        <v>154</v>
      </c>
      <c r="N8" s="76"/>
      <c r="O8" s="1"/>
      <c r="P8" s="82" t="s">
        <v>72</v>
      </c>
    </row>
    <row r="9" spans="1:18" ht="16.5" customHeight="1" x14ac:dyDescent="0.25">
      <c r="A9" s="198"/>
      <c r="B9" s="64">
        <f t="shared" ref="B9:B10" si="0">B8+1</f>
        <v>3</v>
      </c>
      <c r="C9" s="65" t="s">
        <v>134</v>
      </c>
      <c r="D9" s="66" t="s">
        <v>101</v>
      </c>
      <c r="E9" s="66">
        <v>70081001153</v>
      </c>
      <c r="F9" s="66" t="s">
        <v>102</v>
      </c>
      <c r="G9" s="66" t="s">
        <v>83</v>
      </c>
      <c r="H9" s="68">
        <v>1250000</v>
      </c>
      <c r="I9" s="68">
        <f>H9*N$4</f>
        <v>750000</v>
      </c>
      <c r="J9" s="74">
        <v>750000</v>
      </c>
      <c r="K9" s="68">
        <f t="shared" ref="K9:K10" si="1">I9-J9</f>
        <v>0</v>
      </c>
      <c r="L9" s="88" t="s">
        <v>26</v>
      </c>
      <c r="M9" s="115"/>
      <c r="N9" s="79"/>
      <c r="O9" s="1"/>
      <c r="P9" s="1"/>
    </row>
    <row r="10" spans="1:18" ht="16.5" customHeight="1" x14ac:dyDescent="0.25">
      <c r="A10" s="198"/>
      <c r="B10" s="64">
        <f t="shared" si="0"/>
        <v>4</v>
      </c>
      <c r="C10" s="71" t="s">
        <v>135</v>
      </c>
      <c r="D10" s="73" t="s">
        <v>106</v>
      </c>
      <c r="E10" s="73">
        <v>27068001194</v>
      </c>
      <c r="F10" s="73" t="s">
        <v>105</v>
      </c>
      <c r="G10" s="127" t="s">
        <v>73</v>
      </c>
      <c r="H10" s="74">
        <v>1400000</v>
      </c>
      <c r="I10" s="68">
        <f>H10*N$4</f>
        <v>840000</v>
      </c>
      <c r="J10" s="74">
        <v>840000</v>
      </c>
      <c r="K10" s="68">
        <f t="shared" si="1"/>
        <v>0</v>
      </c>
      <c r="L10" s="88" t="s">
        <v>26</v>
      </c>
      <c r="M10" s="76"/>
      <c r="N10" s="76"/>
      <c r="O10" s="1"/>
      <c r="P10" s="200" t="s">
        <v>29</v>
      </c>
      <c r="Q10" s="200"/>
      <c r="R10" s="195">
        <f>SUM(H7:H999)</f>
        <v>39465000</v>
      </c>
    </row>
    <row r="11" spans="1:18" ht="16.5" customHeight="1" x14ac:dyDescent="0.25">
      <c r="A11" s="199"/>
      <c r="H11" s="146"/>
      <c r="I11" s="146"/>
      <c r="J11" s="146"/>
      <c r="K11" s="146"/>
      <c r="M11" s="79"/>
      <c r="N11" s="79"/>
      <c r="O11" s="1"/>
      <c r="P11" s="200"/>
      <c r="Q11" s="200"/>
      <c r="R11" s="195"/>
    </row>
    <row r="12" spans="1:18" ht="16.5" customHeight="1" x14ac:dyDescent="0.25">
      <c r="A12" s="107"/>
      <c r="B12" s="89"/>
      <c r="C12" s="90"/>
      <c r="D12" s="89"/>
      <c r="E12" s="91"/>
      <c r="F12" s="92"/>
      <c r="G12" s="93"/>
      <c r="H12" s="94"/>
      <c r="I12" s="94"/>
      <c r="J12" s="147"/>
      <c r="K12" s="123"/>
      <c r="L12" s="96"/>
      <c r="M12" s="97"/>
      <c r="N12" s="97"/>
      <c r="O12" s="1"/>
      <c r="P12" s="194" t="s">
        <v>143</v>
      </c>
      <c r="Q12" s="194"/>
      <c r="R12" s="195">
        <f>SUM(I7:I999)</f>
        <v>23679000</v>
      </c>
    </row>
    <row r="13" spans="1:18" ht="22.5" customHeight="1" x14ac:dyDescent="0.25">
      <c r="A13" s="191" t="s">
        <v>118</v>
      </c>
      <c r="B13" s="64">
        <v>1</v>
      </c>
      <c r="C13" s="77" t="s">
        <v>40</v>
      </c>
      <c r="D13" s="66" t="s">
        <v>8</v>
      </c>
      <c r="E13" s="67">
        <v>38096003688</v>
      </c>
      <c r="F13" s="66" t="s">
        <v>13</v>
      </c>
      <c r="G13" s="66" t="s">
        <v>14</v>
      </c>
      <c r="H13" s="68">
        <v>2140000</v>
      </c>
      <c r="I13" s="68">
        <f>H13*N$4</f>
        <v>1284000</v>
      </c>
      <c r="J13" s="68">
        <v>1284000</v>
      </c>
      <c r="K13" s="68">
        <f t="shared" ref="K13:K28" si="2">I13-J13</f>
        <v>0</v>
      </c>
      <c r="L13" s="87" t="s">
        <v>69</v>
      </c>
      <c r="M13" s="76"/>
      <c r="N13" s="76"/>
      <c r="O13" s="1"/>
      <c r="P13" s="194"/>
      <c r="Q13" s="194"/>
      <c r="R13" s="195"/>
    </row>
    <row r="14" spans="1:18" ht="16.5" customHeight="1" x14ac:dyDescent="0.25">
      <c r="A14" s="191"/>
      <c r="B14" s="64">
        <f>B13+1</f>
        <v>2</v>
      </c>
      <c r="C14" s="77"/>
      <c r="D14" s="66"/>
      <c r="E14" s="67"/>
      <c r="F14" s="66"/>
      <c r="G14" s="66"/>
      <c r="H14" s="68"/>
      <c r="I14" s="68"/>
      <c r="J14" s="68"/>
      <c r="K14" s="68">
        <f t="shared" si="2"/>
        <v>0</v>
      </c>
      <c r="L14" s="76"/>
      <c r="M14" s="76"/>
      <c r="N14" s="76"/>
      <c r="O14" s="1"/>
      <c r="P14" s="194"/>
      <c r="Q14" s="194"/>
      <c r="R14" s="195"/>
    </row>
    <row r="15" spans="1:18" ht="22.5" x14ac:dyDescent="0.3">
      <c r="A15" s="191"/>
      <c r="B15" s="64">
        <f t="shared" ref="B15:B24" si="3">B14+1</f>
        <v>3</v>
      </c>
      <c r="C15" s="78" t="s">
        <v>67</v>
      </c>
      <c r="D15" s="73" t="s">
        <v>11</v>
      </c>
      <c r="E15" s="72">
        <v>89099008054</v>
      </c>
      <c r="F15" s="73" t="s">
        <v>18</v>
      </c>
      <c r="G15" s="73" t="s">
        <v>48</v>
      </c>
      <c r="H15" s="74">
        <v>2470000</v>
      </c>
      <c r="I15" s="68">
        <f t="shared" ref="I15:I29" si="4">H15*N$4</f>
        <v>1482000</v>
      </c>
      <c r="J15" s="74">
        <v>1482000</v>
      </c>
      <c r="K15" s="68">
        <f t="shared" si="2"/>
        <v>0</v>
      </c>
      <c r="L15" s="87" t="s">
        <v>69</v>
      </c>
      <c r="M15" s="79"/>
      <c r="N15" s="79"/>
      <c r="O15" s="1"/>
      <c r="P15" s="196" t="s">
        <v>117</v>
      </c>
      <c r="Q15" s="196"/>
      <c r="R15" s="130">
        <f>SUM(J7:J98)</f>
        <v>23501000</v>
      </c>
    </row>
    <row r="16" spans="1:18" ht="16.5" x14ac:dyDescent="0.25">
      <c r="A16" s="191"/>
      <c r="B16" s="64">
        <f t="shared" si="3"/>
        <v>4</v>
      </c>
      <c r="C16" s="77" t="s">
        <v>43</v>
      </c>
      <c r="D16" s="75" t="s">
        <v>23</v>
      </c>
      <c r="E16" s="75">
        <v>42088019031</v>
      </c>
      <c r="F16" s="75" t="s">
        <v>21</v>
      </c>
      <c r="G16" s="75" t="s">
        <v>22</v>
      </c>
      <c r="H16" s="68">
        <v>2100000</v>
      </c>
      <c r="I16" s="68">
        <f t="shared" si="4"/>
        <v>1260000</v>
      </c>
      <c r="J16" s="74">
        <v>1260000</v>
      </c>
      <c r="K16" s="68">
        <f t="shared" si="2"/>
        <v>0</v>
      </c>
      <c r="L16" s="87" t="s">
        <v>69</v>
      </c>
      <c r="M16" s="76"/>
      <c r="N16" s="85"/>
      <c r="O16" s="1"/>
      <c r="P16" s="1"/>
    </row>
    <row r="17" spans="1:16" ht="16.5" x14ac:dyDescent="0.25">
      <c r="A17" s="191"/>
      <c r="B17" s="64">
        <f t="shared" si="3"/>
        <v>5</v>
      </c>
      <c r="C17" s="77" t="s">
        <v>44</v>
      </c>
      <c r="D17" s="75" t="s">
        <v>33</v>
      </c>
      <c r="E17" s="75">
        <v>49202008987</v>
      </c>
      <c r="F17" s="75" t="s">
        <v>15</v>
      </c>
      <c r="G17" s="75" t="s">
        <v>32</v>
      </c>
      <c r="H17" s="68">
        <v>1300000</v>
      </c>
      <c r="I17" s="68">
        <f t="shared" si="4"/>
        <v>780000</v>
      </c>
      <c r="J17" s="68">
        <v>780000</v>
      </c>
      <c r="K17" s="68">
        <f t="shared" si="2"/>
        <v>0</v>
      </c>
      <c r="L17" s="87" t="s">
        <v>69</v>
      </c>
      <c r="M17" s="76"/>
      <c r="N17" s="76"/>
      <c r="O17" s="1"/>
      <c r="P17" s="1"/>
    </row>
    <row r="18" spans="1:16" ht="16.5" x14ac:dyDescent="0.25">
      <c r="A18" s="191"/>
      <c r="B18" s="64">
        <f t="shared" si="3"/>
        <v>6</v>
      </c>
      <c r="C18" s="77" t="s">
        <v>79</v>
      </c>
      <c r="D18" s="75" t="s">
        <v>61</v>
      </c>
      <c r="E18" s="75">
        <v>95095009661</v>
      </c>
      <c r="F18" s="75" t="s">
        <v>62</v>
      </c>
      <c r="G18" s="75" t="s">
        <v>27</v>
      </c>
      <c r="H18" s="68">
        <v>2350000</v>
      </c>
      <c r="I18" s="68">
        <f t="shared" si="4"/>
        <v>1410000</v>
      </c>
      <c r="J18" s="74">
        <v>1410000</v>
      </c>
      <c r="K18" s="68">
        <f t="shared" si="2"/>
        <v>0</v>
      </c>
      <c r="L18" s="87" t="s">
        <v>69</v>
      </c>
      <c r="M18" s="80"/>
      <c r="N18" s="85"/>
      <c r="O18" s="1"/>
      <c r="P18" s="1"/>
    </row>
    <row r="19" spans="1:16" ht="16.5" x14ac:dyDescent="0.25">
      <c r="A19" s="191"/>
      <c r="B19" s="64">
        <f t="shared" si="3"/>
        <v>7</v>
      </c>
      <c r="C19" s="77" t="s">
        <v>98</v>
      </c>
      <c r="D19" s="75" t="s">
        <v>63</v>
      </c>
      <c r="E19" s="81">
        <v>91085001515</v>
      </c>
      <c r="F19" s="66" t="s">
        <v>18</v>
      </c>
      <c r="G19" s="75" t="s">
        <v>57</v>
      </c>
      <c r="H19" s="68">
        <v>1700000</v>
      </c>
      <c r="I19" s="68">
        <f t="shared" si="4"/>
        <v>1020000</v>
      </c>
      <c r="J19" s="74">
        <v>1020000</v>
      </c>
      <c r="K19" s="68">
        <f t="shared" si="2"/>
        <v>0</v>
      </c>
      <c r="L19" s="87" t="s">
        <v>69</v>
      </c>
      <c r="M19" s="76"/>
      <c r="N19" s="76"/>
      <c r="O19" s="1"/>
      <c r="P19" s="1"/>
    </row>
    <row r="20" spans="1:16" ht="16.5" x14ac:dyDescent="0.25">
      <c r="A20" s="191"/>
      <c r="B20" s="64">
        <f t="shared" si="3"/>
        <v>8</v>
      </c>
      <c r="C20" s="77" t="s">
        <v>52</v>
      </c>
      <c r="D20" s="64" t="s">
        <v>54</v>
      </c>
      <c r="E20" s="64" t="s">
        <v>94</v>
      </c>
      <c r="F20" s="64" t="s">
        <v>53</v>
      </c>
      <c r="G20" s="64" t="s">
        <v>35</v>
      </c>
      <c r="H20" s="68">
        <v>2160000</v>
      </c>
      <c r="I20" s="68">
        <f t="shared" si="4"/>
        <v>1296000</v>
      </c>
      <c r="J20" s="68">
        <v>1296000</v>
      </c>
      <c r="K20" s="68">
        <f t="shared" si="2"/>
        <v>0</v>
      </c>
      <c r="L20" s="87" t="s">
        <v>69</v>
      </c>
      <c r="M20" s="76"/>
      <c r="N20" s="76"/>
      <c r="O20" s="1"/>
      <c r="P20" s="1"/>
    </row>
    <row r="21" spans="1:16" ht="16.5" x14ac:dyDescent="0.25">
      <c r="A21" s="191"/>
      <c r="B21" s="64">
        <f t="shared" si="3"/>
        <v>9</v>
      </c>
      <c r="C21" s="78" t="s">
        <v>92</v>
      </c>
      <c r="D21" s="70" t="s">
        <v>88</v>
      </c>
      <c r="E21" s="70" t="s">
        <v>89</v>
      </c>
      <c r="F21" s="70" t="s">
        <v>90</v>
      </c>
      <c r="G21" s="64" t="s">
        <v>137</v>
      </c>
      <c r="H21" s="74">
        <v>3070000</v>
      </c>
      <c r="I21" s="68">
        <f t="shared" si="4"/>
        <v>1842000</v>
      </c>
      <c r="J21" s="68">
        <v>1842000</v>
      </c>
      <c r="K21" s="68">
        <f t="shared" si="2"/>
        <v>0</v>
      </c>
      <c r="L21" s="87" t="s">
        <v>69</v>
      </c>
      <c r="M21" s="79"/>
      <c r="N21" s="76"/>
      <c r="O21" s="1"/>
      <c r="P21" s="1"/>
    </row>
    <row r="22" spans="1:16" ht="16.5" x14ac:dyDescent="0.25">
      <c r="A22" s="191"/>
      <c r="B22" s="64">
        <f t="shared" si="3"/>
        <v>10</v>
      </c>
      <c r="C22" s="78" t="s">
        <v>131</v>
      </c>
      <c r="D22" s="105"/>
      <c r="E22" s="105"/>
      <c r="F22" s="105"/>
      <c r="G22" s="122" t="s">
        <v>93</v>
      </c>
      <c r="H22" s="74">
        <v>2095000</v>
      </c>
      <c r="I22" s="68">
        <f t="shared" si="4"/>
        <v>1257000</v>
      </c>
      <c r="J22" s="74">
        <v>1257000</v>
      </c>
      <c r="K22" s="68">
        <f t="shared" si="2"/>
        <v>0</v>
      </c>
      <c r="L22" s="87" t="s">
        <v>69</v>
      </c>
      <c r="M22" s="121" t="s">
        <v>124</v>
      </c>
      <c r="N22" s="76"/>
      <c r="O22" s="1"/>
      <c r="P22" s="1"/>
    </row>
    <row r="23" spans="1:16" ht="16.5" x14ac:dyDescent="0.25">
      <c r="A23" s="191"/>
      <c r="B23" s="64">
        <f t="shared" si="3"/>
        <v>11</v>
      </c>
      <c r="C23" s="145"/>
      <c r="D23" s="145"/>
      <c r="E23" s="145"/>
      <c r="F23" s="145"/>
      <c r="G23" s="145"/>
      <c r="H23" s="148"/>
      <c r="I23" s="148"/>
      <c r="J23" s="148"/>
      <c r="K23" s="148"/>
      <c r="L23" s="145"/>
      <c r="M23" s="145"/>
      <c r="N23" s="79"/>
      <c r="O23" s="1"/>
      <c r="P23" s="1"/>
    </row>
    <row r="24" spans="1:16" ht="16.5" x14ac:dyDescent="0.25">
      <c r="A24" s="191"/>
      <c r="B24" s="64">
        <f t="shared" si="3"/>
        <v>12</v>
      </c>
      <c r="C24" s="145"/>
      <c r="D24" s="145"/>
      <c r="E24" s="145"/>
      <c r="F24" s="145"/>
      <c r="G24" s="145"/>
      <c r="H24" s="148"/>
      <c r="I24" s="148"/>
      <c r="J24" s="148"/>
      <c r="K24" s="148"/>
      <c r="L24" s="145"/>
      <c r="M24" s="145"/>
      <c r="N24" s="105"/>
      <c r="O24" s="1"/>
      <c r="P24" s="1"/>
    </row>
    <row r="25" spans="1:16" x14ac:dyDescent="0.25">
      <c r="A25" s="128"/>
      <c r="B25" s="129"/>
      <c r="C25" s="129"/>
      <c r="D25" s="129"/>
      <c r="E25" s="129"/>
      <c r="F25" s="129"/>
      <c r="G25" s="129"/>
      <c r="H25" s="149"/>
      <c r="I25" s="149"/>
      <c r="J25" s="149"/>
      <c r="K25" s="149"/>
      <c r="L25" s="129"/>
      <c r="M25" s="129"/>
      <c r="N25" s="129"/>
      <c r="O25" s="1"/>
      <c r="P25" s="1"/>
    </row>
    <row r="26" spans="1:16" ht="22.15" customHeight="1" x14ac:dyDescent="0.25">
      <c r="A26" s="192" t="s">
        <v>136</v>
      </c>
      <c r="B26" s="64">
        <v>1</v>
      </c>
      <c r="C26" s="65" t="s">
        <v>139</v>
      </c>
      <c r="D26" s="66"/>
      <c r="E26" s="66"/>
      <c r="F26" s="66"/>
      <c r="G26" s="75" t="s">
        <v>25</v>
      </c>
      <c r="H26" s="134">
        <v>1180000</v>
      </c>
      <c r="I26" s="132">
        <f t="shared" si="4"/>
        <v>708000</v>
      </c>
      <c r="J26" s="132">
        <v>708000</v>
      </c>
      <c r="K26" s="132">
        <f t="shared" si="2"/>
        <v>0</v>
      </c>
      <c r="L26" s="87" t="s">
        <v>69</v>
      </c>
      <c r="M26" s="136"/>
      <c r="N26" s="76"/>
      <c r="O26" s="1"/>
      <c r="P26" s="1"/>
    </row>
    <row r="27" spans="1:16" ht="20.45" customHeight="1" x14ac:dyDescent="0.25">
      <c r="A27" s="193"/>
      <c r="B27" s="64">
        <f>B26+1</f>
        <v>2</v>
      </c>
      <c r="C27" s="65" t="s">
        <v>138</v>
      </c>
      <c r="D27" s="75"/>
      <c r="E27" s="75"/>
      <c r="F27" s="75"/>
      <c r="G27" s="64" t="s">
        <v>19</v>
      </c>
      <c r="H27" s="134">
        <v>9245000</v>
      </c>
      <c r="I27" s="132">
        <f t="shared" si="4"/>
        <v>5547000</v>
      </c>
      <c r="J27" s="133">
        <v>5547000</v>
      </c>
      <c r="K27" s="132">
        <f t="shared" si="2"/>
        <v>0</v>
      </c>
      <c r="L27" s="87" t="s">
        <v>69</v>
      </c>
      <c r="M27" s="136"/>
      <c r="N27" s="76"/>
      <c r="O27" s="1"/>
      <c r="P27" s="1"/>
    </row>
    <row r="28" spans="1:16" ht="16.5" customHeight="1" x14ac:dyDescent="0.25">
      <c r="A28" s="193"/>
      <c r="B28" s="70">
        <f>B27+1</f>
        <v>3</v>
      </c>
      <c r="C28" s="65" t="s">
        <v>148</v>
      </c>
      <c r="D28" s="110"/>
      <c r="E28" s="111"/>
      <c r="F28" s="111"/>
      <c r="G28" s="75" t="s">
        <v>56</v>
      </c>
      <c r="H28" s="68">
        <v>1975000</v>
      </c>
      <c r="I28" s="132">
        <f t="shared" si="4"/>
        <v>1185000</v>
      </c>
      <c r="J28" s="68">
        <v>1185000</v>
      </c>
      <c r="K28" s="132">
        <f t="shared" si="2"/>
        <v>0</v>
      </c>
      <c r="L28" s="87" t="s">
        <v>69</v>
      </c>
      <c r="M28" s="115"/>
      <c r="N28" s="79"/>
    </row>
    <row r="29" spans="1:16" ht="16.5" customHeight="1" x14ac:dyDescent="0.25">
      <c r="A29" s="193"/>
      <c r="B29" s="64">
        <f>B28+1</f>
        <v>4</v>
      </c>
      <c r="C29" s="77" t="s">
        <v>41</v>
      </c>
      <c r="D29" s="66" t="s">
        <v>10</v>
      </c>
      <c r="E29" s="67">
        <v>89078016404</v>
      </c>
      <c r="F29" s="66" t="s">
        <v>18</v>
      </c>
      <c r="G29" s="66" t="s">
        <v>17</v>
      </c>
      <c r="H29" s="135">
        <v>1980000</v>
      </c>
      <c r="I29" s="132">
        <f t="shared" si="4"/>
        <v>1188000</v>
      </c>
      <c r="J29" s="133">
        <v>1190000</v>
      </c>
      <c r="K29" s="132">
        <v>2000</v>
      </c>
      <c r="L29" s="87" t="s">
        <v>69</v>
      </c>
      <c r="M29" s="76" t="s">
        <v>155</v>
      </c>
      <c r="N29" s="76"/>
    </row>
    <row r="30" spans="1:16" ht="16.5" customHeight="1" x14ac:dyDescent="0.25">
      <c r="A30" s="193"/>
      <c r="B30" s="70">
        <f>B29+1</f>
        <v>5</v>
      </c>
      <c r="C30" s="71"/>
      <c r="D30" s="73"/>
      <c r="E30" s="73"/>
      <c r="F30" s="73"/>
      <c r="G30" s="73"/>
      <c r="H30" s="135"/>
      <c r="I30" s="132"/>
      <c r="J30" s="133"/>
      <c r="K30" s="132"/>
      <c r="L30" s="131"/>
      <c r="M30" s="79"/>
      <c r="N30" s="79"/>
    </row>
    <row r="31" spans="1:16" ht="15" customHeight="1" x14ac:dyDescent="0.25"/>
    <row r="32" spans="1:16" ht="15" customHeight="1" x14ac:dyDescent="0.25"/>
    <row r="39" spans="4:8" x14ac:dyDescent="0.25">
      <c r="E39" s="1"/>
      <c r="G39" s="25"/>
      <c r="H39" s="1"/>
    </row>
    <row r="40" spans="4:8" x14ac:dyDescent="0.25">
      <c r="D40" s="1"/>
      <c r="E40" s="1"/>
      <c r="F40" s="1"/>
      <c r="G40" s="1"/>
      <c r="H40" s="1"/>
    </row>
  </sheetData>
  <mergeCells count="9">
    <mergeCell ref="A26:A30"/>
    <mergeCell ref="B3:K3"/>
    <mergeCell ref="A7:A11"/>
    <mergeCell ref="P10:Q11"/>
    <mergeCell ref="R10:R11"/>
    <mergeCell ref="P12:Q14"/>
    <mergeCell ref="R12:R14"/>
    <mergeCell ref="A13:A24"/>
    <mergeCell ref="P15:Q15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EFC31-E0C9-447A-B96C-300969C53F45}">
  <sheetPr codeName="Sheet21"/>
  <dimension ref="A1:R40"/>
  <sheetViews>
    <sheetView zoomScale="68" zoomScaleNormal="85" workbookViewId="0">
      <selection activeCell="J28" activeCellId="1" sqref="H28 J28"/>
    </sheetView>
  </sheetViews>
  <sheetFormatPr defaultRowHeight="15" x14ac:dyDescent="0.25"/>
  <cols>
    <col min="1" max="1" width="23.140625" customWidth="1"/>
    <col min="3" max="3" width="35.28515625" customWidth="1"/>
    <col min="4" max="4" width="19.85546875" hidden="1" customWidth="1"/>
    <col min="5" max="5" width="19.28515625" hidden="1" customWidth="1"/>
    <col min="6" max="6" width="26.42578125" hidden="1" customWidth="1"/>
    <col min="7" max="7" width="19.5703125" customWidth="1"/>
    <col min="8" max="8" width="20.42578125" customWidth="1"/>
    <col min="9" max="9" width="22.5703125" customWidth="1"/>
    <col min="10" max="10" width="20.140625" customWidth="1"/>
    <col min="11" max="12" width="19.42578125" customWidth="1"/>
    <col min="13" max="13" width="35.140625" customWidth="1"/>
    <col min="14" max="14" width="14.140625" customWidth="1"/>
    <col min="16" max="16" width="18.5703125" customWidth="1"/>
    <col min="17" max="17" width="22.5703125" customWidth="1"/>
    <col min="18" max="18" width="21.28515625" customWidth="1"/>
  </cols>
  <sheetData>
    <row r="1" spans="1:18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8" x14ac:dyDescent="0.25">
      <c r="A2" s="1"/>
      <c r="L2" s="1"/>
      <c r="M2" s="1"/>
      <c r="N2" s="1"/>
      <c r="O2" s="1"/>
      <c r="P2" s="1"/>
    </row>
    <row r="3" spans="1:18" ht="27.75" x14ac:dyDescent="0.25">
      <c r="A3" s="1"/>
      <c r="B3" s="183" t="s">
        <v>31</v>
      </c>
      <c r="C3" s="183"/>
      <c r="D3" s="183"/>
      <c r="E3" s="183"/>
      <c r="F3" s="183"/>
      <c r="G3" s="183"/>
      <c r="H3" s="183"/>
      <c r="I3" s="183"/>
      <c r="J3" s="183"/>
      <c r="K3" s="183"/>
      <c r="L3" s="1"/>
      <c r="M3" s="1"/>
      <c r="N3" s="1"/>
      <c r="O3" s="1"/>
      <c r="P3" s="1"/>
    </row>
    <row r="4" spans="1:18" ht="30.75" x14ac:dyDescent="0.3">
      <c r="A4" s="1"/>
      <c r="C4" s="117"/>
      <c r="D4" s="117"/>
      <c r="E4" s="117"/>
      <c r="H4" s="116" t="s">
        <v>156</v>
      </c>
      <c r="I4" s="117"/>
      <c r="J4" s="117"/>
      <c r="K4" s="117"/>
      <c r="L4" s="1"/>
      <c r="M4" s="23" t="s">
        <v>65</v>
      </c>
      <c r="N4" s="24">
        <v>0.6</v>
      </c>
      <c r="O4" s="1"/>
      <c r="P4" s="1"/>
    </row>
    <row r="5" spans="1:18" ht="12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8" ht="53.25" customHeight="1" x14ac:dyDescent="0.25">
      <c r="A6" s="105"/>
      <c r="B6" s="137" t="s">
        <v>0</v>
      </c>
      <c r="C6" s="137" t="s">
        <v>1</v>
      </c>
      <c r="D6" s="137" t="s">
        <v>50</v>
      </c>
      <c r="E6" s="137" t="s">
        <v>2</v>
      </c>
      <c r="F6" s="137" t="s">
        <v>3</v>
      </c>
      <c r="G6" s="137" t="s">
        <v>49</v>
      </c>
      <c r="H6" s="137" t="s">
        <v>4</v>
      </c>
      <c r="I6" s="138" t="s">
        <v>142</v>
      </c>
      <c r="J6" s="137" t="s">
        <v>115</v>
      </c>
      <c r="K6" s="137" t="s">
        <v>116</v>
      </c>
      <c r="L6" s="137" t="s">
        <v>7</v>
      </c>
      <c r="M6" s="137" t="s">
        <v>34</v>
      </c>
      <c r="N6" s="137" t="s">
        <v>51</v>
      </c>
      <c r="O6" s="1"/>
      <c r="P6" s="87" t="s">
        <v>69</v>
      </c>
    </row>
    <row r="7" spans="1:18" ht="16.5" customHeight="1" x14ac:dyDescent="0.25">
      <c r="A7" s="197" t="s">
        <v>119</v>
      </c>
      <c r="B7" s="64">
        <v>1</v>
      </c>
      <c r="C7" s="65" t="s">
        <v>132</v>
      </c>
      <c r="D7" s="66" t="s">
        <v>9</v>
      </c>
      <c r="E7" s="67">
        <v>91203011680</v>
      </c>
      <c r="F7" s="66" t="s">
        <v>15</v>
      </c>
      <c r="G7" s="66" t="s">
        <v>16</v>
      </c>
      <c r="H7" s="68">
        <v>1500000</v>
      </c>
      <c r="I7" s="68">
        <f>H7*N$4</f>
        <v>900000</v>
      </c>
      <c r="J7" s="68">
        <v>900000</v>
      </c>
      <c r="K7" s="68">
        <f>I7-J7</f>
        <v>0</v>
      </c>
      <c r="L7" s="88" t="s">
        <v>26</v>
      </c>
      <c r="M7" s="76"/>
      <c r="N7" s="76"/>
      <c r="O7" s="1"/>
      <c r="P7" s="88" t="s">
        <v>26</v>
      </c>
    </row>
    <row r="8" spans="1:18" ht="16.5" customHeight="1" x14ac:dyDescent="0.25">
      <c r="A8" s="198"/>
      <c r="B8" s="64">
        <f>B7+1</f>
        <v>2</v>
      </c>
      <c r="C8" s="65" t="s">
        <v>150</v>
      </c>
      <c r="D8" s="75" t="s">
        <v>28</v>
      </c>
      <c r="E8" s="75">
        <v>42094001136</v>
      </c>
      <c r="F8" s="75" t="s">
        <v>15</v>
      </c>
      <c r="G8" s="75" t="s">
        <v>36</v>
      </c>
      <c r="H8" s="68">
        <v>1100000</v>
      </c>
      <c r="I8" s="68">
        <f>H8*N$4</f>
        <v>660000</v>
      </c>
      <c r="J8" s="68">
        <v>550000</v>
      </c>
      <c r="K8" s="68">
        <v>0</v>
      </c>
      <c r="L8" s="88" t="s">
        <v>26</v>
      </c>
      <c r="M8" s="76" t="s">
        <v>157</v>
      </c>
      <c r="N8" s="76"/>
      <c r="O8" s="1"/>
      <c r="P8" s="82" t="s">
        <v>72</v>
      </c>
    </row>
    <row r="9" spans="1:18" ht="16.5" customHeight="1" x14ac:dyDescent="0.25">
      <c r="A9" s="198"/>
      <c r="B9" s="64">
        <f t="shared" ref="B9:B10" si="0">B8+1</f>
        <v>3</v>
      </c>
      <c r="C9" s="65" t="s">
        <v>134</v>
      </c>
      <c r="D9" s="66" t="s">
        <v>101</v>
      </c>
      <c r="E9" s="66">
        <v>70081001153</v>
      </c>
      <c r="F9" s="66" t="s">
        <v>102</v>
      </c>
      <c r="G9" s="66" t="s">
        <v>83</v>
      </c>
      <c r="H9" s="68">
        <v>1000000</v>
      </c>
      <c r="I9" s="68">
        <f>H9*N$4</f>
        <v>600000</v>
      </c>
      <c r="J9" s="74">
        <v>600000</v>
      </c>
      <c r="K9" s="68">
        <f t="shared" ref="K9:K10" si="1">I9-J9</f>
        <v>0</v>
      </c>
      <c r="L9" s="88" t="s">
        <v>26</v>
      </c>
      <c r="M9" s="115"/>
      <c r="N9" s="79"/>
      <c r="O9" s="1"/>
      <c r="P9" s="1"/>
    </row>
    <row r="10" spans="1:18" ht="16.5" customHeight="1" x14ac:dyDescent="0.25">
      <c r="A10" s="198"/>
      <c r="B10" s="64">
        <f t="shared" si="0"/>
        <v>4</v>
      </c>
      <c r="C10" s="71" t="s">
        <v>135</v>
      </c>
      <c r="D10" s="73" t="s">
        <v>106</v>
      </c>
      <c r="E10" s="73">
        <v>27068001194</v>
      </c>
      <c r="F10" s="73" t="s">
        <v>105</v>
      </c>
      <c r="G10" s="127" t="s">
        <v>73</v>
      </c>
      <c r="H10" s="74">
        <v>1350000</v>
      </c>
      <c r="I10" s="68">
        <f>H10*N$4</f>
        <v>810000</v>
      </c>
      <c r="J10" s="74">
        <v>810000</v>
      </c>
      <c r="K10" s="68">
        <f t="shared" si="1"/>
        <v>0</v>
      </c>
      <c r="L10" s="88" t="s">
        <v>26</v>
      </c>
      <c r="M10" s="76"/>
      <c r="N10" s="76"/>
      <c r="O10" s="1"/>
      <c r="P10" s="200" t="s">
        <v>29</v>
      </c>
      <c r="Q10" s="200"/>
      <c r="R10" s="195">
        <f>SUM(H7:H999)</f>
        <v>28993000</v>
      </c>
    </row>
    <row r="11" spans="1:18" ht="16.5" customHeight="1" x14ac:dyDescent="0.25">
      <c r="A11" s="199"/>
      <c r="H11" s="146"/>
      <c r="I11" s="146"/>
      <c r="J11" s="146"/>
      <c r="K11" s="146"/>
      <c r="M11" s="79"/>
      <c r="N11" s="79"/>
      <c r="O11" s="1"/>
      <c r="P11" s="200"/>
      <c r="Q11" s="200"/>
      <c r="R11" s="195"/>
    </row>
    <row r="12" spans="1:18" ht="16.5" customHeight="1" x14ac:dyDescent="0.25">
      <c r="A12" s="107"/>
      <c r="B12" s="89"/>
      <c r="C12" s="90"/>
      <c r="D12" s="89"/>
      <c r="E12" s="91"/>
      <c r="F12" s="92"/>
      <c r="G12" s="93"/>
      <c r="H12" s="94"/>
      <c r="I12" s="94"/>
      <c r="J12" s="147"/>
      <c r="K12" s="123"/>
      <c r="L12" s="96"/>
      <c r="M12" s="97"/>
      <c r="N12" s="97"/>
      <c r="O12" s="1"/>
      <c r="P12" s="194" t="s">
        <v>143</v>
      </c>
      <c r="Q12" s="194"/>
      <c r="R12" s="195">
        <f>SUM(I7:I999)</f>
        <v>17395800</v>
      </c>
    </row>
    <row r="13" spans="1:18" ht="22.5" customHeight="1" x14ac:dyDescent="0.25">
      <c r="A13" s="191" t="s">
        <v>118</v>
      </c>
      <c r="B13" s="64">
        <v>1</v>
      </c>
      <c r="C13" s="77" t="s">
        <v>40</v>
      </c>
      <c r="D13" s="66" t="s">
        <v>8</v>
      </c>
      <c r="E13" s="67">
        <v>38096003688</v>
      </c>
      <c r="F13" s="66" t="s">
        <v>13</v>
      </c>
      <c r="G13" s="66" t="s">
        <v>14</v>
      </c>
      <c r="H13" s="68">
        <v>1800000</v>
      </c>
      <c r="I13" s="68">
        <f>H13*N$4</f>
        <v>1080000</v>
      </c>
      <c r="J13" s="68">
        <v>1080000</v>
      </c>
      <c r="K13" s="68">
        <f t="shared" ref="K13:K29" si="2">I13-J13</f>
        <v>0</v>
      </c>
      <c r="L13" s="87" t="s">
        <v>69</v>
      </c>
      <c r="M13" s="76"/>
      <c r="N13" s="76"/>
      <c r="O13" s="1"/>
      <c r="P13" s="194"/>
      <c r="Q13" s="194"/>
      <c r="R13" s="195"/>
    </row>
    <row r="14" spans="1:18" ht="16.5" customHeight="1" x14ac:dyDescent="0.25">
      <c r="A14" s="191"/>
      <c r="B14" s="64">
        <f>B13+1</f>
        <v>2</v>
      </c>
      <c r="C14" s="77"/>
      <c r="D14" s="66"/>
      <c r="E14" s="67"/>
      <c r="F14" s="66"/>
      <c r="G14" s="66"/>
      <c r="H14" s="68"/>
      <c r="I14" s="68"/>
      <c r="J14" s="68"/>
      <c r="K14" s="68">
        <f t="shared" si="2"/>
        <v>0</v>
      </c>
      <c r="L14" s="76"/>
      <c r="M14" s="76"/>
      <c r="N14" s="76"/>
      <c r="O14" s="1"/>
      <c r="P14" s="194"/>
      <c r="Q14" s="194"/>
      <c r="R14" s="195"/>
    </row>
    <row r="15" spans="1:18" ht="22.5" x14ac:dyDescent="0.3">
      <c r="A15" s="191"/>
      <c r="B15" s="64">
        <f t="shared" ref="B15:B24" si="3">B14+1</f>
        <v>3</v>
      </c>
      <c r="C15" s="78" t="s">
        <v>67</v>
      </c>
      <c r="D15" s="73" t="s">
        <v>11</v>
      </c>
      <c r="E15" s="72">
        <v>89099008054</v>
      </c>
      <c r="F15" s="73" t="s">
        <v>18</v>
      </c>
      <c r="G15" s="73" t="s">
        <v>48</v>
      </c>
      <c r="H15" s="74">
        <v>1205000</v>
      </c>
      <c r="I15" s="68">
        <f t="shared" ref="I15:I29" si="4">H15*N$4</f>
        <v>723000</v>
      </c>
      <c r="J15" s="74">
        <v>723000</v>
      </c>
      <c r="K15" s="68">
        <f t="shared" si="2"/>
        <v>0</v>
      </c>
      <c r="L15" s="87" t="s">
        <v>69</v>
      </c>
      <c r="M15" s="79"/>
      <c r="N15" s="79"/>
      <c r="O15" s="1"/>
      <c r="P15" s="196" t="s">
        <v>117</v>
      </c>
      <c r="Q15" s="196"/>
      <c r="R15" s="130">
        <f>SUM(J7:J98)</f>
        <v>17285000</v>
      </c>
    </row>
    <row r="16" spans="1:18" ht="16.5" x14ac:dyDescent="0.25">
      <c r="A16" s="191"/>
      <c r="B16" s="64">
        <f t="shared" si="3"/>
        <v>4</v>
      </c>
      <c r="C16" s="77" t="s">
        <v>43</v>
      </c>
      <c r="D16" s="75" t="s">
        <v>23</v>
      </c>
      <c r="E16" s="75">
        <v>42088019031</v>
      </c>
      <c r="F16" s="75" t="s">
        <v>21</v>
      </c>
      <c r="G16" s="75" t="s">
        <v>22</v>
      </c>
      <c r="H16" s="68">
        <v>1600000</v>
      </c>
      <c r="I16" s="68">
        <f t="shared" si="4"/>
        <v>960000</v>
      </c>
      <c r="J16" s="74">
        <v>960000</v>
      </c>
      <c r="K16" s="68">
        <f t="shared" si="2"/>
        <v>0</v>
      </c>
      <c r="L16" s="87" t="s">
        <v>69</v>
      </c>
      <c r="M16" s="76"/>
      <c r="N16" s="85"/>
      <c r="O16" s="1"/>
      <c r="P16" s="1"/>
    </row>
    <row r="17" spans="1:16" ht="16.5" x14ac:dyDescent="0.25">
      <c r="A17" s="191"/>
      <c r="B17" s="64">
        <f t="shared" si="3"/>
        <v>5</v>
      </c>
      <c r="C17" s="77" t="s">
        <v>44</v>
      </c>
      <c r="D17" s="75" t="s">
        <v>33</v>
      </c>
      <c r="E17" s="75">
        <v>49202008987</v>
      </c>
      <c r="F17" s="75" t="s">
        <v>15</v>
      </c>
      <c r="G17" s="75" t="s">
        <v>32</v>
      </c>
      <c r="H17" s="68">
        <v>1588000</v>
      </c>
      <c r="I17" s="68">
        <f t="shared" si="4"/>
        <v>952800</v>
      </c>
      <c r="J17" s="68">
        <v>952000</v>
      </c>
      <c r="K17" s="68">
        <f t="shared" si="2"/>
        <v>800</v>
      </c>
      <c r="L17" s="87" t="s">
        <v>69</v>
      </c>
      <c r="M17" s="76" t="s">
        <v>158</v>
      </c>
      <c r="N17" s="76"/>
      <c r="O17" s="1"/>
      <c r="P17" s="1"/>
    </row>
    <row r="18" spans="1:16" ht="16.5" x14ac:dyDescent="0.25">
      <c r="A18" s="191"/>
      <c r="B18" s="64">
        <f t="shared" si="3"/>
        <v>6</v>
      </c>
      <c r="C18" s="77" t="s">
        <v>79</v>
      </c>
      <c r="D18" s="75" t="s">
        <v>61</v>
      </c>
      <c r="E18" s="75">
        <v>95095009661</v>
      </c>
      <c r="F18" s="75" t="s">
        <v>62</v>
      </c>
      <c r="G18" s="75" t="s">
        <v>27</v>
      </c>
      <c r="H18" s="68">
        <v>1600000</v>
      </c>
      <c r="I18" s="68">
        <f t="shared" si="4"/>
        <v>960000</v>
      </c>
      <c r="J18" s="74">
        <v>960000</v>
      </c>
      <c r="K18" s="68">
        <f t="shared" si="2"/>
        <v>0</v>
      </c>
      <c r="L18" s="87" t="s">
        <v>69</v>
      </c>
      <c r="M18" s="80"/>
      <c r="N18" s="85"/>
      <c r="O18" s="1"/>
      <c r="P18" s="1"/>
    </row>
    <row r="19" spans="1:16" ht="16.5" x14ac:dyDescent="0.25">
      <c r="A19" s="191"/>
      <c r="B19" s="64">
        <f t="shared" si="3"/>
        <v>7</v>
      </c>
      <c r="C19" s="77" t="s">
        <v>98</v>
      </c>
      <c r="D19" s="75" t="s">
        <v>63</v>
      </c>
      <c r="E19" s="81">
        <v>91085001515</v>
      </c>
      <c r="F19" s="66" t="s">
        <v>18</v>
      </c>
      <c r="G19" s="75" t="s">
        <v>57</v>
      </c>
      <c r="H19" s="68">
        <v>1760000</v>
      </c>
      <c r="I19" s="68">
        <f t="shared" si="4"/>
        <v>1056000</v>
      </c>
      <c r="J19" s="74">
        <v>1056000</v>
      </c>
      <c r="K19" s="68">
        <f t="shared" si="2"/>
        <v>0</v>
      </c>
      <c r="L19" s="87" t="s">
        <v>69</v>
      </c>
      <c r="M19" s="76"/>
      <c r="N19" s="76"/>
      <c r="O19" s="1"/>
      <c r="P19" s="1"/>
    </row>
    <row r="20" spans="1:16" ht="16.5" x14ac:dyDescent="0.25">
      <c r="A20" s="191"/>
      <c r="B20" s="64">
        <f t="shared" si="3"/>
        <v>8</v>
      </c>
      <c r="C20" s="77" t="s">
        <v>52</v>
      </c>
      <c r="D20" s="64" t="s">
        <v>54</v>
      </c>
      <c r="E20" s="64" t="s">
        <v>94</v>
      </c>
      <c r="F20" s="64" t="s">
        <v>53</v>
      </c>
      <c r="G20" s="64" t="s">
        <v>35</v>
      </c>
      <c r="H20" s="68">
        <v>1650000</v>
      </c>
      <c r="I20" s="68">
        <f t="shared" si="4"/>
        <v>990000</v>
      </c>
      <c r="J20" s="68">
        <v>990000</v>
      </c>
      <c r="K20" s="68">
        <f t="shared" si="2"/>
        <v>0</v>
      </c>
      <c r="L20" s="87" t="s">
        <v>69</v>
      </c>
      <c r="M20" s="76"/>
      <c r="N20" s="76"/>
      <c r="O20" s="1"/>
      <c r="P20" s="1"/>
    </row>
    <row r="21" spans="1:16" ht="16.5" x14ac:dyDescent="0.25">
      <c r="A21" s="191"/>
      <c r="B21" s="64">
        <f t="shared" si="3"/>
        <v>9</v>
      </c>
      <c r="C21" s="78" t="s">
        <v>92</v>
      </c>
      <c r="D21" s="70" t="s">
        <v>88</v>
      </c>
      <c r="E21" s="70" t="s">
        <v>89</v>
      </c>
      <c r="F21" s="70" t="s">
        <v>90</v>
      </c>
      <c r="G21" s="64" t="s">
        <v>137</v>
      </c>
      <c r="H21" s="74">
        <v>3890000</v>
      </c>
      <c r="I21" s="68">
        <f t="shared" si="4"/>
        <v>2334000</v>
      </c>
      <c r="J21" s="68">
        <v>2334000</v>
      </c>
      <c r="K21" s="68">
        <f t="shared" si="2"/>
        <v>0</v>
      </c>
      <c r="L21" s="87" t="s">
        <v>69</v>
      </c>
      <c r="M21" s="79"/>
      <c r="N21" s="76"/>
      <c r="O21" s="1"/>
      <c r="P21" s="1"/>
    </row>
    <row r="22" spans="1:16" ht="16.5" x14ac:dyDescent="0.25">
      <c r="A22" s="191"/>
      <c r="B22" s="64">
        <f t="shared" si="3"/>
        <v>10</v>
      </c>
      <c r="C22" s="78" t="s">
        <v>131</v>
      </c>
      <c r="D22" s="105"/>
      <c r="E22" s="105"/>
      <c r="F22" s="105"/>
      <c r="G22" s="122" t="s">
        <v>93</v>
      </c>
      <c r="H22" s="74">
        <v>1750000</v>
      </c>
      <c r="I22" s="68">
        <f t="shared" si="4"/>
        <v>1050000</v>
      </c>
      <c r="J22" s="74">
        <v>1050000</v>
      </c>
      <c r="K22" s="68">
        <f t="shared" si="2"/>
        <v>0</v>
      </c>
      <c r="L22" s="87" t="s">
        <v>69</v>
      </c>
      <c r="M22" s="121" t="s">
        <v>124</v>
      </c>
      <c r="N22" s="76"/>
      <c r="O22" s="1"/>
      <c r="P22" s="1"/>
    </row>
    <row r="23" spans="1:16" ht="16.5" x14ac:dyDescent="0.25">
      <c r="A23" s="191"/>
      <c r="B23" s="64">
        <f t="shared" si="3"/>
        <v>11</v>
      </c>
      <c r="C23" s="145"/>
      <c r="D23" s="145"/>
      <c r="E23" s="145"/>
      <c r="F23" s="145"/>
      <c r="G23" s="145"/>
      <c r="H23" s="148"/>
      <c r="I23" s="148"/>
      <c r="J23" s="148"/>
      <c r="K23" s="148"/>
      <c r="L23" s="145"/>
      <c r="M23" s="145"/>
      <c r="N23" s="79"/>
      <c r="O23" s="1"/>
      <c r="P23" s="1"/>
    </row>
    <row r="24" spans="1:16" ht="16.5" x14ac:dyDescent="0.25">
      <c r="A24" s="191"/>
      <c r="B24" s="64">
        <f t="shared" si="3"/>
        <v>12</v>
      </c>
      <c r="C24" s="145"/>
      <c r="D24" s="145"/>
      <c r="E24" s="145"/>
      <c r="F24" s="145"/>
      <c r="G24" s="145"/>
      <c r="H24" s="148"/>
      <c r="I24" s="148"/>
      <c r="J24" s="148"/>
      <c r="K24" s="148"/>
      <c r="L24" s="145"/>
      <c r="M24" s="145"/>
      <c r="N24" s="105"/>
      <c r="O24" s="1"/>
      <c r="P24" s="1"/>
    </row>
    <row r="25" spans="1:16" x14ac:dyDescent="0.25">
      <c r="A25" s="128"/>
      <c r="B25" s="129"/>
      <c r="C25" s="129"/>
      <c r="D25" s="129"/>
      <c r="E25" s="129"/>
      <c r="F25" s="129"/>
      <c r="G25" s="129"/>
      <c r="H25" s="149"/>
      <c r="I25" s="149"/>
      <c r="J25" s="149"/>
      <c r="K25" s="149"/>
      <c r="L25" s="129"/>
      <c r="M25" s="129"/>
      <c r="N25" s="129"/>
      <c r="O25" s="1"/>
      <c r="P25" s="1"/>
    </row>
    <row r="26" spans="1:16" ht="22.15" customHeight="1" x14ac:dyDescent="0.25">
      <c r="A26" s="192" t="s">
        <v>136</v>
      </c>
      <c r="B26" s="64">
        <v>1</v>
      </c>
      <c r="C26" s="65" t="s">
        <v>139</v>
      </c>
      <c r="D26" s="66"/>
      <c r="E26" s="66"/>
      <c r="F26" s="66"/>
      <c r="G26" s="75" t="s">
        <v>25</v>
      </c>
      <c r="H26" s="134">
        <v>1750000</v>
      </c>
      <c r="I26" s="132">
        <f t="shared" si="4"/>
        <v>1050000</v>
      </c>
      <c r="J26" s="132">
        <v>1050000</v>
      </c>
      <c r="K26" s="132">
        <f t="shared" si="2"/>
        <v>0</v>
      </c>
      <c r="L26" s="87" t="s">
        <v>69</v>
      </c>
      <c r="M26" s="136"/>
      <c r="N26" s="76"/>
      <c r="O26" s="1"/>
      <c r="P26" s="1"/>
    </row>
    <row r="27" spans="1:16" ht="20.45" customHeight="1" x14ac:dyDescent="0.25">
      <c r="A27" s="193"/>
      <c r="B27" s="64">
        <f>B26+1</f>
        <v>2</v>
      </c>
      <c r="C27" s="65" t="s">
        <v>138</v>
      </c>
      <c r="D27" s="75"/>
      <c r="E27" s="75"/>
      <c r="F27" s="75"/>
      <c r="G27" s="64" t="s">
        <v>19</v>
      </c>
      <c r="H27" s="134">
        <v>1740000</v>
      </c>
      <c r="I27" s="132">
        <f t="shared" si="4"/>
        <v>1044000</v>
      </c>
      <c r="J27" s="133">
        <v>1044000</v>
      </c>
      <c r="K27" s="132">
        <f t="shared" si="2"/>
        <v>0</v>
      </c>
      <c r="L27" s="87" t="s">
        <v>69</v>
      </c>
      <c r="M27" s="136"/>
      <c r="N27" s="76"/>
      <c r="O27" s="1"/>
      <c r="P27" s="1"/>
    </row>
    <row r="28" spans="1:16" ht="16.5" customHeight="1" x14ac:dyDescent="0.25">
      <c r="A28" s="193"/>
      <c r="B28" s="70">
        <f>B27+1</f>
        <v>3</v>
      </c>
      <c r="C28" s="65" t="s">
        <v>148</v>
      </c>
      <c r="D28" s="110"/>
      <c r="E28" s="111"/>
      <c r="F28" s="111"/>
      <c r="G28" s="75" t="s">
        <v>56</v>
      </c>
      <c r="H28" s="68">
        <v>1850000</v>
      </c>
      <c r="I28" s="132">
        <f t="shared" si="4"/>
        <v>1110000</v>
      </c>
      <c r="J28" s="68">
        <v>1110000</v>
      </c>
      <c r="K28" s="132">
        <f t="shared" si="2"/>
        <v>0</v>
      </c>
      <c r="L28" s="87" t="s">
        <v>69</v>
      </c>
      <c r="M28" s="115"/>
      <c r="N28" s="79"/>
    </row>
    <row r="29" spans="1:16" ht="16.5" customHeight="1" x14ac:dyDescent="0.25">
      <c r="A29" s="193"/>
      <c r="B29" s="64">
        <f>B28+1</f>
        <v>4</v>
      </c>
      <c r="C29" s="77" t="s">
        <v>41</v>
      </c>
      <c r="D29" s="66" t="s">
        <v>10</v>
      </c>
      <c r="E29" s="67">
        <v>89078016404</v>
      </c>
      <c r="F29" s="66" t="s">
        <v>18</v>
      </c>
      <c r="G29" s="66" t="s">
        <v>17</v>
      </c>
      <c r="H29" s="135">
        <v>1860000</v>
      </c>
      <c r="I29" s="132">
        <f t="shared" si="4"/>
        <v>1116000</v>
      </c>
      <c r="J29" s="133">
        <v>1116000</v>
      </c>
      <c r="K29" s="132">
        <f t="shared" si="2"/>
        <v>0</v>
      </c>
      <c r="L29" s="87" t="s">
        <v>69</v>
      </c>
      <c r="M29" s="76"/>
      <c r="N29" s="76"/>
    </row>
    <row r="30" spans="1:16" ht="16.5" customHeight="1" x14ac:dyDescent="0.25">
      <c r="A30" s="193"/>
      <c r="B30" s="70">
        <f>B29+1</f>
        <v>5</v>
      </c>
      <c r="C30" s="71"/>
      <c r="D30" s="73"/>
      <c r="E30" s="73"/>
      <c r="F30" s="73"/>
      <c r="G30" s="73"/>
      <c r="H30" s="135"/>
      <c r="I30" s="132"/>
      <c r="J30" s="133"/>
      <c r="K30" s="132"/>
      <c r="L30" s="131"/>
      <c r="M30" s="79"/>
      <c r="N30" s="79"/>
    </row>
    <row r="31" spans="1:16" ht="15" customHeight="1" x14ac:dyDescent="0.25"/>
    <row r="32" spans="1:16" ht="15" customHeight="1" x14ac:dyDescent="0.25"/>
    <row r="39" spans="4:8" x14ac:dyDescent="0.25">
      <c r="E39" s="1"/>
      <c r="G39" s="25"/>
      <c r="H39" s="1"/>
    </row>
    <row r="40" spans="4:8" x14ac:dyDescent="0.25">
      <c r="D40" s="1"/>
      <c r="E40" s="1"/>
      <c r="F40" s="1"/>
      <c r="G40" s="1"/>
      <c r="H40" s="1"/>
    </row>
  </sheetData>
  <mergeCells count="9">
    <mergeCell ref="A26:A30"/>
    <mergeCell ref="B3:K3"/>
    <mergeCell ref="A7:A11"/>
    <mergeCell ref="P10:Q11"/>
    <mergeCell ref="R10:R11"/>
    <mergeCell ref="P12:Q14"/>
    <mergeCell ref="R12:R14"/>
    <mergeCell ref="A13:A24"/>
    <mergeCell ref="P15:Q15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6E6F5-653E-4196-A463-641220AB1E22}">
  <sheetPr codeName="Sheet22"/>
  <dimension ref="A1:R40"/>
  <sheetViews>
    <sheetView zoomScale="85" zoomScaleNormal="85" workbookViewId="0">
      <selection activeCell="J7" sqref="J7:J10"/>
    </sheetView>
  </sheetViews>
  <sheetFormatPr defaultRowHeight="15" x14ac:dyDescent="0.25"/>
  <cols>
    <col min="1" max="1" width="23.140625" customWidth="1"/>
    <col min="3" max="3" width="35.28515625" customWidth="1"/>
    <col min="4" max="4" width="19.85546875" hidden="1" customWidth="1"/>
    <col min="5" max="5" width="19.28515625" hidden="1" customWidth="1"/>
    <col min="6" max="6" width="26.42578125" hidden="1" customWidth="1"/>
    <col min="7" max="7" width="19.5703125" customWidth="1"/>
    <col min="8" max="8" width="20.42578125" customWidth="1"/>
    <col min="9" max="9" width="22.5703125" customWidth="1"/>
    <col min="10" max="10" width="20.140625" customWidth="1"/>
    <col min="11" max="12" width="19.42578125" customWidth="1"/>
    <col min="13" max="13" width="35.140625" customWidth="1"/>
    <col min="14" max="14" width="14.140625" customWidth="1"/>
    <col min="16" max="16" width="18.5703125" customWidth="1"/>
    <col min="17" max="17" width="22.5703125" customWidth="1"/>
    <col min="18" max="18" width="21.28515625" customWidth="1"/>
  </cols>
  <sheetData>
    <row r="1" spans="1:18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8" x14ac:dyDescent="0.25">
      <c r="A2" s="1"/>
      <c r="L2" s="1"/>
      <c r="M2" s="1"/>
      <c r="N2" s="1"/>
      <c r="O2" s="1"/>
      <c r="P2" s="1"/>
    </row>
    <row r="3" spans="1:18" ht="27.75" x14ac:dyDescent="0.25">
      <c r="A3" s="1"/>
      <c r="B3" s="183" t="s">
        <v>31</v>
      </c>
      <c r="C3" s="183"/>
      <c r="D3" s="183"/>
      <c r="E3" s="183"/>
      <c r="F3" s="183"/>
      <c r="G3" s="183"/>
      <c r="H3" s="183"/>
      <c r="I3" s="183"/>
      <c r="J3" s="183"/>
      <c r="K3" s="183"/>
      <c r="L3" s="1"/>
      <c r="M3" s="1"/>
      <c r="N3" s="1"/>
      <c r="O3" s="1"/>
      <c r="P3" s="1"/>
    </row>
    <row r="4" spans="1:18" ht="30.75" x14ac:dyDescent="0.3">
      <c r="A4" s="1"/>
      <c r="C4" s="117"/>
      <c r="D4" s="117"/>
      <c r="E4" s="117"/>
      <c r="H4" s="116" t="s">
        <v>159</v>
      </c>
      <c r="I4" s="117"/>
      <c r="J4" s="117"/>
      <c r="K4" s="117"/>
      <c r="L4" s="1"/>
      <c r="M4" s="23" t="s">
        <v>65</v>
      </c>
      <c r="N4" s="24">
        <v>0.6</v>
      </c>
      <c r="O4" s="1"/>
      <c r="P4" s="1"/>
    </row>
    <row r="5" spans="1:18" ht="12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8" ht="53.25" customHeight="1" x14ac:dyDescent="0.25">
      <c r="A6" s="105"/>
      <c r="B6" s="137" t="s">
        <v>0</v>
      </c>
      <c r="C6" s="137" t="s">
        <v>1</v>
      </c>
      <c r="D6" s="137" t="s">
        <v>50</v>
      </c>
      <c r="E6" s="137" t="s">
        <v>2</v>
      </c>
      <c r="F6" s="137" t="s">
        <v>3</v>
      </c>
      <c r="G6" s="137" t="s">
        <v>49</v>
      </c>
      <c r="H6" s="137" t="s">
        <v>4</v>
      </c>
      <c r="I6" s="138" t="s">
        <v>142</v>
      </c>
      <c r="J6" s="137" t="s">
        <v>115</v>
      </c>
      <c r="K6" s="137" t="s">
        <v>116</v>
      </c>
      <c r="L6" s="137" t="s">
        <v>7</v>
      </c>
      <c r="M6" s="137" t="s">
        <v>34</v>
      </c>
      <c r="N6" s="137" t="s">
        <v>51</v>
      </c>
      <c r="O6" s="1"/>
      <c r="P6" s="87" t="s">
        <v>69</v>
      </c>
    </row>
    <row r="7" spans="1:18" ht="16.5" customHeight="1" x14ac:dyDescent="0.25">
      <c r="A7" s="197" t="s">
        <v>119</v>
      </c>
      <c r="B7" s="64">
        <v>1</v>
      </c>
      <c r="C7" s="65" t="s">
        <v>132</v>
      </c>
      <c r="D7" s="66" t="s">
        <v>9</v>
      </c>
      <c r="E7" s="67">
        <v>91203011680</v>
      </c>
      <c r="F7" s="66" t="s">
        <v>15</v>
      </c>
      <c r="G7" s="66" t="s">
        <v>16</v>
      </c>
      <c r="H7" s="68">
        <v>1400000</v>
      </c>
      <c r="I7" s="68">
        <f>H7*N$4</f>
        <v>840000</v>
      </c>
      <c r="J7" s="68">
        <v>840000</v>
      </c>
      <c r="K7" s="68">
        <f>I7-J7</f>
        <v>0</v>
      </c>
      <c r="L7" s="88" t="s">
        <v>26</v>
      </c>
      <c r="M7" s="76"/>
      <c r="N7" s="76"/>
      <c r="O7" s="1"/>
      <c r="P7" s="88" t="s">
        <v>26</v>
      </c>
    </row>
    <row r="8" spans="1:18" ht="16.5" customHeight="1" x14ac:dyDescent="0.25">
      <c r="A8" s="198"/>
      <c r="B8" s="64">
        <f>B7+1</f>
        <v>2</v>
      </c>
      <c r="C8" s="65" t="s">
        <v>150</v>
      </c>
      <c r="D8" s="75" t="s">
        <v>28</v>
      </c>
      <c r="E8" s="75">
        <v>42094001136</v>
      </c>
      <c r="F8" s="75" t="s">
        <v>15</v>
      </c>
      <c r="G8" s="75" t="s">
        <v>36</v>
      </c>
      <c r="H8" s="68">
        <v>1100000</v>
      </c>
      <c r="I8" s="68">
        <f>H8*N$4</f>
        <v>660000</v>
      </c>
      <c r="J8" s="68">
        <v>550000</v>
      </c>
      <c r="K8" s="68">
        <v>0</v>
      </c>
      <c r="L8" s="88" t="s">
        <v>26</v>
      </c>
      <c r="M8" s="76" t="s">
        <v>162</v>
      </c>
      <c r="N8" s="76"/>
      <c r="O8" s="1"/>
      <c r="P8" s="82" t="s">
        <v>72</v>
      </c>
    </row>
    <row r="9" spans="1:18" ht="16.5" customHeight="1" x14ac:dyDescent="0.25">
      <c r="A9" s="198"/>
      <c r="B9" s="64">
        <f t="shared" ref="B9:B10" si="0">B8+1</f>
        <v>3</v>
      </c>
      <c r="C9" s="65" t="s">
        <v>134</v>
      </c>
      <c r="D9" s="66" t="s">
        <v>101</v>
      </c>
      <c r="E9" s="66">
        <v>70081001153</v>
      </c>
      <c r="F9" s="66" t="s">
        <v>102</v>
      </c>
      <c r="G9" s="66" t="s">
        <v>83</v>
      </c>
      <c r="H9" s="68">
        <v>1300000</v>
      </c>
      <c r="I9" s="68">
        <f>H9*N$4</f>
        <v>780000</v>
      </c>
      <c r="J9" s="74">
        <v>780000</v>
      </c>
      <c r="K9" s="68">
        <f t="shared" ref="K9:K10" si="1">I9-J9</f>
        <v>0</v>
      </c>
      <c r="L9" s="88" t="s">
        <v>26</v>
      </c>
      <c r="M9" s="115"/>
      <c r="N9" s="79"/>
      <c r="O9" s="1"/>
      <c r="P9" s="1"/>
    </row>
    <row r="10" spans="1:18" ht="16.5" customHeight="1" x14ac:dyDescent="0.25">
      <c r="A10" s="198"/>
      <c r="B10" s="64">
        <f t="shared" si="0"/>
        <v>4</v>
      </c>
      <c r="C10" s="71" t="s">
        <v>135</v>
      </c>
      <c r="D10" s="73" t="s">
        <v>106</v>
      </c>
      <c r="E10" s="73">
        <v>27068001194</v>
      </c>
      <c r="F10" s="73" t="s">
        <v>105</v>
      </c>
      <c r="G10" s="127" t="s">
        <v>73</v>
      </c>
      <c r="H10" s="74">
        <v>1000000</v>
      </c>
      <c r="I10" s="68">
        <f>H10*N$4</f>
        <v>600000</v>
      </c>
      <c r="J10" s="74">
        <v>600000</v>
      </c>
      <c r="K10" s="68">
        <f t="shared" si="1"/>
        <v>0</v>
      </c>
      <c r="L10" s="88" t="s">
        <v>26</v>
      </c>
      <c r="M10" s="76"/>
      <c r="N10" s="76"/>
      <c r="O10" s="1"/>
      <c r="P10" s="200" t="s">
        <v>29</v>
      </c>
      <c r="Q10" s="200"/>
      <c r="R10" s="195">
        <f>SUM(H7:H999)</f>
        <v>23968000</v>
      </c>
    </row>
    <row r="11" spans="1:18" ht="16.5" customHeight="1" x14ac:dyDescent="0.25">
      <c r="A11" s="199"/>
      <c r="H11" s="146"/>
      <c r="I11" s="146"/>
      <c r="J11" s="146"/>
      <c r="K11" s="146"/>
      <c r="M11" s="79"/>
      <c r="N11" s="79"/>
      <c r="O11" s="1"/>
      <c r="P11" s="200"/>
      <c r="Q11" s="200"/>
      <c r="R11" s="195"/>
    </row>
    <row r="12" spans="1:18" ht="16.5" customHeight="1" x14ac:dyDescent="0.25">
      <c r="A12" s="107"/>
      <c r="B12" s="89"/>
      <c r="C12" s="90"/>
      <c r="D12" s="89"/>
      <c r="E12" s="91"/>
      <c r="F12" s="92"/>
      <c r="G12" s="93"/>
      <c r="H12" s="94"/>
      <c r="I12" s="94"/>
      <c r="J12" s="147"/>
      <c r="K12" s="123"/>
      <c r="L12" s="96"/>
      <c r="M12" s="97"/>
      <c r="N12" s="97"/>
      <c r="O12" s="1"/>
      <c r="P12" s="194" t="s">
        <v>143</v>
      </c>
      <c r="Q12" s="194"/>
      <c r="R12" s="195">
        <f>SUM(I7:I999)</f>
        <v>14380800</v>
      </c>
    </row>
    <row r="13" spans="1:18" ht="22.5" customHeight="1" x14ac:dyDescent="0.25">
      <c r="A13" s="201" t="s">
        <v>118</v>
      </c>
      <c r="B13" s="64">
        <v>1</v>
      </c>
      <c r="C13" s="77" t="s">
        <v>40</v>
      </c>
      <c r="D13" s="66" t="s">
        <v>8</v>
      </c>
      <c r="E13" s="67">
        <v>38096003688</v>
      </c>
      <c r="F13" s="66" t="s">
        <v>13</v>
      </c>
      <c r="G13" s="66" t="s">
        <v>14</v>
      </c>
      <c r="H13" s="68">
        <v>2279000</v>
      </c>
      <c r="I13" s="68">
        <f t="shared" ref="I13:I21" si="2">H13*N$4</f>
        <v>1367400</v>
      </c>
      <c r="J13" s="68">
        <v>1360000</v>
      </c>
      <c r="K13" s="68">
        <f t="shared" ref="K13:K29" si="3">I13-J13</f>
        <v>7400</v>
      </c>
      <c r="L13" s="87" t="s">
        <v>69</v>
      </c>
      <c r="M13" s="76" t="s">
        <v>164</v>
      </c>
      <c r="N13" s="76"/>
      <c r="O13" s="1"/>
      <c r="P13" s="194"/>
      <c r="Q13" s="194"/>
      <c r="R13" s="195"/>
    </row>
    <row r="14" spans="1:18" ht="16.5" customHeight="1" x14ac:dyDescent="0.25">
      <c r="A14" s="202"/>
      <c r="B14" s="64">
        <f>B13+1</f>
        <v>2</v>
      </c>
      <c r="C14" s="78" t="s">
        <v>67</v>
      </c>
      <c r="D14" s="73" t="s">
        <v>11</v>
      </c>
      <c r="E14" s="72">
        <v>89099008054</v>
      </c>
      <c r="F14" s="73" t="s">
        <v>18</v>
      </c>
      <c r="G14" s="73" t="s">
        <v>48</v>
      </c>
      <c r="H14" s="74">
        <v>720000</v>
      </c>
      <c r="I14" s="68">
        <f t="shared" si="2"/>
        <v>432000</v>
      </c>
      <c r="J14" s="74">
        <v>720000</v>
      </c>
      <c r="K14" s="68">
        <v>0</v>
      </c>
      <c r="L14" s="87" t="s">
        <v>69</v>
      </c>
      <c r="M14" s="79" t="s">
        <v>161</v>
      </c>
      <c r="N14" s="79"/>
      <c r="O14" s="1"/>
      <c r="P14" s="194"/>
      <c r="Q14" s="194"/>
      <c r="R14" s="195"/>
    </row>
    <row r="15" spans="1:18" ht="22.5" customHeight="1" x14ac:dyDescent="0.3">
      <c r="A15" s="202"/>
      <c r="B15" s="64">
        <f t="shared" ref="B15:B25" si="4">B14+1</f>
        <v>3</v>
      </c>
      <c r="C15" s="77" t="s">
        <v>43</v>
      </c>
      <c r="D15" s="75" t="s">
        <v>23</v>
      </c>
      <c r="E15" s="75">
        <v>42088019031</v>
      </c>
      <c r="F15" s="75" t="s">
        <v>21</v>
      </c>
      <c r="G15" s="75" t="s">
        <v>22</v>
      </c>
      <c r="H15" s="68">
        <v>1300000</v>
      </c>
      <c r="I15" s="68">
        <f t="shared" si="2"/>
        <v>780000</v>
      </c>
      <c r="J15" s="74">
        <v>780000</v>
      </c>
      <c r="K15" s="68">
        <f t="shared" ref="K15:K21" si="5">I15-J15</f>
        <v>0</v>
      </c>
      <c r="L15" s="87" t="s">
        <v>69</v>
      </c>
      <c r="M15" s="76"/>
      <c r="N15" s="85"/>
      <c r="O15" s="1"/>
      <c r="P15" s="196" t="s">
        <v>117</v>
      </c>
      <c r="Q15" s="196"/>
      <c r="R15" s="130">
        <f>SUM(J7:J98)</f>
        <v>14555400</v>
      </c>
    </row>
    <row r="16" spans="1:18" ht="16.5" customHeight="1" x14ac:dyDescent="0.25">
      <c r="A16" s="202"/>
      <c r="B16" s="64">
        <f t="shared" si="4"/>
        <v>4</v>
      </c>
      <c r="C16" s="77" t="s">
        <v>44</v>
      </c>
      <c r="D16" s="75" t="s">
        <v>33</v>
      </c>
      <c r="E16" s="75">
        <v>49202008987</v>
      </c>
      <c r="F16" s="75" t="s">
        <v>15</v>
      </c>
      <c r="G16" s="75" t="s">
        <v>32</v>
      </c>
      <c r="H16" s="68">
        <v>1240000</v>
      </c>
      <c r="I16" s="68">
        <f t="shared" si="2"/>
        <v>744000</v>
      </c>
      <c r="J16" s="68">
        <v>744000</v>
      </c>
      <c r="K16" s="68">
        <f t="shared" si="5"/>
        <v>0</v>
      </c>
      <c r="L16" s="87" t="s">
        <v>69</v>
      </c>
      <c r="M16" s="76"/>
      <c r="N16" s="76"/>
      <c r="O16" s="1"/>
      <c r="P16" s="1"/>
    </row>
    <row r="17" spans="1:16" ht="16.5" customHeight="1" x14ac:dyDescent="0.25">
      <c r="A17" s="202"/>
      <c r="B17" s="64">
        <f t="shared" si="4"/>
        <v>5</v>
      </c>
      <c r="C17" s="141" t="s">
        <v>79</v>
      </c>
      <c r="D17" s="142" t="s">
        <v>61</v>
      </c>
      <c r="E17" s="142">
        <v>95095009661</v>
      </c>
      <c r="F17" s="142" t="s">
        <v>62</v>
      </c>
      <c r="G17" s="142" t="s">
        <v>27</v>
      </c>
      <c r="H17" s="143"/>
      <c r="I17" s="143">
        <f t="shared" si="2"/>
        <v>0</v>
      </c>
      <c r="J17" s="144"/>
      <c r="K17" s="143">
        <f t="shared" si="5"/>
        <v>0</v>
      </c>
      <c r="L17" s="150"/>
      <c r="M17" s="151" t="s">
        <v>160</v>
      </c>
      <c r="N17" s="85"/>
      <c r="O17" s="1"/>
      <c r="P17" s="1"/>
    </row>
    <row r="18" spans="1:16" ht="16.5" customHeight="1" x14ac:dyDescent="0.25">
      <c r="A18" s="202"/>
      <c r="B18" s="64">
        <f t="shared" si="4"/>
        <v>6</v>
      </c>
      <c r="C18" s="77" t="s">
        <v>98</v>
      </c>
      <c r="D18" s="75" t="s">
        <v>63</v>
      </c>
      <c r="E18" s="81">
        <v>91085001515</v>
      </c>
      <c r="F18" s="66" t="s">
        <v>18</v>
      </c>
      <c r="G18" s="75" t="s">
        <v>57</v>
      </c>
      <c r="H18" s="68">
        <v>1810000</v>
      </c>
      <c r="I18" s="68">
        <f t="shared" si="2"/>
        <v>1086000</v>
      </c>
      <c r="J18" s="74">
        <v>1086000</v>
      </c>
      <c r="K18" s="68">
        <f t="shared" si="5"/>
        <v>0</v>
      </c>
      <c r="L18" s="87" t="s">
        <v>69</v>
      </c>
      <c r="M18" s="76"/>
      <c r="N18" s="76"/>
      <c r="O18" s="1"/>
      <c r="P18" s="1"/>
    </row>
    <row r="19" spans="1:16" ht="16.5" customHeight="1" x14ac:dyDescent="0.25">
      <c r="A19" s="202"/>
      <c r="B19" s="64">
        <f t="shared" si="4"/>
        <v>7</v>
      </c>
      <c r="C19" s="77" t="s">
        <v>52</v>
      </c>
      <c r="D19" s="64" t="s">
        <v>54</v>
      </c>
      <c r="E19" s="64" t="s">
        <v>94</v>
      </c>
      <c r="F19" s="64" t="s">
        <v>53</v>
      </c>
      <c r="G19" s="64" t="s">
        <v>35</v>
      </c>
      <c r="H19" s="68">
        <v>1400000</v>
      </c>
      <c r="I19" s="68">
        <f t="shared" si="2"/>
        <v>840000</v>
      </c>
      <c r="J19" s="68">
        <v>840000</v>
      </c>
      <c r="K19" s="68">
        <f t="shared" si="5"/>
        <v>0</v>
      </c>
      <c r="L19" s="87" t="s">
        <v>69</v>
      </c>
      <c r="M19" s="76"/>
      <c r="N19" s="76"/>
      <c r="O19" s="1"/>
      <c r="P19" s="1"/>
    </row>
    <row r="20" spans="1:16" ht="16.5" customHeight="1" x14ac:dyDescent="0.25">
      <c r="A20" s="202"/>
      <c r="B20" s="64">
        <f t="shared" si="4"/>
        <v>8</v>
      </c>
      <c r="C20" s="78" t="s">
        <v>92</v>
      </c>
      <c r="D20" s="70" t="s">
        <v>88</v>
      </c>
      <c r="E20" s="70" t="s">
        <v>89</v>
      </c>
      <c r="F20" s="70" t="s">
        <v>90</v>
      </c>
      <c r="G20" s="64" t="s">
        <v>137</v>
      </c>
      <c r="H20" s="74">
        <v>4064000</v>
      </c>
      <c r="I20" s="68">
        <f t="shared" si="2"/>
        <v>2438400</v>
      </c>
      <c r="J20" s="68">
        <v>2438400</v>
      </c>
      <c r="K20" s="68">
        <f t="shared" si="5"/>
        <v>0</v>
      </c>
      <c r="L20" s="87" t="s">
        <v>69</v>
      </c>
      <c r="M20" s="79"/>
      <c r="N20" s="76"/>
      <c r="O20" s="1"/>
      <c r="P20" s="1"/>
    </row>
    <row r="21" spans="1:16" ht="16.5" customHeight="1" x14ac:dyDescent="0.25">
      <c r="A21" s="202"/>
      <c r="B21" s="64">
        <f t="shared" si="4"/>
        <v>9</v>
      </c>
      <c r="C21" s="78" t="s">
        <v>131</v>
      </c>
      <c r="D21" s="105"/>
      <c r="E21" s="105"/>
      <c r="F21" s="105"/>
      <c r="G21" s="122" t="s">
        <v>93</v>
      </c>
      <c r="H21" s="74">
        <v>1370000</v>
      </c>
      <c r="I21" s="68">
        <f t="shared" si="2"/>
        <v>822000</v>
      </c>
      <c r="J21" s="74">
        <v>822000</v>
      </c>
      <c r="K21" s="68">
        <f t="shared" si="5"/>
        <v>0</v>
      </c>
      <c r="L21" s="87" t="s">
        <v>69</v>
      </c>
      <c r="M21" s="121" t="s">
        <v>124</v>
      </c>
      <c r="N21" s="76"/>
      <c r="O21" s="1"/>
      <c r="P21" s="1"/>
    </row>
    <row r="22" spans="1:16" ht="16.5" customHeight="1" x14ac:dyDescent="0.25">
      <c r="A22" s="202"/>
      <c r="B22" s="64">
        <f t="shared" si="4"/>
        <v>10</v>
      </c>
      <c r="C22" s="145"/>
      <c r="D22" s="145"/>
      <c r="E22" s="145"/>
      <c r="F22" s="145"/>
      <c r="G22" s="145"/>
      <c r="H22" s="145"/>
      <c r="I22" s="145"/>
      <c r="J22" s="145"/>
      <c r="K22" s="145"/>
      <c r="L22" s="145"/>
      <c r="M22" s="145"/>
      <c r="N22" s="145"/>
      <c r="O22" s="1"/>
      <c r="P22" s="1"/>
    </row>
    <row r="23" spans="1:16" ht="16.5" customHeight="1" x14ac:dyDescent="0.25">
      <c r="A23" s="202"/>
      <c r="B23" s="64">
        <f t="shared" si="4"/>
        <v>11</v>
      </c>
      <c r="C23" s="145"/>
      <c r="D23" s="145"/>
      <c r="E23" s="145"/>
      <c r="F23" s="145"/>
      <c r="G23" s="145"/>
      <c r="H23" s="148"/>
      <c r="I23" s="148"/>
      <c r="J23" s="148"/>
      <c r="K23" s="148"/>
      <c r="L23" s="145"/>
      <c r="M23" s="145"/>
      <c r="N23" s="79"/>
      <c r="O23" s="1"/>
      <c r="P23" s="1"/>
    </row>
    <row r="24" spans="1:16" ht="16.5" customHeight="1" x14ac:dyDescent="0.25">
      <c r="A24" s="202"/>
      <c r="B24" s="64">
        <f t="shared" si="4"/>
        <v>12</v>
      </c>
      <c r="C24" s="145"/>
      <c r="D24" s="145"/>
      <c r="E24" s="145"/>
      <c r="F24" s="145"/>
      <c r="G24" s="145"/>
      <c r="H24" s="148"/>
      <c r="I24" s="148"/>
      <c r="J24" s="148"/>
      <c r="K24" s="148"/>
      <c r="L24" s="145"/>
      <c r="M24" s="145"/>
      <c r="N24" s="105"/>
      <c r="O24" s="1"/>
      <c r="P24" s="1"/>
    </row>
    <row r="25" spans="1:16" ht="16.5" x14ac:dyDescent="0.25">
      <c r="A25" s="202"/>
      <c r="B25" s="64">
        <f t="shared" si="4"/>
        <v>13</v>
      </c>
      <c r="C25" s="145"/>
      <c r="D25" s="145"/>
      <c r="E25" s="145"/>
      <c r="F25" s="145"/>
      <c r="G25" s="145"/>
      <c r="H25" s="148"/>
      <c r="I25" s="148"/>
      <c r="J25" s="148"/>
      <c r="K25" s="148"/>
      <c r="L25" s="145"/>
      <c r="M25" s="145"/>
      <c r="N25" s="105"/>
      <c r="O25" s="1"/>
      <c r="P25" s="1"/>
    </row>
    <row r="26" spans="1:16" ht="22.15" customHeight="1" x14ac:dyDescent="0.25">
      <c r="A26" s="202"/>
      <c r="B26" s="64">
        <v>1</v>
      </c>
      <c r="C26" s="65" t="s">
        <v>139</v>
      </c>
      <c r="D26" s="66"/>
      <c r="E26" s="66"/>
      <c r="F26" s="66"/>
      <c r="G26" s="75" t="s">
        <v>25</v>
      </c>
      <c r="H26" s="134">
        <v>1185000</v>
      </c>
      <c r="I26" s="132">
        <f t="shared" ref="I26:I29" si="6">H26*N$4</f>
        <v>711000</v>
      </c>
      <c r="J26" s="132">
        <v>715000</v>
      </c>
      <c r="K26" s="132">
        <f t="shared" si="3"/>
        <v>-4000</v>
      </c>
      <c r="L26" s="87" t="s">
        <v>69</v>
      </c>
      <c r="M26" s="136" t="s">
        <v>163</v>
      </c>
      <c r="N26" s="76"/>
      <c r="O26" s="1"/>
      <c r="P26" s="1"/>
    </row>
    <row r="27" spans="1:16" ht="20.45" customHeight="1" x14ac:dyDescent="0.25">
      <c r="A27" s="202"/>
      <c r="B27" s="64">
        <f>B26+1</f>
        <v>2</v>
      </c>
      <c r="C27" s="65" t="s">
        <v>138</v>
      </c>
      <c r="D27" s="75"/>
      <c r="E27" s="75"/>
      <c r="F27" s="75"/>
      <c r="G27" s="64" t="s">
        <v>19</v>
      </c>
      <c r="H27" s="134">
        <v>910000</v>
      </c>
      <c r="I27" s="132">
        <f t="shared" si="6"/>
        <v>546000</v>
      </c>
      <c r="J27" s="133">
        <v>546000</v>
      </c>
      <c r="K27" s="132">
        <f t="shared" si="3"/>
        <v>0</v>
      </c>
      <c r="L27" s="87" t="s">
        <v>69</v>
      </c>
      <c r="M27" s="136"/>
      <c r="N27" s="76"/>
      <c r="O27" s="1"/>
      <c r="P27" s="1"/>
    </row>
    <row r="28" spans="1:16" ht="16.5" customHeight="1" x14ac:dyDescent="0.25">
      <c r="A28" s="202"/>
      <c r="B28" s="70">
        <f>B27+1</f>
        <v>3</v>
      </c>
      <c r="C28" s="65" t="s">
        <v>148</v>
      </c>
      <c r="D28" s="110"/>
      <c r="E28" s="111"/>
      <c r="F28" s="111"/>
      <c r="G28" s="75" t="s">
        <v>56</v>
      </c>
      <c r="H28" s="68">
        <v>670000</v>
      </c>
      <c r="I28" s="132">
        <f t="shared" si="6"/>
        <v>402000</v>
      </c>
      <c r="J28" s="68">
        <v>402000</v>
      </c>
      <c r="K28" s="132">
        <f t="shared" si="3"/>
        <v>0</v>
      </c>
      <c r="L28" s="87" t="s">
        <v>69</v>
      </c>
      <c r="M28" s="115"/>
      <c r="N28" s="79"/>
    </row>
    <row r="29" spans="1:16" ht="16.5" customHeight="1" x14ac:dyDescent="0.25">
      <c r="A29" s="202"/>
      <c r="B29" s="64">
        <f>B28+1</f>
        <v>4</v>
      </c>
      <c r="C29" s="77" t="s">
        <v>41</v>
      </c>
      <c r="D29" s="66" t="s">
        <v>10</v>
      </c>
      <c r="E29" s="67">
        <v>89078016404</v>
      </c>
      <c r="F29" s="66" t="s">
        <v>18</v>
      </c>
      <c r="G29" s="66" t="s">
        <v>17</v>
      </c>
      <c r="H29" s="135">
        <v>2220000</v>
      </c>
      <c r="I29" s="132">
        <f t="shared" si="6"/>
        <v>1332000</v>
      </c>
      <c r="J29" s="133">
        <v>1332000</v>
      </c>
      <c r="K29" s="132">
        <f t="shared" si="3"/>
        <v>0</v>
      </c>
      <c r="L29" s="87" t="s">
        <v>69</v>
      </c>
      <c r="M29" s="76"/>
      <c r="N29" s="76"/>
    </row>
    <row r="30" spans="1:16" ht="16.5" customHeight="1" x14ac:dyDescent="0.25">
      <c r="A30" s="202"/>
      <c r="B30" s="70">
        <f>B29+1</f>
        <v>5</v>
      </c>
      <c r="C30" s="71"/>
      <c r="D30" s="73"/>
      <c r="E30" s="73"/>
      <c r="F30" s="73"/>
      <c r="G30" s="73"/>
      <c r="H30" s="135"/>
      <c r="I30" s="132"/>
      <c r="J30" s="133"/>
      <c r="K30" s="132"/>
      <c r="L30" s="131"/>
      <c r="M30" s="79"/>
      <c r="N30" s="79"/>
    </row>
    <row r="31" spans="1:16" ht="15" customHeight="1" x14ac:dyDescent="0.25"/>
    <row r="32" spans="1:16" ht="15" customHeight="1" x14ac:dyDescent="0.25"/>
    <row r="39" spans="4:8" x14ac:dyDescent="0.25">
      <c r="E39" s="1"/>
      <c r="G39" s="25"/>
      <c r="H39" s="1"/>
    </row>
    <row r="40" spans="4:8" x14ac:dyDescent="0.25">
      <c r="D40" s="1"/>
      <c r="E40" s="1"/>
      <c r="F40" s="1"/>
      <c r="G40" s="1"/>
      <c r="H40" s="1"/>
    </row>
  </sheetData>
  <mergeCells count="8">
    <mergeCell ref="R10:R11"/>
    <mergeCell ref="P12:Q14"/>
    <mergeCell ref="R12:R14"/>
    <mergeCell ref="P15:Q15"/>
    <mergeCell ref="A13:A30"/>
    <mergeCell ref="B3:K3"/>
    <mergeCell ref="A7:A11"/>
    <mergeCell ref="P10:Q11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EB595-8DC6-4074-96B9-558EFD8C2F96}">
  <sheetPr codeName="Sheet23"/>
  <dimension ref="A1:R40"/>
  <sheetViews>
    <sheetView topLeftCell="A2" zoomScale="85" zoomScaleNormal="85" workbookViewId="0">
      <selection activeCell="C23" sqref="C23"/>
    </sheetView>
  </sheetViews>
  <sheetFormatPr defaultRowHeight="15" x14ac:dyDescent="0.25"/>
  <cols>
    <col min="1" max="1" width="23.140625" customWidth="1"/>
    <col min="3" max="3" width="35.28515625" customWidth="1"/>
    <col min="4" max="4" width="19.85546875" hidden="1" customWidth="1"/>
    <col min="5" max="5" width="19.28515625" hidden="1" customWidth="1"/>
    <col min="6" max="6" width="26.42578125" hidden="1" customWidth="1"/>
    <col min="7" max="7" width="19.5703125" customWidth="1"/>
    <col min="8" max="8" width="20.42578125" customWidth="1"/>
    <col min="9" max="9" width="22.5703125" customWidth="1"/>
    <col min="10" max="10" width="20.140625" customWidth="1"/>
    <col min="11" max="12" width="19.42578125" customWidth="1"/>
    <col min="13" max="13" width="37" customWidth="1"/>
    <col min="14" max="14" width="14.140625" customWidth="1"/>
    <col min="16" max="16" width="18.5703125" customWidth="1"/>
    <col min="17" max="17" width="22.5703125" customWidth="1"/>
    <col min="18" max="18" width="21.28515625" customWidth="1"/>
  </cols>
  <sheetData>
    <row r="1" spans="1:18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8" x14ac:dyDescent="0.25">
      <c r="A2" s="1"/>
      <c r="L2" s="1"/>
      <c r="M2" s="1"/>
      <c r="N2" s="1"/>
      <c r="O2" s="1"/>
      <c r="P2" s="1"/>
    </row>
    <row r="3" spans="1:18" ht="27.75" x14ac:dyDescent="0.25">
      <c r="A3" s="1"/>
      <c r="B3" s="183" t="s">
        <v>31</v>
      </c>
      <c r="C3" s="183"/>
      <c r="D3" s="183"/>
      <c r="E3" s="183"/>
      <c r="F3" s="183"/>
      <c r="G3" s="183"/>
      <c r="H3" s="183"/>
      <c r="I3" s="183"/>
      <c r="J3" s="183"/>
      <c r="K3" s="183"/>
      <c r="L3" s="1"/>
      <c r="M3" s="1"/>
      <c r="N3" s="1"/>
      <c r="O3" s="1"/>
      <c r="P3" s="1"/>
    </row>
    <row r="4" spans="1:18" ht="30.75" x14ac:dyDescent="0.3">
      <c r="A4" s="1"/>
      <c r="C4" s="117"/>
      <c r="D4" s="117"/>
      <c r="E4" s="117"/>
      <c r="H4" s="116" t="s">
        <v>165</v>
      </c>
      <c r="I4" s="117"/>
      <c r="J4" s="117"/>
      <c r="K4" s="117"/>
      <c r="L4" s="1"/>
      <c r="M4" s="23" t="s">
        <v>65</v>
      </c>
      <c r="N4" s="24">
        <v>0.6</v>
      </c>
      <c r="O4" s="1"/>
      <c r="P4" s="1"/>
    </row>
    <row r="5" spans="1:18" ht="12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8" ht="53.25" customHeight="1" x14ac:dyDescent="0.25">
      <c r="A6" s="105"/>
      <c r="B6" s="137" t="s">
        <v>0</v>
      </c>
      <c r="C6" s="137" t="s">
        <v>1</v>
      </c>
      <c r="D6" s="137" t="s">
        <v>50</v>
      </c>
      <c r="E6" s="137" t="s">
        <v>2</v>
      </c>
      <c r="F6" s="137" t="s">
        <v>3</v>
      </c>
      <c r="G6" s="137" t="s">
        <v>49</v>
      </c>
      <c r="H6" s="137" t="s">
        <v>4</v>
      </c>
      <c r="I6" s="138" t="s">
        <v>142</v>
      </c>
      <c r="J6" s="137" t="s">
        <v>115</v>
      </c>
      <c r="K6" s="137" t="s">
        <v>116</v>
      </c>
      <c r="L6" s="137" t="s">
        <v>7</v>
      </c>
      <c r="M6" s="137" t="s">
        <v>34</v>
      </c>
      <c r="N6" s="137" t="s">
        <v>51</v>
      </c>
      <c r="O6" s="1"/>
      <c r="P6" s="87" t="s">
        <v>69</v>
      </c>
    </row>
    <row r="7" spans="1:18" ht="34.5" customHeight="1" x14ac:dyDescent="0.25">
      <c r="A7" s="197" t="s">
        <v>119</v>
      </c>
      <c r="B7" s="64">
        <v>1</v>
      </c>
      <c r="C7" s="153" t="s">
        <v>132</v>
      </c>
      <c r="D7" s="152" t="s">
        <v>9</v>
      </c>
      <c r="E7" s="154">
        <v>91203011680</v>
      </c>
      <c r="F7" s="152" t="s">
        <v>15</v>
      </c>
      <c r="G7" s="152" t="s">
        <v>16</v>
      </c>
      <c r="H7" s="143"/>
      <c r="I7" s="143">
        <f>H7*N$4</f>
        <v>0</v>
      </c>
      <c r="J7" s="143"/>
      <c r="K7" s="143">
        <f>I7-J7</f>
        <v>0</v>
      </c>
      <c r="L7" s="155"/>
      <c r="M7" s="136" t="s">
        <v>167</v>
      </c>
      <c r="N7" s="76"/>
      <c r="O7" s="1"/>
      <c r="P7" s="88" t="s">
        <v>26</v>
      </c>
    </row>
    <row r="8" spans="1:18" ht="16.5" customHeight="1" x14ac:dyDescent="0.25">
      <c r="A8" s="198"/>
      <c r="B8" s="64">
        <f>B7+1</f>
        <v>2</v>
      </c>
      <c r="C8" s="65" t="s">
        <v>150</v>
      </c>
      <c r="D8" s="75" t="s">
        <v>28</v>
      </c>
      <c r="E8" s="75">
        <v>42094001136</v>
      </c>
      <c r="F8" s="75" t="s">
        <v>15</v>
      </c>
      <c r="G8" s="75" t="s">
        <v>36</v>
      </c>
      <c r="H8" s="68">
        <v>1200000</v>
      </c>
      <c r="I8" s="68">
        <f>H8*N$4</f>
        <v>720000</v>
      </c>
      <c r="J8" s="68">
        <v>600000</v>
      </c>
      <c r="K8" s="68">
        <v>0</v>
      </c>
      <c r="L8" s="88" t="s">
        <v>26</v>
      </c>
      <c r="M8" s="76" t="s">
        <v>166</v>
      </c>
      <c r="N8" s="76"/>
      <c r="O8" s="1"/>
      <c r="P8" s="82" t="s">
        <v>72</v>
      </c>
    </row>
    <row r="9" spans="1:18" ht="16.5" customHeight="1" x14ac:dyDescent="0.25">
      <c r="A9" s="198"/>
      <c r="B9" s="64">
        <f t="shared" ref="B9:B10" si="0">B8+1</f>
        <v>3</v>
      </c>
      <c r="C9" s="65" t="s">
        <v>134</v>
      </c>
      <c r="D9" s="66" t="s">
        <v>101</v>
      </c>
      <c r="E9" s="66">
        <v>70081001153</v>
      </c>
      <c r="F9" s="66" t="s">
        <v>102</v>
      </c>
      <c r="G9" s="66" t="s">
        <v>83</v>
      </c>
      <c r="H9" s="68">
        <v>700000</v>
      </c>
      <c r="I9" s="68">
        <f>H9*N$4</f>
        <v>420000</v>
      </c>
      <c r="J9" s="74">
        <v>420000</v>
      </c>
      <c r="K9" s="68">
        <f t="shared" ref="K9:K10" si="1">I9-J9</f>
        <v>0</v>
      </c>
      <c r="L9" s="88" t="s">
        <v>26</v>
      </c>
      <c r="M9" s="115"/>
      <c r="N9" s="79"/>
      <c r="O9" s="1"/>
      <c r="P9" s="1"/>
    </row>
    <row r="10" spans="1:18" ht="16.5" customHeight="1" x14ac:dyDescent="0.25">
      <c r="A10" s="198"/>
      <c r="B10" s="64">
        <f t="shared" si="0"/>
        <v>4</v>
      </c>
      <c r="C10" s="71" t="s">
        <v>135</v>
      </c>
      <c r="D10" s="73" t="s">
        <v>106</v>
      </c>
      <c r="E10" s="73">
        <v>27068001194</v>
      </c>
      <c r="F10" s="73" t="s">
        <v>105</v>
      </c>
      <c r="G10" s="127" t="s">
        <v>73</v>
      </c>
      <c r="H10" s="74">
        <v>1000000</v>
      </c>
      <c r="I10" s="68">
        <f>H10*N$4</f>
        <v>600000</v>
      </c>
      <c r="J10" s="74">
        <v>600000</v>
      </c>
      <c r="K10" s="68">
        <f t="shared" si="1"/>
        <v>0</v>
      </c>
      <c r="L10" s="88" t="s">
        <v>26</v>
      </c>
      <c r="M10" s="76"/>
      <c r="N10" s="76"/>
      <c r="O10" s="1"/>
      <c r="P10" s="200" t="s">
        <v>29</v>
      </c>
      <c r="Q10" s="200"/>
      <c r="R10" s="195">
        <f>SUM(H7:H999)</f>
        <v>25750000</v>
      </c>
    </row>
    <row r="11" spans="1:18" ht="16.5" customHeight="1" x14ac:dyDescent="0.25">
      <c r="A11" s="199"/>
      <c r="H11" s="146"/>
      <c r="I11" s="146"/>
      <c r="J11" s="146"/>
      <c r="K11" s="146"/>
      <c r="M11" s="79"/>
      <c r="N11" s="79"/>
      <c r="O11" s="1"/>
      <c r="P11" s="200"/>
      <c r="Q11" s="200"/>
      <c r="R11" s="195"/>
    </row>
    <row r="12" spans="1:18" ht="16.5" customHeight="1" x14ac:dyDescent="0.25">
      <c r="A12" s="107"/>
      <c r="B12" s="89"/>
      <c r="C12" s="90"/>
      <c r="D12" s="89"/>
      <c r="E12" s="91"/>
      <c r="F12" s="92"/>
      <c r="G12" s="93"/>
      <c r="H12" s="94"/>
      <c r="I12" s="94"/>
      <c r="J12" s="147"/>
      <c r="K12" s="123"/>
      <c r="L12" s="96"/>
      <c r="M12" s="97"/>
      <c r="N12" s="97"/>
      <c r="O12" s="1"/>
      <c r="P12" s="194" t="s">
        <v>143</v>
      </c>
      <c r="Q12" s="194"/>
      <c r="R12" s="195">
        <f>SUM(I7:I999)</f>
        <v>15450000</v>
      </c>
    </row>
    <row r="13" spans="1:18" ht="22.5" customHeight="1" x14ac:dyDescent="0.25">
      <c r="A13" s="201" t="s">
        <v>118</v>
      </c>
      <c r="B13" s="64">
        <v>1</v>
      </c>
      <c r="C13" s="77" t="s">
        <v>40</v>
      </c>
      <c r="D13" s="66" t="s">
        <v>8</v>
      </c>
      <c r="E13" s="67">
        <v>38096003688</v>
      </c>
      <c r="F13" s="66" t="s">
        <v>13</v>
      </c>
      <c r="G13" s="66" t="s">
        <v>14</v>
      </c>
      <c r="H13" s="68">
        <v>1500000</v>
      </c>
      <c r="I13" s="68">
        <f t="shared" ref="I13:I21" si="2">H13*N$4</f>
        <v>900000</v>
      </c>
      <c r="J13" s="68">
        <v>900000</v>
      </c>
      <c r="K13" s="68">
        <f t="shared" ref="K13:K14" si="3">I13-J13</f>
        <v>0</v>
      </c>
      <c r="L13" s="87" t="s">
        <v>69</v>
      </c>
      <c r="M13" s="76"/>
      <c r="N13" s="76"/>
      <c r="O13" s="1"/>
      <c r="P13" s="194"/>
      <c r="Q13" s="194"/>
      <c r="R13" s="195"/>
    </row>
    <row r="14" spans="1:18" ht="16.5" customHeight="1" x14ac:dyDescent="0.25">
      <c r="A14" s="202"/>
      <c r="B14" s="64">
        <f>B13+1</f>
        <v>2</v>
      </c>
      <c r="C14" s="78" t="s">
        <v>67</v>
      </c>
      <c r="D14" s="73" t="s">
        <v>11</v>
      </c>
      <c r="E14" s="72">
        <v>89099008054</v>
      </c>
      <c r="F14" s="73" t="s">
        <v>18</v>
      </c>
      <c r="G14" s="73" t="s">
        <v>48</v>
      </c>
      <c r="H14" s="74">
        <v>1450000</v>
      </c>
      <c r="I14" s="68">
        <f t="shared" si="2"/>
        <v>870000</v>
      </c>
      <c r="J14" s="74">
        <v>870000</v>
      </c>
      <c r="K14" s="68">
        <f t="shared" si="3"/>
        <v>0</v>
      </c>
      <c r="L14" s="87" t="s">
        <v>69</v>
      </c>
      <c r="M14" s="79"/>
      <c r="N14" s="79"/>
      <c r="O14" s="1"/>
      <c r="P14" s="194"/>
      <c r="Q14" s="194"/>
      <c r="R14" s="195"/>
    </row>
    <row r="15" spans="1:18" ht="22.5" customHeight="1" x14ac:dyDescent="0.3">
      <c r="A15" s="202"/>
      <c r="B15" s="64">
        <f t="shared" ref="B15:B25" si="4">B14+1</f>
        <v>3</v>
      </c>
      <c r="C15" s="77" t="s">
        <v>43</v>
      </c>
      <c r="D15" s="75" t="s">
        <v>23</v>
      </c>
      <c r="E15" s="75">
        <v>42088019031</v>
      </c>
      <c r="F15" s="75" t="s">
        <v>21</v>
      </c>
      <c r="G15" s="75" t="s">
        <v>22</v>
      </c>
      <c r="H15" s="68">
        <v>1360000</v>
      </c>
      <c r="I15" s="68">
        <f t="shared" si="2"/>
        <v>816000</v>
      </c>
      <c r="J15" s="74">
        <v>816000</v>
      </c>
      <c r="K15" s="68">
        <f t="shared" ref="K15:K21" si="5">I15-J15</f>
        <v>0</v>
      </c>
      <c r="L15" s="87" t="s">
        <v>69</v>
      </c>
      <c r="M15" s="76"/>
      <c r="N15" s="85"/>
      <c r="O15" s="1"/>
      <c r="P15" s="196" t="s">
        <v>117</v>
      </c>
      <c r="Q15" s="196"/>
      <c r="R15" s="130">
        <f>SUM(J7:J98)</f>
        <v>15330000</v>
      </c>
    </row>
    <row r="16" spans="1:18" ht="16.5" customHeight="1" x14ac:dyDescent="0.25">
      <c r="A16" s="202"/>
      <c r="B16" s="64">
        <f t="shared" si="4"/>
        <v>4</v>
      </c>
      <c r="C16" s="77"/>
      <c r="D16" s="75"/>
      <c r="E16" s="75"/>
      <c r="F16" s="75"/>
      <c r="G16" s="75"/>
      <c r="H16" s="68"/>
      <c r="I16" s="68"/>
      <c r="J16" s="68"/>
      <c r="K16" s="68"/>
      <c r="L16" s="87"/>
      <c r="M16" s="76"/>
      <c r="N16" s="76"/>
      <c r="O16" s="1"/>
      <c r="P16" s="1"/>
    </row>
    <row r="17" spans="1:16" ht="16.5" customHeight="1" x14ac:dyDescent="0.25">
      <c r="A17" s="202"/>
      <c r="B17" s="64">
        <f t="shared" si="4"/>
        <v>5</v>
      </c>
      <c r="C17" s="77" t="s">
        <v>79</v>
      </c>
      <c r="D17" s="75" t="s">
        <v>61</v>
      </c>
      <c r="E17" s="75">
        <v>95095009661</v>
      </c>
      <c r="F17" s="75" t="s">
        <v>62</v>
      </c>
      <c r="G17" s="75" t="s">
        <v>27</v>
      </c>
      <c r="H17" s="68">
        <v>1450000</v>
      </c>
      <c r="I17" s="68">
        <f t="shared" si="2"/>
        <v>870000</v>
      </c>
      <c r="J17" s="74">
        <v>870000</v>
      </c>
      <c r="K17" s="68">
        <f t="shared" si="5"/>
        <v>0</v>
      </c>
      <c r="L17" s="87" t="s">
        <v>69</v>
      </c>
      <c r="M17" s="80"/>
      <c r="N17" s="85"/>
      <c r="O17" s="1"/>
      <c r="P17" s="1"/>
    </row>
    <row r="18" spans="1:16" ht="16.5" customHeight="1" x14ac:dyDescent="0.25">
      <c r="A18" s="202"/>
      <c r="B18" s="64">
        <f t="shared" si="4"/>
        <v>6</v>
      </c>
      <c r="C18" s="77" t="s">
        <v>98</v>
      </c>
      <c r="D18" s="75" t="s">
        <v>63</v>
      </c>
      <c r="E18" s="81">
        <v>91085001515</v>
      </c>
      <c r="F18" s="66" t="s">
        <v>18</v>
      </c>
      <c r="G18" s="75" t="s">
        <v>57</v>
      </c>
      <c r="H18" s="68">
        <v>1800000</v>
      </c>
      <c r="I18" s="68">
        <f t="shared" si="2"/>
        <v>1080000</v>
      </c>
      <c r="J18" s="74">
        <v>1080000</v>
      </c>
      <c r="K18" s="68">
        <f t="shared" si="5"/>
        <v>0</v>
      </c>
      <c r="L18" s="87" t="s">
        <v>69</v>
      </c>
      <c r="M18" s="76"/>
      <c r="N18" s="76"/>
      <c r="O18" s="1"/>
      <c r="P18" s="1"/>
    </row>
    <row r="19" spans="1:16" ht="16.5" customHeight="1" x14ac:dyDescent="0.25">
      <c r="A19" s="202"/>
      <c r="B19" s="64">
        <f t="shared" si="4"/>
        <v>7</v>
      </c>
      <c r="C19" s="77" t="s">
        <v>52</v>
      </c>
      <c r="D19" s="64" t="s">
        <v>54</v>
      </c>
      <c r="E19" s="64" t="s">
        <v>94</v>
      </c>
      <c r="F19" s="64" t="s">
        <v>53</v>
      </c>
      <c r="G19" s="64" t="s">
        <v>35</v>
      </c>
      <c r="H19" s="68">
        <v>1880000</v>
      </c>
      <c r="I19" s="68">
        <f t="shared" si="2"/>
        <v>1128000</v>
      </c>
      <c r="J19" s="68">
        <v>1128000</v>
      </c>
      <c r="K19" s="68">
        <f t="shared" si="5"/>
        <v>0</v>
      </c>
      <c r="L19" s="87" t="s">
        <v>69</v>
      </c>
      <c r="M19" s="76"/>
      <c r="N19" s="76"/>
      <c r="O19" s="1"/>
      <c r="P19" s="1"/>
    </row>
    <row r="20" spans="1:16" ht="16.5" customHeight="1" x14ac:dyDescent="0.25">
      <c r="A20" s="202"/>
      <c r="B20" s="64">
        <f t="shared" si="4"/>
        <v>8</v>
      </c>
      <c r="C20" s="78" t="s">
        <v>92</v>
      </c>
      <c r="D20" s="70" t="s">
        <v>88</v>
      </c>
      <c r="E20" s="70" t="s">
        <v>89</v>
      </c>
      <c r="F20" s="70" t="s">
        <v>90</v>
      </c>
      <c r="G20" s="64" t="s">
        <v>137</v>
      </c>
      <c r="H20" s="74">
        <v>3150000</v>
      </c>
      <c r="I20" s="68">
        <f t="shared" si="2"/>
        <v>1890000</v>
      </c>
      <c r="J20" s="68">
        <v>1890000</v>
      </c>
      <c r="K20" s="68">
        <f t="shared" si="5"/>
        <v>0</v>
      </c>
      <c r="L20" s="87" t="s">
        <v>69</v>
      </c>
      <c r="M20" s="79"/>
      <c r="N20" s="76"/>
      <c r="O20" s="1"/>
      <c r="P20" s="1"/>
    </row>
    <row r="21" spans="1:16" ht="16.5" customHeight="1" x14ac:dyDescent="0.25">
      <c r="A21" s="202"/>
      <c r="B21" s="64">
        <f t="shared" si="4"/>
        <v>9</v>
      </c>
      <c r="C21" s="78" t="s">
        <v>131</v>
      </c>
      <c r="D21" s="105"/>
      <c r="E21" s="105"/>
      <c r="F21" s="105"/>
      <c r="G21" s="122" t="s">
        <v>93</v>
      </c>
      <c r="H21" s="74">
        <v>1440000</v>
      </c>
      <c r="I21" s="68">
        <f t="shared" si="2"/>
        <v>864000</v>
      </c>
      <c r="J21" s="74">
        <v>864000</v>
      </c>
      <c r="K21" s="68">
        <f t="shared" si="5"/>
        <v>0</v>
      </c>
      <c r="L21" s="87" t="s">
        <v>69</v>
      </c>
      <c r="M21" s="121" t="s">
        <v>124</v>
      </c>
      <c r="N21" s="76"/>
      <c r="O21" s="1"/>
      <c r="P21" s="1"/>
    </row>
    <row r="22" spans="1:16" ht="16.5" customHeight="1" x14ac:dyDescent="0.25">
      <c r="A22" s="202"/>
      <c r="B22" s="64">
        <f t="shared" si="4"/>
        <v>10</v>
      </c>
      <c r="C22" s="145"/>
      <c r="D22" s="145"/>
      <c r="E22" s="145"/>
      <c r="F22" s="145"/>
      <c r="G22" s="145"/>
      <c r="H22" s="145"/>
      <c r="I22" s="145"/>
      <c r="J22" s="145"/>
      <c r="K22" s="145"/>
      <c r="L22" s="145"/>
      <c r="M22" s="145"/>
      <c r="N22" s="145"/>
      <c r="O22" s="1"/>
      <c r="P22" s="1"/>
    </row>
    <row r="23" spans="1:16" ht="16.5" customHeight="1" x14ac:dyDescent="0.25">
      <c r="A23" s="202"/>
      <c r="B23" s="64">
        <f t="shared" si="4"/>
        <v>11</v>
      </c>
      <c r="C23" s="65" t="s">
        <v>139</v>
      </c>
      <c r="D23" s="66"/>
      <c r="E23" s="66"/>
      <c r="F23" s="66"/>
      <c r="G23" s="75" t="s">
        <v>25</v>
      </c>
      <c r="H23" s="134">
        <v>1330000</v>
      </c>
      <c r="I23" s="132">
        <f>H23*N$4</f>
        <v>798000</v>
      </c>
      <c r="J23" s="132">
        <v>798000</v>
      </c>
      <c r="K23" s="132">
        <f>I23-J23</f>
        <v>0</v>
      </c>
      <c r="L23" s="87" t="s">
        <v>69</v>
      </c>
      <c r="M23" s="145"/>
      <c r="N23" s="79"/>
      <c r="O23" s="1"/>
      <c r="P23" s="1"/>
    </row>
    <row r="24" spans="1:16" ht="16.5" customHeight="1" x14ac:dyDescent="0.25">
      <c r="A24" s="202"/>
      <c r="B24" s="64">
        <f t="shared" si="4"/>
        <v>12</v>
      </c>
      <c r="C24" s="65" t="s">
        <v>138</v>
      </c>
      <c r="D24" s="75"/>
      <c r="E24" s="75"/>
      <c r="F24" s="75"/>
      <c r="G24" s="64" t="s">
        <v>19</v>
      </c>
      <c r="H24" s="134">
        <v>650000</v>
      </c>
      <c r="I24" s="132">
        <f>H24*N$4</f>
        <v>390000</v>
      </c>
      <c r="J24" s="133">
        <v>390000</v>
      </c>
      <c r="K24" s="132">
        <f>I24-J24</f>
        <v>0</v>
      </c>
      <c r="L24" s="87" t="s">
        <v>69</v>
      </c>
      <c r="M24" s="145"/>
      <c r="N24" s="105"/>
      <c r="O24" s="1"/>
      <c r="P24" s="1"/>
    </row>
    <row r="25" spans="1:16" ht="16.5" x14ac:dyDescent="0.25">
      <c r="A25" s="202"/>
      <c r="B25" s="64">
        <f t="shared" si="4"/>
        <v>13</v>
      </c>
      <c r="C25" s="65" t="s">
        <v>148</v>
      </c>
      <c r="D25" s="110"/>
      <c r="E25" s="111"/>
      <c r="F25" s="111"/>
      <c r="G25" s="75" t="s">
        <v>56</v>
      </c>
      <c r="H25" s="68">
        <v>3570000</v>
      </c>
      <c r="I25" s="132">
        <f>H25*N$4</f>
        <v>2142000</v>
      </c>
      <c r="J25" s="68">
        <v>2142000</v>
      </c>
      <c r="K25" s="132">
        <f>I25-J25</f>
        <v>0</v>
      </c>
      <c r="L25" s="87" t="s">
        <v>69</v>
      </c>
      <c r="M25" s="145"/>
      <c r="N25" s="105"/>
      <c r="O25" s="1"/>
      <c r="P25" s="1"/>
    </row>
    <row r="26" spans="1:16" ht="22.15" customHeight="1" x14ac:dyDescent="0.25">
      <c r="A26" s="202"/>
      <c r="B26" s="64">
        <v>1</v>
      </c>
      <c r="C26" s="77" t="s">
        <v>41</v>
      </c>
      <c r="D26" s="66" t="s">
        <v>10</v>
      </c>
      <c r="E26" s="67">
        <v>89078016404</v>
      </c>
      <c r="F26" s="66" t="s">
        <v>18</v>
      </c>
      <c r="G26" s="66" t="s">
        <v>17</v>
      </c>
      <c r="H26" s="135">
        <v>3270000</v>
      </c>
      <c r="I26" s="132">
        <f>H26*N$4</f>
        <v>1962000</v>
      </c>
      <c r="J26" s="133">
        <v>1962000</v>
      </c>
      <c r="K26" s="132">
        <f>I26-J26</f>
        <v>0</v>
      </c>
      <c r="L26" s="87" t="s">
        <v>69</v>
      </c>
      <c r="M26" s="136"/>
      <c r="N26" s="76"/>
      <c r="O26" s="1"/>
      <c r="P26" s="1"/>
    </row>
    <row r="27" spans="1:16" ht="20.45" customHeight="1" x14ac:dyDescent="0.25">
      <c r="A27" s="202"/>
      <c r="B27" s="64">
        <f>B26+1</f>
        <v>2</v>
      </c>
      <c r="C27" s="145"/>
      <c r="D27" s="145"/>
      <c r="E27" s="145"/>
      <c r="F27" s="145"/>
      <c r="G27" s="75" t="s">
        <v>168</v>
      </c>
      <c r="H27" s="145"/>
      <c r="I27" s="145"/>
      <c r="J27" s="145"/>
      <c r="K27" s="145"/>
      <c r="L27" s="145"/>
      <c r="M27" s="136"/>
      <c r="N27" s="76"/>
      <c r="O27" s="1"/>
      <c r="P27" s="1"/>
    </row>
    <row r="28" spans="1:16" ht="16.5" customHeight="1" x14ac:dyDescent="0.25">
      <c r="A28" s="202"/>
      <c r="B28" s="70">
        <f>B27+1</f>
        <v>3</v>
      </c>
      <c r="C28" s="145"/>
      <c r="D28" s="145"/>
      <c r="E28" s="145"/>
      <c r="F28" s="145"/>
      <c r="G28" s="145"/>
      <c r="H28" s="145"/>
      <c r="I28" s="145"/>
      <c r="J28" s="145"/>
      <c r="K28" s="145"/>
      <c r="L28" s="145"/>
      <c r="M28" s="115"/>
      <c r="N28" s="79"/>
    </row>
    <row r="29" spans="1:16" ht="16.5" customHeight="1" x14ac:dyDescent="0.25">
      <c r="A29" s="202"/>
      <c r="B29" s="64">
        <f>B28+1</f>
        <v>4</v>
      </c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76"/>
      <c r="N29" s="76"/>
    </row>
    <row r="30" spans="1:16" ht="16.5" customHeight="1" x14ac:dyDescent="0.25">
      <c r="A30" s="202"/>
      <c r="B30" s="70">
        <f>B29+1</f>
        <v>5</v>
      </c>
      <c r="C30" s="71"/>
      <c r="D30" s="73"/>
      <c r="E30" s="73"/>
      <c r="F30" s="73"/>
      <c r="G30" s="73"/>
      <c r="H30" s="135"/>
      <c r="I30" s="132"/>
      <c r="J30" s="133"/>
      <c r="K30" s="132"/>
      <c r="L30" s="131"/>
      <c r="M30" s="79"/>
      <c r="N30" s="79"/>
    </row>
    <row r="31" spans="1:16" ht="15" customHeight="1" x14ac:dyDescent="0.25"/>
    <row r="32" spans="1:16" ht="15" customHeight="1" x14ac:dyDescent="0.25"/>
    <row r="39" spans="4:8" x14ac:dyDescent="0.25">
      <c r="E39" s="1"/>
      <c r="G39" s="25"/>
      <c r="H39" s="1"/>
    </row>
    <row r="40" spans="4:8" x14ac:dyDescent="0.25">
      <c r="D40" s="1"/>
      <c r="E40" s="1"/>
      <c r="F40" s="1"/>
      <c r="G40" s="1"/>
      <c r="H40" s="1"/>
    </row>
  </sheetData>
  <mergeCells count="8">
    <mergeCell ref="B3:K3"/>
    <mergeCell ref="A7:A11"/>
    <mergeCell ref="P10:Q11"/>
    <mergeCell ref="R10:R11"/>
    <mergeCell ref="P12:Q14"/>
    <mergeCell ref="R12:R14"/>
    <mergeCell ref="A13:A30"/>
    <mergeCell ref="P15:Q15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725FD-5190-4635-AD12-1012172823DC}">
  <sheetPr codeName="Sheet24"/>
  <dimension ref="A1:R40"/>
  <sheetViews>
    <sheetView topLeftCell="A2" zoomScale="85" zoomScaleNormal="85" workbookViewId="0">
      <selection activeCell="M18" sqref="M18"/>
    </sheetView>
  </sheetViews>
  <sheetFormatPr defaultRowHeight="15" x14ac:dyDescent="0.25"/>
  <cols>
    <col min="1" max="1" width="23.140625" customWidth="1"/>
    <col min="3" max="3" width="35.28515625" customWidth="1"/>
    <col min="4" max="4" width="19.85546875" hidden="1" customWidth="1"/>
    <col min="5" max="5" width="19.28515625" hidden="1" customWidth="1"/>
    <col min="6" max="6" width="26.42578125" hidden="1" customWidth="1"/>
    <col min="7" max="7" width="19.5703125" customWidth="1"/>
    <col min="8" max="8" width="20.42578125" customWidth="1"/>
    <col min="9" max="9" width="22.5703125" customWidth="1"/>
    <col min="10" max="10" width="20.140625" customWidth="1"/>
    <col min="11" max="12" width="19.42578125" customWidth="1"/>
    <col min="13" max="13" width="37" customWidth="1"/>
    <col min="14" max="14" width="14.140625" customWidth="1"/>
    <col min="16" max="16" width="18.5703125" customWidth="1"/>
    <col min="17" max="17" width="22.5703125" customWidth="1"/>
    <col min="18" max="18" width="21.28515625" customWidth="1"/>
  </cols>
  <sheetData>
    <row r="1" spans="1:18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8" x14ac:dyDescent="0.25">
      <c r="A2" s="1"/>
      <c r="L2" s="1"/>
      <c r="M2" s="1"/>
      <c r="N2" s="1"/>
      <c r="O2" s="1"/>
      <c r="P2" s="1"/>
    </row>
    <row r="3" spans="1:18" ht="27.75" x14ac:dyDescent="0.25">
      <c r="A3" s="1"/>
      <c r="B3" s="183" t="s">
        <v>31</v>
      </c>
      <c r="C3" s="183"/>
      <c r="D3" s="183"/>
      <c r="E3" s="183"/>
      <c r="F3" s="183"/>
      <c r="G3" s="183"/>
      <c r="H3" s="183"/>
      <c r="I3" s="183"/>
      <c r="J3" s="183"/>
      <c r="K3" s="183"/>
      <c r="L3" s="1"/>
      <c r="M3" s="1"/>
      <c r="N3" s="1"/>
      <c r="O3" s="1"/>
      <c r="P3" s="1"/>
    </row>
    <row r="4" spans="1:18" ht="30.75" x14ac:dyDescent="0.3">
      <c r="A4" s="1"/>
      <c r="C4" s="117"/>
      <c r="D4" s="117"/>
      <c r="E4" s="117"/>
      <c r="H4" s="116" t="s">
        <v>169</v>
      </c>
      <c r="I4" s="117"/>
      <c r="J4" s="117"/>
      <c r="K4" s="117"/>
      <c r="L4" s="1"/>
      <c r="M4" s="23" t="s">
        <v>65</v>
      </c>
      <c r="N4" s="24">
        <v>0.6</v>
      </c>
      <c r="O4" s="1"/>
      <c r="P4" s="1"/>
    </row>
    <row r="5" spans="1:18" ht="12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8" ht="53.25" customHeight="1" x14ac:dyDescent="0.25">
      <c r="A6" s="105"/>
      <c r="B6" s="137" t="s">
        <v>0</v>
      </c>
      <c r="C6" s="137" t="s">
        <v>1</v>
      </c>
      <c r="D6" s="137" t="s">
        <v>50</v>
      </c>
      <c r="E6" s="137" t="s">
        <v>2</v>
      </c>
      <c r="F6" s="137" t="s">
        <v>3</v>
      </c>
      <c r="G6" s="137" t="s">
        <v>49</v>
      </c>
      <c r="H6" s="137" t="s">
        <v>4</v>
      </c>
      <c r="I6" s="138" t="s">
        <v>142</v>
      </c>
      <c r="J6" s="137" t="s">
        <v>115</v>
      </c>
      <c r="K6" s="137" t="s">
        <v>116</v>
      </c>
      <c r="L6" s="137" t="s">
        <v>7</v>
      </c>
      <c r="M6" s="137" t="s">
        <v>34</v>
      </c>
      <c r="N6" s="137" t="s">
        <v>51</v>
      </c>
      <c r="O6" s="1"/>
      <c r="P6" s="87" t="s">
        <v>69</v>
      </c>
    </row>
    <row r="7" spans="1:18" ht="34.5" customHeight="1" x14ac:dyDescent="0.25">
      <c r="A7" s="197" t="s">
        <v>119</v>
      </c>
      <c r="B7" s="64">
        <v>1</v>
      </c>
      <c r="C7" s="65" t="s">
        <v>132</v>
      </c>
      <c r="D7" s="66" t="s">
        <v>9</v>
      </c>
      <c r="E7" s="67">
        <v>91203011680</v>
      </c>
      <c r="F7" s="66" t="s">
        <v>15</v>
      </c>
      <c r="G7" s="66" t="s">
        <v>16</v>
      </c>
      <c r="H7" s="68">
        <v>1200000</v>
      </c>
      <c r="I7" s="68">
        <f>H7*N$4</f>
        <v>720000</v>
      </c>
      <c r="J7" s="68">
        <v>720000</v>
      </c>
      <c r="K7" s="68">
        <f>I7-J7</f>
        <v>0</v>
      </c>
      <c r="L7" s="88" t="s">
        <v>26</v>
      </c>
      <c r="M7" s="136"/>
      <c r="N7" s="76"/>
      <c r="O7" s="1"/>
      <c r="P7" s="88" t="s">
        <v>26</v>
      </c>
    </row>
    <row r="8" spans="1:18" ht="16.5" customHeight="1" x14ac:dyDescent="0.25">
      <c r="A8" s="198"/>
      <c r="B8" s="64">
        <f>B7+1</f>
        <v>2</v>
      </c>
      <c r="C8" s="65" t="s">
        <v>150</v>
      </c>
      <c r="D8" s="75" t="s">
        <v>28</v>
      </c>
      <c r="E8" s="75">
        <v>42094001136</v>
      </c>
      <c r="F8" s="75" t="s">
        <v>15</v>
      </c>
      <c r="G8" s="75" t="s">
        <v>36</v>
      </c>
      <c r="H8" s="68">
        <v>1160000</v>
      </c>
      <c r="I8" s="68">
        <f>H8*N$4</f>
        <v>696000</v>
      </c>
      <c r="J8" s="68">
        <v>580000</v>
      </c>
      <c r="K8" s="68">
        <v>0</v>
      </c>
      <c r="L8" s="88" t="s">
        <v>26</v>
      </c>
      <c r="M8" s="76" t="s">
        <v>171</v>
      </c>
      <c r="N8" s="76"/>
      <c r="O8" s="1"/>
      <c r="P8" s="82" t="s">
        <v>72</v>
      </c>
    </row>
    <row r="9" spans="1:18" ht="16.5" customHeight="1" x14ac:dyDescent="0.25">
      <c r="A9" s="198"/>
      <c r="B9" s="64">
        <f t="shared" ref="B9:B10" si="0">B8+1</f>
        <v>3</v>
      </c>
      <c r="C9" s="65" t="s">
        <v>134</v>
      </c>
      <c r="D9" s="66" t="s">
        <v>101</v>
      </c>
      <c r="E9" s="66">
        <v>70081001153</v>
      </c>
      <c r="F9" s="66" t="s">
        <v>102</v>
      </c>
      <c r="G9" s="66" t="s">
        <v>83</v>
      </c>
      <c r="H9" s="68">
        <v>900000</v>
      </c>
      <c r="I9" s="68">
        <f>H9*N$4</f>
        <v>540000</v>
      </c>
      <c r="J9" s="74">
        <v>540000</v>
      </c>
      <c r="K9" s="68">
        <f t="shared" ref="K9:K10" si="1">I9-J9</f>
        <v>0</v>
      </c>
      <c r="L9" s="88" t="s">
        <v>26</v>
      </c>
      <c r="M9" s="115"/>
      <c r="N9" s="79"/>
      <c r="O9" s="1"/>
      <c r="P9" s="1"/>
    </row>
    <row r="10" spans="1:18" ht="16.5" customHeight="1" x14ac:dyDescent="0.25">
      <c r="A10" s="198"/>
      <c r="B10" s="64">
        <f t="shared" si="0"/>
        <v>4</v>
      </c>
      <c r="C10" s="71" t="s">
        <v>135</v>
      </c>
      <c r="D10" s="73" t="s">
        <v>106</v>
      </c>
      <c r="E10" s="73">
        <v>27068001194</v>
      </c>
      <c r="F10" s="73" t="s">
        <v>105</v>
      </c>
      <c r="G10" s="127" t="s">
        <v>73</v>
      </c>
      <c r="H10" s="74">
        <v>1100000</v>
      </c>
      <c r="I10" s="68">
        <f>H10*N$4</f>
        <v>660000</v>
      </c>
      <c r="J10" s="74">
        <v>660000</v>
      </c>
      <c r="K10" s="68">
        <f t="shared" si="1"/>
        <v>0</v>
      </c>
      <c r="L10" s="88" t="s">
        <v>26</v>
      </c>
      <c r="M10" s="76"/>
      <c r="N10" s="76"/>
      <c r="O10" s="1"/>
      <c r="P10" s="200" t="s">
        <v>29</v>
      </c>
      <c r="Q10" s="200"/>
      <c r="R10" s="195">
        <f>SUM(H7:H999)</f>
        <v>24922000</v>
      </c>
    </row>
    <row r="11" spans="1:18" ht="16.5" customHeight="1" x14ac:dyDescent="0.25">
      <c r="A11" s="199"/>
      <c r="H11" s="146"/>
      <c r="I11" s="146"/>
      <c r="J11" s="146"/>
      <c r="K11" s="146"/>
      <c r="M11" s="79"/>
      <c r="N11" s="79"/>
      <c r="O11" s="1"/>
      <c r="P11" s="200"/>
      <c r="Q11" s="200"/>
      <c r="R11" s="195"/>
    </row>
    <row r="12" spans="1:18" ht="16.5" customHeight="1" x14ac:dyDescent="0.25">
      <c r="A12" s="107"/>
      <c r="B12" s="89"/>
      <c r="C12" s="90"/>
      <c r="D12" s="89"/>
      <c r="E12" s="91"/>
      <c r="F12" s="92"/>
      <c r="G12" s="93"/>
      <c r="H12" s="94"/>
      <c r="I12" s="94"/>
      <c r="J12" s="147"/>
      <c r="K12" s="123"/>
      <c r="L12" s="96"/>
      <c r="M12" s="97"/>
      <c r="N12" s="97"/>
      <c r="O12" s="1"/>
      <c r="P12" s="194" t="s">
        <v>143</v>
      </c>
      <c r="Q12" s="194"/>
      <c r="R12" s="195">
        <f>SUM(I7:I999)</f>
        <v>14953200</v>
      </c>
    </row>
    <row r="13" spans="1:18" ht="22.5" customHeight="1" x14ac:dyDescent="0.25">
      <c r="A13" s="201" t="s">
        <v>118</v>
      </c>
      <c r="B13" s="64">
        <v>1</v>
      </c>
      <c r="C13" s="77" t="s">
        <v>40</v>
      </c>
      <c r="D13" s="66" t="s">
        <v>8</v>
      </c>
      <c r="E13" s="67">
        <v>38096003688</v>
      </c>
      <c r="F13" s="66" t="s">
        <v>13</v>
      </c>
      <c r="G13" s="66" t="s">
        <v>14</v>
      </c>
      <c r="H13" s="68">
        <v>1410000</v>
      </c>
      <c r="I13" s="68">
        <f t="shared" ref="I13:I21" si="2">H13*N$4</f>
        <v>846000</v>
      </c>
      <c r="J13" s="68">
        <v>846000</v>
      </c>
      <c r="K13" s="68">
        <f t="shared" ref="K13:K21" si="3">I13-J13</f>
        <v>0</v>
      </c>
      <c r="L13" s="87" t="s">
        <v>69</v>
      </c>
      <c r="M13" s="76"/>
      <c r="N13" s="76"/>
      <c r="O13" s="1"/>
      <c r="P13" s="194"/>
      <c r="Q13" s="194"/>
      <c r="R13" s="195"/>
    </row>
    <row r="14" spans="1:18" ht="16.5" customHeight="1" x14ac:dyDescent="0.25">
      <c r="A14" s="202"/>
      <c r="B14" s="64">
        <f>B13+1</f>
        <v>2</v>
      </c>
      <c r="C14" s="78" t="s">
        <v>67</v>
      </c>
      <c r="D14" s="73" t="s">
        <v>11</v>
      </c>
      <c r="E14" s="72">
        <v>89099008054</v>
      </c>
      <c r="F14" s="73" t="s">
        <v>18</v>
      </c>
      <c r="G14" s="73" t="s">
        <v>48</v>
      </c>
      <c r="H14" s="74">
        <v>1855000</v>
      </c>
      <c r="I14" s="68">
        <f t="shared" si="2"/>
        <v>1113000</v>
      </c>
      <c r="J14" s="74">
        <v>1113000</v>
      </c>
      <c r="K14" s="68">
        <f t="shared" si="3"/>
        <v>0</v>
      </c>
      <c r="L14" s="87" t="s">
        <v>69</v>
      </c>
      <c r="M14" s="79"/>
      <c r="N14" s="79"/>
      <c r="O14" s="1"/>
      <c r="P14" s="194"/>
      <c r="Q14" s="194"/>
      <c r="R14" s="195"/>
    </row>
    <row r="15" spans="1:18" ht="22.5" customHeight="1" x14ac:dyDescent="0.3">
      <c r="A15" s="202"/>
      <c r="B15" s="64">
        <f t="shared" ref="B15:B30" si="4">B14+1</f>
        <v>3</v>
      </c>
      <c r="C15" s="77" t="s">
        <v>43</v>
      </c>
      <c r="D15" s="75" t="s">
        <v>23</v>
      </c>
      <c r="E15" s="75">
        <v>42088019031</v>
      </c>
      <c r="F15" s="75" t="s">
        <v>21</v>
      </c>
      <c r="G15" s="75" t="s">
        <v>22</v>
      </c>
      <c r="H15" s="68">
        <v>1670000</v>
      </c>
      <c r="I15" s="68">
        <f t="shared" si="2"/>
        <v>1002000</v>
      </c>
      <c r="J15" s="74">
        <v>1002000</v>
      </c>
      <c r="K15" s="68">
        <f t="shared" si="3"/>
        <v>0</v>
      </c>
      <c r="L15" s="87" t="s">
        <v>69</v>
      </c>
      <c r="M15" s="76"/>
      <c r="N15" s="85"/>
      <c r="O15" s="1"/>
      <c r="P15" s="196" t="s">
        <v>117</v>
      </c>
      <c r="Q15" s="196"/>
      <c r="R15" s="130">
        <f>SUM(J7:J98)</f>
        <v>14843000</v>
      </c>
    </row>
    <row r="16" spans="1:18" ht="16.5" customHeight="1" x14ac:dyDescent="0.25">
      <c r="A16" s="202"/>
      <c r="B16" s="64">
        <f t="shared" si="4"/>
        <v>4</v>
      </c>
      <c r="C16" s="77"/>
      <c r="D16" s="75"/>
      <c r="E16" s="75"/>
      <c r="F16" s="75"/>
      <c r="G16" s="75"/>
      <c r="H16" s="68"/>
      <c r="I16" s="68"/>
      <c r="J16" s="68"/>
      <c r="K16" s="68"/>
      <c r="L16" s="145"/>
      <c r="M16" s="76"/>
      <c r="N16" s="76"/>
      <c r="O16" s="1"/>
      <c r="P16" s="1"/>
    </row>
    <row r="17" spans="1:16" ht="16.5" customHeight="1" x14ac:dyDescent="0.25">
      <c r="A17" s="202"/>
      <c r="B17" s="64">
        <f t="shared" si="4"/>
        <v>5</v>
      </c>
      <c r="C17" s="77" t="s">
        <v>79</v>
      </c>
      <c r="D17" s="75" t="s">
        <v>61</v>
      </c>
      <c r="E17" s="75">
        <v>95095009661</v>
      </c>
      <c r="F17" s="75" t="s">
        <v>62</v>
      </c>
      <c r="G17" s="75" t="s">
        <v>27</v>
      </c>
      <c r="H17" s="68">
        <v>1560000</v>
      </c>
      <c r="I17" s="68">
        <f t="shared" si="2"/>
        <v>936000</v>
      </c>
      <c r="J17" s="74">
        <v>936000</v>
      </c>
      <c r="K17" s="68">
        <f t="shared" si="3"/>
        <v>0</v>
      </c>
      <c r="L17" s="87" t="s">
        <v>69</v>
      </c>
      <c r="M17" s="80"/>
      <c r="N17" s="85"/>
      <c r="O17" s="1"/>
      <c r="P17" s="1"/>
    </row>
    <row r="18" spans="1:16" ht="16.5" customHeight="1" x14ac:dyDescent="0.25">
      <c r="A18" s="202"/>
      <c r="B18" s="64">
        <f t="shared" si="4"/>
        <v>6</v>
      </c>
      <c r="C18" s="77" t="s">
        <v>98</v>
      </c>
      <c r="D18" s="75" t="s">
        <v>63</v>
      </c>
      <c r="E18" s="81">
        <v>91085001515</v>
      </c>
      <c r="F18" s="66" t="s">
        <v>18</v>
      </c>
      <c r="G18" s="75" t="s">
        <v>57</v>
      </c>
      <c r="H18" s="68">
        <v>930000</v>
      </c>
      <c r="I18" s="68">
        <f t="shared" si="2"/>
        <v>558000</v>
      </c>
      <c r="J18" s="74">
        <v>558000</v>
      </c>
      <c r="K18" s="68">
        <f t="shared" si="3"/>
        <v>0</v>
      </c>
      <c r="L18" s="87" t="s">
        <v>69</v>
      </c>
      <c r="M18" s="156" t="s">
        <v>173</v>
      </c>
      <c r="N18" s="76"/>
      <c r="O18" s="1"/>
      <c r="P18" s="1"/>
    </row>
    <row r="19" spans="1:16" ht="16.5" customHeight="1" x14ac:dyDescent="0.25">
      <c r="A19" s="202"/>
      <c r="B19" s="64">
        <f t="shared" si="4"/>
        <v>7</v>
      </c>
      <c r="C19" s="77" t="s">
        <v>52</v>
      </c>
      <c r="D19" s="64" t="s">
        <v>54</v>
      </c>
      <c r="E19" s="64" t="s">
        <v>94</v>
      </c>
      <c r="F19" s="64" t="s">
        <v>53</v>
      </c>
      <c r="G19" s="64" t="s">
        <v>35</v>
      </c>
      <c r="H19" s="68">
        <v>1990000</v>
      </c>
      <c r="I19" s="68">
        <f t="shared" si="2"/>
        <v>1194000</v>
      </c>
      <c r="J19" s="68">
        <v>1200000</v>
      </c>
      <c r="K19" s="68">
        <f t="shared" si="3"/>
        <v>-6000</v>
      </c>
      <c r="L19" s="87" t="s">
        <v>69</v>
      </c>
      <c r="M19" s="76" t="s">
        <v>170</v>
      </c>
      <c r="N19" s="76"/>
      <c r="O19" s="1"/>
      <c r="P19" s="1"/>
    </row>
    <row r="20" spans="1:16" ht="16.5" customHeight="1" x14ac:dyDescent="0.25">
      <c r="A20" s="202"/>
      <c r="B20" s="64">
        <f t="shared" si="4"/>
        <v>8</v>
      </c>
      <c r="C20" s="78" t="s">
        <v>92</v>
      </c>
      <c r="D20" s="70" t="s">
        <v>88</v>
      </c>
      <c r="E20" s="70" t="s">
        <v>89</v>
      </c>
      <c r="F20" s="70" t="s">
        <v>90</v>
      </c>
      <c r="G20" s="64" t="s">
        <v>137</v>
      </c>
      <c r="H20" s="74">
        <v>3850000</v>
      </c>
      <c r="I20" s="68">
        <f t="shared" si="2"/>
        <v>2310000</v>
      </c>
      <c r="J20" s="68">
        <v>2310000</v>
      </c>
      <c r="K20" s="68">
        <f t="shared" si="3"/>
        <v>0</v>
      </c>
      <c r="L20" s="87" t="s">
        <v>69</v>
      </c>
      <c r="M20" s="79"/>
      <c r="N20" s="76"/>
      <c r="O20" s="1"/>
      <c r="P20" s="1"/>
    </row>
    <row r="21" spans="1:16" ht="16.5" customHeight="1" x14ac:dyDescent="0.25">
      <c r="A21" s="202"/>
      <c r="B21" s="64">
        <f t="shared" si="4"/>
        <v>9</v>
      </c>
      <c r="C21" s="78" t="s">
        <v>131</v>
      </c>
      <c r="D21" s="105"/>
      <c r="E21" s="105"/>
      <c r="F21" s="105"/>
      <c r="G21" s="122" t="s">
        <v>93</v>
      </c>
      <c r="H21" s="74">
        <v>2952000</v>
      </c>
      <c r="I21" s="68">
        <f t="shared" si="2"/>
        <v>1771200</v>
      </c>
      <c r="J21" s="74">
        <v>1771000</v>
      </c>
      <c r="K21" s="68">
        <f t="shared" si="3"/>
        <v>200</v>
      </c>
      <c r="L21" s="87" t="s">
        <v>69</v>
      </c>
      <c r="M21" s="121" t="s">
        <v>124</v>
      </c>
      <c r="N21" s="76"/>
      <c r="O21" s="1"/>
      <c r="P21" s="1"/>
    </row>
    <row r="22" spans="1:16" ht="16.5" customHeight="1" x14ac:dyDescent="0.25">
      <c r="A22" s="202"/>
      <c r="B22" s="64">
        <f t="shared" si="4"/>
        <v>10</v>
      </c>
      <c r="C22" s="145"/>
      <c r="D22" s="145"/>
      <c r="E22" s="145"/>
      <c r="F22" s="145"/>
      <c r="G22" s="145"/>
      <c r="H22" s="145"/>
      <c r="I22" s="145"/>
      <c r="J22" s="145"/>
      <c r="K22" s="145"/>
      <c r="L22" s="145"/>
      <c r="M22" s="145"/>
      <c r="N22" s="145"/>
      <c r="O22" s="1"/>
      <c r="P22" s="1"/>
    </row>
    <row r="23" spans="1:16" ht="16.5" customHeight="1" x14ac:dyDescent="0.25">
      <c r="A23" s="202"/>
      <c r="B23" s="64">
        <f t="shared" si="4"/>
        <v>11</v>
      </c>
      <c r="C23" s="65" t="s">
        <v>139</v>
      </c>
      <c r="D23" s="66"/>
      <c r="E23" s="66"/>
      <c r="F23" s="66"/>
      <c r="G23" s="75" t="s">
        <v>25</v>
      </c>
      <c r="H23" s="134">
        <v>1100000</v>
      </c>
      <c r="I23" s="132">
        <f>H23*N$4</f>
        <v>660000</v>
      </c>
      <c r="J23" s="132">
        <v>660000</v>
      </c>
      <c r="K23" s="132">
        <f>I23-J23</f>
        <v>0</v>
      </c>
      <c r="L23" s="87" t="s">
        <v>69</v>
      </c>
      <c r="M23" s="161" t="s">
        <v>174</v>
      </c>
      <c r="N23" s="79"/>
      <c r="O23" s="1"/>
      <c r="P23" s="1"/>
    </row>
    <row r="24" spans="1:16" ht="16.5" customHeight="1" x14ac:dyDescent="0.25">
      <c r="A24" s="202"/>
      <c r="B24" s="64">
        <f t="shared" si="4"/>
        <v>12</v>
      </c>
      <c r="C24" s="65" t="s">
        <v>138</v>
      </c>
      <c r="D24" s="75"/>
      <c r="E24" s="75"/>
      <c r="F24" s="75"/>
      <c r="G24" s="64" t="s">
        <v>19</v>
      </c>
      <c r="H24" s="134">
        <v>510000</v>
      </c>
      <c r="I24" s="132">
        <f>H24*N$4</f>
        <v>306000</v>
      </c>
      <c r="J24" s="133">
        <v>306000</v>
      </c>
      <c r="K24" s="132">
        <f>I24-J24</f>
        <v>0</v>
      </c>
      <c r="L24" s="87" t="s">
        <v>69</v>
      </c>
      <c r="M24" s="161" t="s">
        <v>174</v>
      </c>
      <c r="N24" s="105"/>
      <c r="O24" s="1"/>
      <c r="P24" s="1"/>
    </row>
    <row r="25" spans="1:16" ht="16.5" x14ac:dyDescent="0.25">
      <c r="A25" s="202"/>
      <c r="B25" s="64">
        <f t="shared" si="4"/>
        <v>13</v>
      </c>
      <c r="C25" s="65" t="s">
        <v>148</v>
      </c>
      <c r="D25" s="110"/>
      <c r="E25" s="111"/>
      <c r="F25" s="111"/>
      <c r="G25" s="75" t="s">
        <v>56</v>
      </c>
      <c r="H25" s="68">
        <v>1380000</v>
      </c>
      <c r="I25" s="132">
        <f>H25*N$4</f>
        <v>828000</v>
      </c>
      <c r="J25" s="68">
        <v>828000</v>
      </c>
      <c r="K25" s="132">
        <f>I25-J25</f>
        <v>0</v>
      </c>
      <c r="L25" s="87" t="s">
        <v>69</v>
      </c>
      <c r="M25" s="145"/>
      <c r="N25" s="105"/>
      <c r="O25" s="1"/>
      <c r="P25" s="1"/>
    </row>
    <row r="26" spans="1:16" ht="22.15" customHeight="1" x14ac:dyDescent="0.25">
      <c r="A26" s="202"/>
      <c r="B26" s="64">
        <f t="shared" si="4"/>
        <v>14</v>
      </c>
      <c r="C26" s="77" t="s">
        <v>41</v>
      </c>
      <c r="D26" s="66" t="s">
        <v>10</v>
      </c>
      <c r="E26" s="67">
        <v>89078016404</v>
      </c>
      <c r="F26" s="66" t="s">
        <v>18</v>
      </c>
      <c r="G26" s="66" t="s">
        <v>17</v>
      </c>
      <c r="H26" s="135">
        <v>1355000</v>
      </c>
      <c r="I26" s="132">
        <f>H26*N$4</f>
        <v>813000</v>
      </c>
      <c r="J26" s="133">
        <v>813000</v>
      </c>
      <c r="K26" s="132">
        <f>I26-J26</f>
        <v>0</v>
      </c>
      <c r="L26" s="87" t="s">
        <v>69</v>
      </c>
      <c r="M26" s="136"/>
      <c r="N26" s="76"/>
      <c r="O26" s="1"/>
      <c r="P26" s="1"/>
    </row>
    <row r="27" spans="1:16" ht="20.45" customHeight="1" x14ac:dyDescent="0.25">
      <c r="A27" s="202"/>
      <c r="B27" s="64">
        <f t="shared" si="4"/>
        <v>15</v>
      </c>
      <c r="C27" s="145"/>
      <c r="D27" s="145"/>
      <c r="E27" s="145"/>
      <c r="F27" s="145"/>
      <c r="G27" s="75" t="s">
        <v>168</v>
      </c>
      <c r="H27" s="145"/>
      <c r="I27" s="145"/>
      <c r="J27" s="145"/>
      <c r="K27" s="145"/>
      <c r="L27" s="145"/>
      <c r="M27" s="136"/>
      <c r="N27" s="76"/>
      <c r="O27" s="1"/>
      <c r="P27" s="1"/>
    </row>
    <row r="28" spans="1:16" ht="16.5" customHeight="1" x14ac:dyDescent="0.25">
      <c r="A28" s="202"/>
      <c r="B28" s="64">
        <f t="shared" si="4"/>
        <v>16</v>
      </c>
      <c r="C28" s="145"/>
      <c r="D28" s="145"/>
      <c r="E28" s="145"/>
      <c r="F28" s="145"/>
      <c r="G28" s="145"/>
      <c r="H28" s="145"/>
      <c r="I28" s="145"/>
      <c r="J28" s="145"/>
      <c r="K28" s="145"/>
      <c r="L28" s="145"/>
      <c r="M28" s="115"/>
      <c r="N28" s="79"/>
    </row>
    <row r="29" spans="1:16" ht="16.5" customHeight="1" x14ac:dyDescent="0.25">
      <c r="A29" s="202"/>
      <c r="B29" s="64">
        <f t="shared" si="4"/>
        <v>17</v>
      </c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76"/>
      <c r="N29" s="76"/>
    </row>
    <row r="30" spans="1:16" ht="16.5" customHeight="1" x14ac:dyDescent="0.25">
      <c r="A30" s="202"/>
      <c r="B30" s="64">
        <f t="shared" si="4"/>
        <v>18</v>
      </c>
      <c r="C30" s="71"/>
      <c r="D30" s="73"/>
      <c r="E30" s="73"/>
      <c r="F30" s="73"/>
      <c r="G30" s="73"/>
      <c r="H30" s="135"/>
      <c r="I30" s="132"/>
      <c r="J30" s="133"/>
      <c r="K30" s="132"/>
      <c r="L30" s="131"/>
      <c r="M30" s="79"/>
      <c r="N30" s="79"/>
    </row>
    <row r="31" spans="1:16" ht="15" customHeight="1" x14ac:dyDescent="0.25"/>
    <row r="32" spans="1:16" ht="15" customHeight="1" x14ac:dyDescent="0.25"/>
    <row r="39" spans="4:8" x14ac:dyDescent="0.25">
      <c r="E39" s="1"/>
      <c r="G39" s="25"/>
      <c r="H39" s="1"/>
    </row>
    <row r="40" spans="4:8" x14ac:dyDescent="0.25">
      <c r="D40" s="1"/>
      <c r="E40" s="1"/>
      <c r="F40" s="1"/>
      <c r="G40" s="1"/>
      <c r="H40" s="1"/>
    </row>
  </sheetData>
  <mergeCells count="8">
    <mergeCell ref="B3:K3"/>
    <mergeCell ref="A7:A11"/>
    <mergeCell ref="P10:Q11"/>
    <mergeCell ref="R10:R11"/>
    <mergeCell ref="P12:Q14"/>
    <mergeCell ref="R12:R14"/>
    <mergeCell ref="A13:A30"/>
    <mergeCell ref="P15:Q15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4D80E-10F6-44E2-9BC1-2E72F9A95066}">
  <sheetPr codeName="Sheet25"/>
  <dimension ref="A3:R39"/>
  <sheetViews>
    <sheetView topLeftCell="B1" zoomScale="85" zoomScaleNormal="85" workbookViewId="0">
      <selection activeCell="I19" sqref="I19"/>
    </sheetView>
  </sheetViews>
  <sheetFormatPr defaultRowHeight="15" x14ac:dyDescent="0.25"/>
  <cols>
    <col min="1" max="1" width="23.140625" style="1" customWidth="1"/>
    <col min="2" max="2" width="9.140625" style="1"/>
    <col min="3" max="3" width="35.28515625" style="1" customWidth="1"/>
    <col min="4" max="4" width="19.85546875" style="1" hidden="1" customWidth="1"/>
    <col min="5" max="5" width="19.28515625" style="1" hidden="1" customWidth="1"/>
    <col min="6" max="6" width="26.42578125" style="1" hidden="1" customWidth="1"/>
    <col min="7" max="7" width="19.5703125" style="1" customWidth="1"/>
    <col min="8" max="8" width="20.42578125" style="1" customWidth="1"/>
    <col min="9" max="9" width="22.5703125" style="1" customWidth="1"/>
    <col min="10" max="10" width="20.140625" style="1" customWidth="1"/>
    <col min="11" max="12" width="19.42578125" style="1" customWidth="1"/>
    <col min="13" max="13" width="37" style="1" customWidth="1"/>
    <col min="14" max="14" width="14.140625" style="1" customWidth="1"/>
    <col min="15" max="15" width="9.140625" style="1"/>
    <col min="16" max="16" width="18.5703125" style="1" customWidth="1"/>
    <col min="17" max="17" width="22.5703125" style="1" customWidth="1"/>
    <col min="18" max="18" width="21.28515625" style="1" customWidth="1"/>
    <col min="19" max="16384" width="9.140625" style="1"/>
  </cols>
  <sheetData>
    <row r="3" spans="1:18" ht="27.75" x14ac:dyDescent="0.25">
      <c r="B3" s="183" t="s">
        <v>31</v>
      </c>
      <c r="C3" s="183"/>
      <c r="D3" s="183"/>
      <c r="E3" s="183"/>
      <c r="F3" s="183"/>
      <c r="G3" s="183"/>
      <c r="H3" s="183"/>
      <c r="I3" s="183"/>
      <c r="J3" s="183"/>
      <c r="K3" s="183"/>
    </row>
    <row r="4" spans="1:18" ht="30.75" x14ac:dyDescent="0.25">
      <c r="C4" s="117"/>
      <c r="D4" s="117"/>
      <c r="E4" s="117"/>
      <c r="H4" s="116" t="s">
        <v>172</v>
      </c>
      <c r="I4" s="117"/>
      <c r="J4" s="117"/>
      <c r="K4" s="117"/>
    </row>
    <row r="5" spans="1:18" ht="12" customHeight="1" x14ac:dyDescent="0.25"/>
    <row r="6" spans="1:18" ht="53.25" customHeight="1" x14ac:dyDescent="0.25">
      <c r="A6" s="105"/>
      <c r="B6" s="158" t="s">
        <v>0</v>
      </c>
      <c r="C6" s="158" t="s">
        <v>1</v>
      </c>
      <c r="D6" s="158" t="s">
        <v>50</v>
      </c>
      <c r="E6" s="158" t="s">
        <v>2</v>
      </c>
      <c r="F6" s="158" t="s">
        <v>3</v>
      </c>
      <c r="G6" s="158" t="s">
        <v>49</v>
      </c>
      <c r="H6" s="158" t="s">
        <v>4</v>
      </c>
      <c r="I6" s="159" t="s">
        <v>142</v>
      </c>
      <c r="J6" s="158" t="s">
        <v>115</v>
      </c>
      <c r="K6" s="158" t="s">
        <v>116</v>
      </c>
      <c r="L6" s="158" t="s">
        <v>7</v>
      </c>
      <c r="M6" s="158" t="s">
        <v>34</v>
      </c>
      <c r="N6" s="158" t="s">
        <v>51</v>
      </c>
      <c r="P6" s="87" t="s">
        <v>69</v>
      </c>
    </row>
    <row r="7" spans="1:18" ht="34.5" customHeight="1" x14ac:dyDescent="0.25">
      <c r="A7" s="197" t="s">
        <v>119</v>
      </c>
      <c r="B7" s="64">
        <v>1</v>
      </c>
      <c r="C7" s="65" t="s">
        <v>132</v>
      </c>
      <c r="D7" s="66" t="s">
        <v>9</v>
      </c>
      <c r="E7" s="67">
        <v>91203011680</v>
      </c>
      <c r="F7" s="66" t="s">
        <v>15</v>
      </c>
      <c r="G7" s="66" t="s">
        <v>16</v>
      </c>
      <c r="H7" s="68">
        <v>1300000</v>
      </c>
      <c r="I7" s="68">
        <f>H7*Q$18</f>
        <v>780000</v>
      </c>
      <c r="J7" s="68">
        <v>780000</v>
      </c>
      <c r="K7" s="68">
        <f>I7-J7</f>
        <v>0</v>
      </c>
      <c r="L7" s="88" t="s">
        <v>26</v>
      </c>
      <c r="M7" s="136"/>
      <c r="N7" s="76"/>
      <c r="P7" s="88" t="s">
        <v>26</v>
      </c>
    </row>
    <row r="8" spans="1:18" ht="16.5" customHeight="1" x14ac:dyDescent="0.25">
      <c r="A8" s="198"/>
      <c r="B8" s="64">
        <f>B7+1</f>
        <v>2</v>
      </c>
      <c r="C8" s="65" t="s">
        <v>150</v>
      </c>
      <c r="D8" s="75" t="s">
        <v>28</v>
      </c>
      <c r="E8" s="75">
        <v>42094001136</v>
      </c>
      <c r="F8" s="75" t="s">
        <v>15</v>
      </c>
      <c r="G8" s="75" t="s">
        <v>36</v>
      </c>
      <c r="H8" s="68">
        <v>1200000</v>
      </c>
      <c r="I8" s="68">
        <f>H8*Q$18</f>
        <v>720000</v>
      </c>
      <c r="J8" s="68">
        <v>600000</v>
      </c>
      <c r="K8" s="68">
        <f t="shared" ref="K8:K10" si="0">I8-J8</f>
        <v>120000</v>
      </c>
      <c r="L8" s="88" t="s">
        <v>26</v>
      </c>
      <c r="M8" s="76" t="s">
        <v>176</v>
      </c>
      <c r="N8" s="76"/>
      <c r="P8" s="82" t="s">
        <v>72</v>
      </c>
    </row>
    <row r="9" spans="1:18" ht="16.5" customHeight="1" x14ac:dyDescent="0.25">
      <c r="A9" s="198"/>
      <c r="B9" s="64">
        <f t="shared" ref="B9:B10" si="1">B8+1</f>
        <v>3</v>
      </c>
      <c r="C9" s="65" t="s">
        <v>134</v>
      </c>
      <c r="D9" s="66" t="s">
        <v>101</v>
      </c>
      <c r="E9" s="66">
        <v>70081001153</v>
      </c>
      <c r="F9" s="66" t="s">
        <v>102</v>
      </c>
      <c r="G9" s="66" t="s">
        <v>83</v>
      </c>
      <c r="H9" s="68">
        <v>800000</v>
      </c>
      <c r="I9" s="68">
        <f>H9*Q$18</f>
        <v>480000</v>
      </c>
      <c r="J9" s="74">
        <v>480000</v>
      </c>
      <c r="K9" s="68">
        <f t="shared" si="0"/>
        <v>0</v>
      </c>
      <c r="L9" s="88" t="s">
        <v>26</v>
      </c>
      <c r="M9" s="115"/>
      <c r="N9" s="79"/>
    </row>
    <row r="10" spans="1:18" ht="16.5" customHeight="1" x14ac:dyDescent="0.25">
      <c r="A10" s="198"/>
      <c r="B10" s="64">
        <f t="shared" si="1"/>
        <v>4</v>
      </c>
      <c r="C10" s="71" t="s">
        <v>135</v>
      </c>
      <c r="D10" s="73" t="s">
        <v>106</v>
      </c>
      <c r="E10" s="73">
        <v>27068001194</v>
      </c>
      <c r="F10" s="73" t="s">
        <v>105</v>
      </c>
      <c r="G10" s="127" t="s">
        <v>73</v>
      </c>
      <c r="H10" s="74">
        <v>500000</v>
      </c>
      <c r="I10" s="68">
        <f>H10*Q$18</f>
        <v>300000</v>
      </c>
      <c r="J10" s="74">
        <v>300000</v>
      </c>
      <c r="K10" s="68">
        <f t="shared" si="0"/>
        <v>0</v>
      </c>
      <c r="L10" s="88" t="s">
        <v>26</v>
      </c>
      <c r="M10" s="76"/>
      <c r="N10" s="76"/>
      <c r="P10" s="203" t="s">
        <v>29</v>
      </c>
      <c r="Q10" s="203"/>
      <c r="R10" s="204">
        <f>SUM(H7:H999)</f>
        <v>21305000</v>
      </c>
    </row>
    <row r="11" spans="1:18" ht="16.5" customHeight="1" x14ac:dyDescent="0.25">
      <c r="A11" s="199"/>
      <c r="H11" s="26"/>
      <c r="I11" s="26"/>
      <c r="J11" s="26"/>
      <c r="K11" s="26"/>
      <c r="M11" s="79"/>
      <c r="N11" s="79"/>
      <c r="P11" s="203"/>
      <c r="Q11" s="203"/>
      <c r="R11" s="204"/>
    </row>
    <row r="12" spans="1:18" ht="16.5" customHeight="1" x14ac:dyDescent="0.25">
      <c r="A12" s="107"/>
      <c r="B12" s="89"/>
      <c r="C12" s="90"/>
      <c r="D12" s="89"/>
      <c r="E12" s="91"/>
      <c r="F12" s="92"/>
      <c r="G12" s="93"/>
      <c r="H12" s="94"/>
      <c r="I12" s="94"/>
      <c r="J12" s="147"/>
      <c r="K12" s="123"/>
      <c r="L12" s="96"/>
      <c r="M12" s="97"/>
      <c r="N12" s="97"/>
      <c r="P12" s="205" t="s">
        <v>143</v>
      </c>
      <c r="Q12" s="205"/>
      <c r="R12" s="204">
        <f>SUM(I7:I999)</f>
        <v>12783000</v>
      </c>
    </row>
    <row r="13" spans="1:18" ht="22.5" customHeight="1" x14ac:dyDescent="0.25">
      <c r="A13" s="201" t="s">
        <v>118</v>
      </c>
      <c r="B13" s="64">
        <v>1</v>
      </c>
      <c r="C13" s="77" t="s">
        <v>40</v>
      </c>
      <c r="D13" s="66" t="s">
        <v>8</v>
      </c>
      <c r="E13" s="67">
        <v>38096003688</v>
      </c>
      <c r="F13" s="66" t="s">
        <v>13</v>
      </c>
      <c r="G13" s="66" t="s">
        <v>14</v>
      </c>
      <c r="H13" s="68">
        <v>1530000</v>
      </c>
      <c r="I13" s="68">
        <f>H13*Q$18</f>
        <v>918000</v>
      </c>
      <c r="J13" s="68">
        <v>918000</v>
      </c>
      <c r="K13" s="68">
        <f t="shared" ref="K13:K26" si="2">I13-J13</f>
        <v>0</v>
      </c>
      <c r="L13" s="87" t="s">
        <v>69</v>
      </c>
      <c r="M13" s="76"/>
      <c r="N13" s="76"/>
      <c r="P13" s="205"/>
      <c r="Q13" s="205"/>
      <c r="R13" s="204"/>
    </row>
    <row r="14" spans="1:18" ht="16.5" customHeight="1" x14ac:dyDescent="0.25">
      <c r="A14" s="202"/>
      <c r="B14" s="64">
        <f>B13+1</f>
        <v>2</v>
      </c>
      <c r="C14" s="78" t="s">
        <v>67</v>
      </c>
      <c r="D14" s="73" t="s">
        <v>11</v>
      </c>
      <c r="E14" s="72">
        <v>89099008054</v>
      </c>
      <c r="F14" s="73" t="s">
        <v>18</v>
      </c>
      <c r="G14" s="73" t="s">
        <v>48</v>
      </c>
      <c r="H14" s="74">
        <v>1370000</v>
      </c>
      <c r="I14" s="68">
        <f>H14*Q$18</f>
        <v>822000</v>
      </c>
      <c r="J14" s="74">
        <v>822000</v>
      </c>
      <c r="K14" s="68">
        <f t="shared" si="2"/>
        <v>0</v>
      </c>
      <c r="L14" s="87" t="s">
        <v>69</v>
      </c>
      <c r="M14" s="79"/>
      <c r="N14" s="79"/>
      <c r="P14" s="205"/>
      <c r="Q14" s="205"/>
      <c r="R14" s="204"/>
    </row>
    <row r="15" spans="1:18" ht="22.5" customHeight="1" x14ac:dyDescent="0.3">
      <c r="A15" s="202"/>
      <c r="B15" s="64">
        <f t="shared" ref="B15:B30" si="3">B14+1</f>
        <v>3</v>
      </c>
      <c r="C15" s="77" t="s">
        <v>43</v>
      </c>
      <c r="D15" s="75" t="s">
        <v>23</v>
      </c>
      <c r="E15" s="75">
        <v>42088019031</v>
      </c>
      <c r="F15" s="75" t="s">
        <v>21</v>
      </c>
      <c r="G15" s="75" t="s">
        <v>22</v>
      </c>
      <c r="H15" s="68">
        <v>2550000</v>
      </c>
      <c r="I15" s="68">
        <f>H15*Q$18</f>
        <v>1530000</v>
      </c>
      <c r="J15" s="74">
        <v>1530000</v>
      </c>
      <c r="K15" s="68">
        <f t="shared" si="2"/>
        <v>0</v>
      </c>
      <c r="L15" s="87" t="s">
        <v>69</v>
      </c>
      <c r="M15" s="76"/>
      <c r="N15" s="85"/>
      <c r="P15" s="206" t="s">
        <v>117</v>
      </c>
      <c r="Q15" s="206"/>
      <c r="R15" s="160">
        <f>SUM(J7:J98)</f>
        <v>12675000</v>
      </c>
    </row>
    <row r="16" spans="1:18" ht="16.5" customHeight="1" x14ac:dyDescent="0.25">
      <c r="A16" s="202"/>
      <c r="B16" s="64">
        <f t="shared" si="3"/>
        <v>4</v>
      </c>
      <c r="C16" s="77"/>
      <c r="D16" s="75"/>
      <c r="E16" s="75"/>
      <c r="F16" s="75"/>
      <c r="G16" s="75"/>
      <c r="H16" s="68"/>
      <c r="I16" s="68"/>
      <c r="J16" s="68"/>
      <c r="K16" s="68">
        <f t="shared" si="2"/>
        <v>0</v>
      </c>
      <c r="L16" s="105"/>
      <c r="M16" s="76"/>
      <c r="N16" s="76"/>
    </row>
    <row r="17" spans="1:17" ht="16.5" customHeight="1" x14ac:dyDescent="0.25">
      <c r="A17" s="202"/>
      <c r="B17" s="64">
        <f t="shared" si="3"/>
        <v>5</v>
      </c>
      <c r="C17" s="77" t="s">
        <v>79</v>
      </c>
      <c r="D17" s="75" t="s">
        <v>61</v>
      </c>
      <c r="E17" s="75">
        <v>95095009661</v>
      </c>
      <c r="F17" s="75" t="s">
        <v>62</v>
      </c>
      <c r="G17" s="75" t="s">
        <v>27</v>
      </c>
      <c r="H17" s="68">
        <v>1210000</v>
      </c>
      <c r="I17" s="68">
        <f>H17*Q$18</f>
        <v>726000</v>
      </c>
      <c r="J17" s="74">
        <v>726000</v>
      </c>
      <c r="K17" s="68">
        <f t="shared" si="2"/>
        <v>0</v>
      </c>
      <c r="L17" s="87" t="s">
        <v>69</v>
      </c>
      <c r="M17" s="80"/>
      <c r="N17" s="85"/>
    </row>
    <row r="18" spans="1:17" ht="16.5" customHeight="1" x14ac:dyDescent="0.3">
      <c r="A18" s="202"/>
      <c r="B18" s="64">
        <f t="shared" si="3"/>
        <v>6</v>
      </c>
      <c r="C18" s="77" t="s">
        <v>98</v>
      </c>
      <c r="D18" s="75" t="s">
        <v>63</v>
      </c>
      <c r="E18" s="81">
        <v>91085001515</v>
      </c>
      <c r="F18" s="66" t="s">
        <v>18</v>
      </c>
      <c r="G18" s="75" t="s">
        <v>57</v>
      </c>
      <c r="H18" s="68">
        <v>780000</v>
      </c>
      <c r="I18" s="68">
        <f>H18*Q$18</f>
        <v>468000</v>
      </c>
      <c r="J18" s="74">
        <v>468000</v>
      </c>
      <c r="K18" s="68">
        <f t="shared" si="2"/>
        <v>0</v>
      </c>
      <c r="L18" s="87" t="s">
        <v>69</v>
      </c>
      <c r="M18" s="76"/>
      <c r="N18" s="76"/>
      <c r="P18" s="157" t="s">
        <v>65</v>
      </c>
      <c r="Q18" s="162">
        <v>0.6</v>
      </c>
    </row>
    <row r="19" spans="1:17" ht="16.5" customHeight="1" x14ac:dyDescent="0.3">
      <c r="A19" s="202"/>
      <c r="B19" s="64">
        <f t="shared" si="3"/>
        <v>7</v>
      </c>
      <c r="C19" s="77" t="s">
        <v>52</v>
      </c>
      <c r="D19" s="64" t="s">
        <v>54</v>
      </c>
      <c r="E19" s="64" t="s">
        <v>94</v>
      </c>
      <c r="F19" s="64" t="s">
        <v>53</v>
      </c>
      <c r="G19" s="64" t="s">
        <v>35</v>
      </c>
      <c r="H19" s="68">
        <v>1980000</v>
      </c>
      <c r="I19" s="68">
        <f>H19*Q$18</f>
        <v>1188000</v>
      </c>
      <c r="J19" s="68">
        <v>1200000</v>
      </c>
      <c r="K19" s="68">
        <f t="shared" si="2"/>
        <v>-12000</v>
      </c>
      <c r="L19" s="87" t="s">
        <v>69</v>
      </c>
      <c r="M19" s="76" t="s">
        <v>175</v>
      </c>
      <c r="N19" s="76"/>
      <c r="P19" s="157" t="s">
        <v>65</v>
      </c>
      <c r="Q19" s="163">
        <v>0.5</v>
      </c>
    </row>
    <row r="20" spans="1:17" ht="16.5" customHeight="1" x14ac:dyDescent="0.25">
      <c r="A20" s="202"/>
      <c r="B20" s="64">
        <f t="shared" si="3"/>
        <v>8</v>
      </c>
      <c r="C20" s="78" t="s">
        <v>92</v>
      </c>
      <c r="D20" s="70" t="s">
        <v>88</v>
      </c>
      <c r="E20" s="70" t="s">
        <v>89</v>
      </c>
      <c r="F20" s="70" t="s">
        <v>90</v>
      </c>
      <c r="G20" s="64" t="s">
        <v>137</v>
      </c>
      <c r="H20" s="74">
        <v>3585000</v>
      </c>
      <c r="I20" s="68">
        <f>H20*Q$18</f>
        <v>2151000</v>
      </c>
      <c r="J20" s="68">
        <v>2151000</v>
      </c>
      <c r="K20" s="68">
        <f t="shared" si="2"/>
        <v>0</v>
      </c>
      <c r="L20" s="87" t="s">
        <v>69</v>
      </c>
      <c r="M20" s="79"/>
      <c r="N20" s="76"/>
    </row>
    <row r="21" spans="1:17" ht="16.5" customHeight="1" x14ac:dyDescent="0.25">
      <c r="A21" s="202"/>
      <c r="B21" s="64">
        <f t="shared" si="3"/>
        <v>9</v>
      </c>
      <c r="C21" s="78" t="s">
        <v>131</v>
      </c>
      <c r="D21" s="105"/>
      <c r="E21" s="105"/>
      <c r="F21" s="105"/>
      <c r="G21" s="122" t="s">
        <v>93</v>
      </c>
      <c r="H21" s="74">
        <v>1810000</v>
      </c>
      <c r="I21" s="68">
        <f>H21*Q$18</f>
        <v>1086000</v>
      </c>
      <c r="J21" s="74">
        <v>1086000</v>
      </c>
      <c r="K21" s="68">
        <f t="shared" si="2"/>
        <v>0</v>
      </c>
      <c r="L21" s="87" t="s">
        <v>69</v>
      </c>
      <c r="M21" s="121" t="s">
        <v>124</v>
      </c>
      <c r="N21" s="76"/>
    </row>
    <row r="22" spans="1:17" ht="16.5" customHeight="1" x14ac:dyDescent="0.25">
      <c r="A22" s="202"/>
      <c r="B22" s="64">
        <f t="shared" si="3"/>
        <v>10</v>
      </c>
      <c r="C22" s="105"/>
      <c r="D22" s="105"/>
      <c r="E22" s="105"/>
      <c r="F22" s="105"/>
      <c r="G22" s="105"/>
      <c r="H22" s="105"/>
      <c r="I22" s="105"/>
      <c r="J22" s="105"/>
      <c r="K22" s="68">
        <f t="shared" si="2"/>
        <v>0</v>
      </c>
      <c r="L22" s="105"/>
      <c r="M22" s="105"/>
      <c r="N22" s="105"/>
    </row>
    <row r="23" spans="1:17" ht="16.5" customHeight="1" x14ac:dyDescent="0.25">
      <c r="A23" s="202"/>
      <c r="B23" s="64">
        <f t="shared" si="3"/>
        <v>11</v>
      </c>
      <c r="C23" s="65"/>
      <c r="D23" s="66"/>
      <c r="E23" s="66"/>
      <c r="F23" s="66"/>
      <c r="G23" s="75" t="s">
        <v>25</v>
      </c>
      <c r="H23" s="134"/>
      <c r="I23" s="132">
        <f>H23*Q$18</f>
        <v>0</v>
      </c>
      <c r="J23" s="132"/>
      <c r="K23" s="68">
        <f t="shared" si="2"/>
        <v>0</v>
      </c>
      <c r="L23" s="87"/>
      <c r="M23" s="105"/>
      <c r="N23" s="79"/>
    </row>
    <row r="24" spans="1:17" ht="16.5" customHeight="1" x14ac:dyDescent="0.25">
      <c r="A24" s="202"/>
      <c r="B24" s="64">
        <f t="shared" si="3"/>
        <v>12</v>
      </c>
      <c r="C24" s="65"/>
      <c r="D24" s="75"/>
      <c r="E24" s="75"/>
      <c r="F24" s="75"/>
      <c r="G24" s="64" t="s">
        <v>19</v>
      </c>
      <c r="H24" s="134"/>
      <c r="I24" s="132">
        <f>H24*Q$18</f>
        <v>0</v>
      </c>
      <c r="J24" s="133"/>
      <c r="K24" s="68">
        <f t="shared" si="2"/>
        <v>0</v>
      </c>
      <c r="L24" s="87"/>
      <c r="M24" s="105"/>
      <c r="N24" s="105"/>
    </row>
    <row r="25" spans="1:17" ht="16.5" x14ac:dyDescent="0.25">
      <c r="A25" s="202"/>
      <c r="B25" s="64">
        <f t="shared" si="3"/>
        <v>13</v>
      </c>
      <c r="C25" s="65" t="s">
        <v>148</v>
      </c>
      <c r="D25" s="110"/>
      <c r="E25" s="111"/>
      <c r="F25" s="111"/>
      <c r="G25" s="75" t="s">
        <v>56</v>
      </c>
      <c r="H25" s="68">
        <v>1560000</v>
      </c>
      <c r="I25" s="132">
        <f>H25*Q$18</f>
        <v>936000</v>
      </c>
      <c r="J25" s="68">
        <v>936000</v>
      </c>
      <c r="K25" s="68">
        <f t="shared" si="2"/>
        <v>0</v>
      </c>
      <c r="L25" s="87" t="s">
        <v>69</v>
      </c>
      <c r="M25" s="105"/>
      <c r="N25" s="105"/>
    </row>
    <row r="26" spans="1:17" ht="22.15" customHeight="1" x14ac:dyDescent="0.25">
      <c r="A26" s="202"/>
      <c r="B26" s="64">
        <f t="shared" si="3"/>
        <v>14</v>
      </c>
      <c r="C26" s="77" t="s">
        <v>41</v>
      </c>
      <c r="D26" s="66" t="s">
        <v>10</v>
      </c>
      <c r="E26" s="67">
        <v>89078016404</v>
      </c>
      <c r="F26" s="66" t="s">
        <v>18</v>
      </c>
      <c r="G26" s="66" t="s">
        <v>17</v>
      </c>
      <c r="H26" s="135">
        <v>1130000</v>
      </c>
      <c r="I26" s="132">
        <f>H26*Q$18</f>
        <v>678000</v>
      </c>
      <c r="J26" s="133">
        <v>678000</v>
      </c>
      <c r="K26" s="68">
        <f t="shared" si="2"/>
        <v>0</v>
      </c>
      <c r="L26" s="87" t="s">
        <v>69</v>
      </c>
      <c r="M26" s="136"/>
      <c r="N26" s="76"/>
    </row>
    <row r="27" spans="1:17" ht="20.45" customHeight="1" x14ac:dyDescent="0.25">
      <c r="A27" s="202"/>
      <c r="B27" s="64">
        <f t="shared" si="3"/>
        <v>15</v>
      </c>
      <c r="C27" s="105"/>
      <c r="D27" s="105"/>
      <c r="E27" s="105"/>
      <c r="F27" s="105"/>
      <c r="G27" s="75" t="s">
        <v>168</v>
      </c>
      <c r="H27" s="105"/>
      <c r="I27" s="105"/>
      <c r="J27" s="105"/>
      <c r="K27" s="105"/>
      <c r="L27" s="105"/>
      <c r="M27" s="136"/>
      <c r="N27" s="76"/>
    </row>
    <row r="28" spans="1:17" ht="16.5" customHeight="1" x14ac:dyDescent="0.25">
      <c r="A28" s="202"/>
      <c r="B28" s="64">
        <f t="shared" si="3"/>
        <v>16</v>
      </c>
      <c r="C28" s="105"/>
      <c r="D28" s="105"/>
      <c r="E28" s="105"/>
      <c r="F28" s="105"/>
      <c r="G28" s="105"/>
      <c r="H28" s="105"/>
      <c r="I28" s="105"/>
      <c r="J28" s="105"/>
      <c r="K28" s="105"/>
      <c r="L28" s="105"/>
      <c r="M28" s="115"/>
      <c r="N28" s="79"/>
    </row>
    <row r="29" spans="1:17" ht="16.5" customHeight="1" x14ac:dyDescent="0.25">
      <c r="A29" s="202"/>
      <c r="B29" s="64">
        <f t="shared" si="3"/>
        <v>17</v>
      </c>
      <c r="C29" s="105"/>
      <c r="D29" s="105"/>
      <c r="E29" s="105"/>
      <c r="F29" s="105"/>
      <c r="G29" s="105"/>
      <c r="H29" s="105"/>
      <c r="I29" s="105"/>
      <c r="J29" s="105"/>
      <c r="K29" s="105"/>
      <c r="L29" s="105"/>
      <c r="M29" s="76"/>
      <c r="N29" s="76"/>
    </row>
    <row r="30" spans="1:17" ht="16.5" customHeight="1" x14ac:dyDescent="0.25">
      <c r="A30" s="202"/>
      <c r="B30" s="64">
        <f t="shared" si="3"/>
        <v>18</v>
      </c>
      <c r="C30" s="71"/>
      <c r="D30" s="73"/>
      <c r="E30" s="73"/>
      <c r="F30" s="73"/>
      <c r="G30" s="73"/>
      <c r="H30" s="135"/>
      <c r="I30" s="132"/>
      <c r="J30" s="133"/>
      <c r="K30" s="132"/>
      <c r="L30" s="131"/>
      <c r="M30" s="79"/>
      <c r="N30" s="79"/>
    </row>
    <row r="31" spans="1:17" ht="15" customHeight="1" x14ac:dyDescent="0.25"/>
    <row r="32" spans="1:17" ht="15" customHeight="1" x14ac:dyDescent="0.25"/>
    <row r="39" spans="7:7" x14ac:dyDescent="0.25">
      <c r="G39" s="25"/>
    </row>
  </sheetData>
  <mergeCells count="8">
    <mergeCell ref="B3:K3"/>
    <mergeCell ref="A7:A11"/>
    <mergeCell ref="P10:Q11"/>
    <mergeCell ref="R10:R11"/>
    <mergeCell ref="P12:Q14"/>
    <mergeCell ref="R12:R14"/>
    <mergeCell ref="A13:A30"/>
    <mergeCell ref="P15:Q15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F6FAC-86C6-4EE5-A6C7-1B8C2165990C}">
  <dimension ref="A3:S39"/>
  <sheetViews>
    <sheetView zoomScale="85" zoomScaleNormal="85" workbookViewId="0">
      <selection activeCell="K11" sqref="K11"/>
    </sheetView>
  </sheetViews>
  <sheetFormatPr defaultRowHeight="15" x14ac:dyDescent="0.25"/>
  <cols>
    <col min="1" max="1" width="23.140625" style="1" customWidth="1"/>
    <col min="2" max="2" width="9.140625" style="1"/>
    <col min="3" max="3" width="35.28515625" style="1" customWidth="1"/>
    <col min="4" max="4" width="19.85546875" style="1" hidden="1" customWidth="1"/>
    <col min="5" max="5" width="19.28515625" style="1" hidden="1" customWidth="1"/>
    <col min="6" max="6" width="26.42578125" style="1" hidden="1" customWidth="1"/>
    <col min="7" max="7" width="19.5703125" style="1" customWidth="1"/>
    <col min="8" max="8" width="20.42578125" style="1" customWidth="1"/>
    <col min="9" max="9" width="22.5703125" style="1" customWidth="1"/>
    <col min="10" max="10" width="20.140625" style="1" customWidth="1"/>
    <col min="11" max="12" width="19.42578125" style="1" customWidth="1"/>
    <col min="13" max="13" width="37" style="1" customWidth="1"/>
    <col min="14" max="14" width="14.140625" style="1" customWidth="1"/>
    <col min="15" max="15" width="9.140625" style="1"/>
    <col min="16" max="16" width="18.5703125" style="1" customWidth="1"/>
    <col min="17" max="17" width="22.5703125" style="1" customWidth="1"/>
    <col min="18" max="18" width="21.28515625" style="1" customWidth="1"/>
    <col min="19" max="16384" width="9.140625" style="1"/>
  </cols>
  <sheetData>
    <row r="3" spans="1:18" ht="27.75" x14ac:dyDescent="0.25">
      <c r="B3" s="183" t="s">
        <v>31</v>
      </c>
      <c r="C3" s="183"/>
      <c r="D3" s="183"/>
      <c r="E3" s="183"/>
      <c r="F3" s="183"/>
      <c r="G3" s="183"/>
      <c r="H3" s="183"/>
      <c r="I3" s="183"/>
      <c r="J3" s="183"/>
      <c r="K3" s="183"/>
    </row>
    <row r="4" spans="1:18" ht="30.75" x14ac:dyDescent="0.25">
      <c r="C4" s="117"/>
      <c r="D4" s="117"/>
      <c r="E4" s="117"/>
      <c r="H4" s="116" t="s">
        <v>180</v>
      </c>
      <c r="I4" s="117"/>
      <c r="J4" s="117"/>
      <c r="K4" s="117"/>
    </row>
    <row r="5" spans="1:18" ht="12" customHeight="1" x14ac:dyDescent="0.25"/>
    <row r="6" spans="1:18" ht="53.25" customHeight="1" x14ac:dyDescent="0.25">
      <c r="A6" s="105"/>
      <c r="B6" s="158" t="s">
        <v>0</v>
      </c>
      <c r="C6" s="158" t="s">
        <v>1</v>
      </c>
      <c r="D6" s="158" t="s">
        <v>50</v>
      </c>
      <c r="E6" s="158" t="s">
        <v>2</v>
      </c>
      <c r="F6" s="158" t="s">
        <v>3</v>
      </c>
      <c r="G6" s="158" t="s">
        <v>49</v>
      </c>
      <c r="H6" s="158" t="s">
        <v>4</v>
      </c>
      <c r="I6" s="159" t="s">
        <v>142</v>
      </c>
      <c r="J6" s="158" t="s">
        <v>115</v>
      </c>
      <c r="K6" s="158" t="s">
        <v>116</v>
      </c>
      <c r="L6" s="158" t="s">
        <v>7</v>
      </c>
      <c r="M6" s="158" t="s">
        <v>34</v>
      </c>
      <c r="N6" s="158" t="s">
        <v>51</v>
      </c>
      <c r="P6" s="87" t="s">
        <v>69</v>
      </c>
    </row>
    <row r="7" spans="1:18" ht="34.5" customHeight="1" x14ac:dyDescent="0.25">
      <c r="A7" s="197" t="s">
        <v>119</v>
      </c>
      <c r="B7" s="64">
        <v>1</v>
      </c>
      <c r="C7" s="65" t="s">
        <v>132</v>
      </c>
      <c r="D7" s="66" t="s">
        <v>9</v>
      </c>
      <c r="E7" s="67">
        <v>91203011680</v>
      </c>
      <c r="F7" s="66" t="s">
        <v>15</v>
      </c>
      <c r="G7" s="66" t="s">
        <v>16</v>
      </c>
      <c r="H7" s="68">
        <v>1450000</v>
      </c>
      <c r="I7" s="68">
        <f>IF(H7="",0,IF(H7&gt;1700000,H7*Q$19,H7*Q$18))</f>
        <v>870000</v>
      </c>
      <c r="J7" s="68">
        <v>870000</v>
      </c>
      <c r="K7" s="68">
        <f>I7-J7</f>
        <v>0</v>
      </c>
      <c r="L7" s="88" t="s">
        <v>26</v>
      </c>
      <c r="M7" s="136"/>
      <c r="N7" s="76"/>
      <c r="P7" s="88" t="s">
        <v>26</v>
      </c>
    </row>
    <row r="8" spans="1:18" ht="16.5" customHeight="1" x14ac:dyDescent="0.25">
      <c r="A8" s="198"/>
      <c r="B8" s="64">
        <f>B7+1</f>
        <v>2</v>
      </c>
      <c r="C8" s="65" t="s">
        <v>150</v>
      </c>
      <c r="D8" s="75" t="s">
        <v>28</v>
      </c>
      <c r="E8" s="75">
        <v>42094001136</v>
      </c>
      <c r="F8" s="75" t="s">
        <v>15</v>
      </c>
      <c r="G8" s="75" t="s">
        <v>36</v>
      </c>
      <c r="H8" s="68">
        <v>2300000</v>
      </c>
      <c r="I8" s="68">
        <f t="shared" ref="I8:I27" si="0">IF(H8="",0,IF(H8&gt;1700000,H8*Q$19,H8*Q$18))</f>
        <v>1150000</v>
      </c>
      <c r="J8" s="68">
        <v>1150000</v>
      </c>
      <c r="K8" s="68">
        <f t="shared" ref="K8:K10" si="1">I8-J8</f>
        <v>0</v>
      </c>
      <c r="L8" s="88" t="s">
        <v>26</v>
      </c>
      <c r="M8" s="76"/>
      <c r="N8" s="76"/>
      <c r="P8" s="82" t="s">
        <v>72</v>
      </c>
    </row>
    <row r="9" spans="1:18" ht="16.5" customHeight="1" x14ac:dyDescent="0.25">
      <c r="A9" s="198"/>
      <c r="B9" s="64">
        <f t="shared" ref="B9:B10" si="2">B8+1</f>
        <v>3</v>
      </c>
      <c r="C9" s="65" t="s">
        <v>134</v>
      </c>
      <c r="D9" s="66" t="s">
        <v>101</v>
      </c>
      <c r="E9" s="66">
        <v>70081001153</v>
      </c>
      <c r="F9" s="66" t="s">
        <v>102</v>
      </c>
      <c r="G9" s="66" t="s">
        <v>83</v>
      </c>
      <c r="H9" s="68">
        <v>800000</v>
      </c>
      <c r="I9" s="68">
        <f t="shared" si="0"/>
        <v>480000</v>
      </c>
      <c r="J9" s="74">
        <v>480000</v>
      </c>
      <c r="K9" s="68">
        <f t="shared" si="1"/>
        <v>0</v>
      </c>
      <c r="L9" s="88" t="s">
        <v>26</v>
      </c>
      <c r="M9" s="115"/>
      <c r="N9" s="79"/>
    </row>
    <row r="10" spans="1:18" ht="16.5" customHeight="1" x14ac:dyDescent="0.25">
      <c r="A10" s="198"/>
      <c r="B10" s="64">
        <f t="shared" si="2"/>
        <v>4</v>
      </c>
      <c r="C10" s="71" t="s">
        <v>135</v>
      </c>
      <c r="D10" s="73" t="s">
        <v>106</v>
      </c>
      <c r="E10" s="73">
        <v>27068001194</v>
      </c>
      <c r="F10" s="73" t="s">
        <v>105</v>
      </c>
      <c r="G10" s="127" t="s">
        <v>73</v>
      </c>
      <c r="H10" s="74">
        <v>1400000</v>
      </c>
      <c r="I10" s="68">
        <f t="shared" si="0"/>
        <v>840000</v>
      </c>
      <c r="J10" s="74">
        <v>840000</v>
      </c>
      <c r="K10" s="68">
        <f t="shared" si="1"/>
        <v>0</v>
      </c>
      <c r="L10" s="88" t="s">
        <v>26</v>
      </c>
      <c r="M10" s="76"/>
      <c r="N10" s="76"/>
      <c r="P10" s="203" t="s">
        <v>29</v>
      </c>
      <c r="Q10" s="203"/>
      <c r="R10" s="204">
        <f>SUM(H7:H999)</f>
        <v>25660000</v>
      </c>
    </row>
    <row r="11" spans="1:18" ht="16.5" customHeight="1" x14ac:dyDescent="0.25">
      <c r="A11" s="199"/>
      <c r="H11" s="26"/>
      <c r="I11" s="26"/>
      <c r="J11" s="26"/>
      <c r="K11" s="26"/>
      <c r="M11" s="79"/>
      <c r="N11" s="79"/>
      <c r="P11" s="203"/>
      <c r="Q11" s="203"/>
      <c r="R11" s="204"/>
    </row>
    <row r="12" spans="1:18" ht="16.5" customHeight="1" x14ac:dyDescent="0.25">
      <c r="A12" s="107"/>
      <c r="B12" s="89"/>
      <c r="C12" s="90"/>
      <c r="D12" s="89"/>
      <c r="E12" s="91"/>
      <c r="F12" s="92"/>
      <c r="G12" s="93"/>
      <c r="H12" s="94"/>
      <c r="I12" s="94"/>
      <c r="J12" s="147"/>
      <c r="K12" s="123"/>
      <c r="L12" s="96"/>
      <c r="M12" s="97"/>
      <c r="N12" s="97"/>
      <c r="P12" s="205" t="s">
        <v>143</v>
      </c>
      <c r="Q12" s="205"/>
      <c r="R12" s="204">
        <f>SUM(I7:I999)</f>
        <v>13375000</v>
      </c>
    </row>
    <row r="13" spans="1:18" ht="22.5" customHeight="1" x14ac:dyDescent="0.25">
      <c r="A13" s="201" t="s">
        <v>118</v>
      </c>
      <c r="B13" s="64">
        <v>1</v>
      </c>
      <c r="C13" s="77" t="s">
        <v>40</v>
      </c>
      <c r="D13" s="66" t="s">
        <v>8</v>
      </c>
      <c r="E13" s="67">
        <v>38096003688</v>
      </c>
      <c r="F13" s="66" t="s">
        <v>13</v>
      </c>
      <c r="G13" s="66" t="s">
        <v>14</v>
      </c>
      <c r="H13" s="68">
        <v>2190000</v>
      </c>
      <c r="I13" s="68">
        <f t="shared" si="0"/>
        <v>1095000</v>
      </c>
      <c r="J13" s="68">
        <v>1095000</v>
      </c>
      <c r="K13" s="68">
        <f t="shared" ref="K13:K26" si="3">I13-J13</f>
        <v>0</v>
      </c>
      <c r="L13" s="87" t="s">
        <v>69</v>
      </c>
      <c r="M13" s="76"/>
      <c r="N13" s="76"/>
      <c r="P13" s="205"/>
      <c r="Q13" s="205"/>
      <c r="R13" s="204"/>
    </row>
    <row r="14" spans="1:18" ht="16.5" customHeight="1" x14ac:dyDescent="0.25">
      <c r="A14" s="202"/>
      <c r="B14" s="64">
        <f>B13+1</f>
        <v>2</v>
      </c>
      <c r="C14" s="78" t="s">
        <v>67</v>
      </c>
      <c r="D14" s="73" t="s">
        <v>11</v>
      </c>
      <c r="E14" s="72">
        <v>89099008054</v>
      </c>
      <c r="F14" s="73" t="s">
        <v>18</v>
      </c>
      <c r="G14" s="73" t="s">
        <v>48</v>
      </c>
      <c r="H14" s="74">
        <v>1500000</v>
      </c>
      <c r="I14" s="68">
        <f t="shared" si="0"/>
        <v>900000</v>
      </c>
      <c r="J14" s="74">
        <v>900000</v>
      </c>
      <c r="K14" s="68">
        <f t="shared" si="3"/>
        <v>0</v>
      </c>
      <c r="L14" s="87" t="s">
        <v>69</v>
      </c>
      <c r="M14" s="79"/>
      <c r="N14" s="79"/>
      <c r="P14" s="205"/>
      <c r="Q14" s="205"/>
      <c r="R14" s="204"/>
    </row>
    <row r="15" spans="1:18" ht="22.5" customHeight="1" x14ac:dyDescent="0.3">
      <c r="A15" s="202"/>
      <c r="B15" s="64">
        <f t="shared" ref="B15:B30" si="4">B14+1</f>
        <v>3</v>
      </c>
      <c r="C15" s="77" t="s">
        <v>43</v>
      </c>
      <c r="D15" s="75" t="s">
        <v>23</v>
      </c>
      <c r="E15" s="75">
        <v>42088019031</v>
      </c>
      <c r="F15" s="75" t="s">
        <v>21</v>
      </c>
      <c r="G15" s="75" t="s">
        <v>22</v>
      </c>
      <c r="H15" s="68">
        <v>1760000</v>
      </c>
      <c r="I15" s="68">
        <f t="shared" si="0"/>
        <v>880000</v>
      </c>
      <c r="J15" s="74">
        <v>880000</v>
      </c>
      <c r="K15" s="68">
        <f t="shared" si="3"/>
        <v>0</v>
      </c>
      <c r="L15" s="87" t="s">
        <v>69</v>
      </c>
      <c r="M15" s="76"/>
      <c r="N15" s="85"/>
      <c r="P15" s="206" t="s">
        <v>117</v>
      </c>
      <c r="Q15" s="206"/>
      <c r="R15" s="160">
        <f>SUM(J7:J98)</f>
        <v>13500000</v>
      </c>
    </row>
    <row r="16" spans="1:18" ht="16.5" customHeight="1" x14ac:dyDescent="0.25">
      <c r="A16" s="202"/>
      <c r="B16" s="64">
        <f t="shared" si="4"/>
        <v>4</v>
      </c>
      <c r="C16" s="77"/>
      <c r="D16" s="75"/>
      <c r="E16" s="75"/>
      <c r="F16" s="75"/>
      <c r="G16" s="75"/>
      <c r="H16" s="68"/>
      <c r="I16" s="68">
        <f t="shared" si="0"/>
        <v>0</v>
      </c>
      <c r="J16" s="68"/>
      <c r="K16" s="68">
        <f t="shared" si="3"/>
        <v>0</v>
      </c>
      <c r="L16" s="105"/>
      <c r="M16" s="76"/>
      <c r="N16" s="76"/>
    </row>
    <row r="17" spans="1:19" ht="16.5" customHeight="1" x14ac:dyDescent="0.25">
      <c r="A17" s="202"/>
      <c r="B17" s="64">
        <f t="shared" si="4"/>
        <v>5</v>
      </c>
      <c r="C17" s="77" t="s">
        <v>79</v>
      </c>
      <c r="D17" s="75" t="s">
        <v>61</v>
      </c>
      <c r="E17" s="75">
        <v>95095009661</v>
      </c>
      <c r="F17" s="75" t="s">
        <v>62</v>
      </c>
      <c r="G17" s="75" t="s">
        <v>27</v>
      </c>
      <c r="H17" s="68">
        <v>2440000</v>
      </c>
      <c r="I17" s="68">
        <f t="shared" si="0"/>
        <v>1220000</v>
      </c>
      <c r="J17" s="74">
        <v>1220000</v>
      </c>
      <c r="K17" s="68">
        <f t="shared" si="3"/>
        <v>0</v>
      </c>
      <c r="L17" s="87" t="s">
        <v>69</v>
      </c>
      <c r="M17" s="80"/>
      <c r="N17" s="85"/>
    </row>
    <row r="18" spans="1:19" ht="16.5" customHeight="1" x14ac:dyDescent="0.3">
      <c r="A18" s="202"/>
      <c r="B18" s="64">
        <f t="shared" si="4"/>
        <v>6</v>
      </c>
      <c r="C18" s="77" t="s">
        <v>98</v>
      </c>
      <c r="D18" s="75" t="s">
        <v>63</v>
      </c>
      <c r="E18" s="81">
        <v>91085001515</v>
      </c>
      <c r="F18" s="66" t="s">
        <v>18</v>
      </c>
      <c r="G18" s="75" t="s">
        <v>57</v>
      </c>
      <c r="H18" s="68">
        <v>300000</v>
      </c>
      <c r="I18" s="68">
        <f t="shared" si="0"/>
        <v>180000</v>
      </c>
      <c r="J18" s="74">
        <v>300000</v>
      </c>
      <c r="K18" s="68">
        <f t="shared" si="3"/>
        <v>-120000</v>
      </c>
      <c r="L18" s="87" t="s">
        <v>69</v>
      </c>
      <c r="M18" s="76" t="s">
        <v>181</v>
      </c>
      <c r="N18" s="76"/>
      <c r="P18" s="157" t="s">
        <v>65</v>
      </c>
      <c r="Q18" s="162">
        <v>0.6</v>
      </c>
      <c r="S18" s="164" t="s">
        <v>177</v>
      </c>
    </row>
    <row r="19" spans="1:19" ht="16.5" customHeight="1" x14ac:dyDescent="0.3">
      <c r="A19" s="202"/>
      <c r="B19" s="64">
        <f t="shared" si="4"/>
        <v>7</v>
      </c>
      <c r="C19" s="77" t="s">
        <v>52</v>
      </c>
      <c r="D19" s="64" t="s">
        <v>54</v>
      </c>
      <c r="E19" s="64" t="s">
        <v>94</v>
      </c>
      <c r="F19" s="64" t="s">
        <v>53</v>
      </c>
      <c r="G19" s="64" t="s">
        <v>35</v>
      </c>
      <c r="H19" s="68">
        <v>2370000</v>
      </c>
      <c r="I19" s="68">
        <f t="shared" si="0"/>
        <v>1185000</v>
      </c>
      <c r="J19" s="68">
        <v>1190000</v>
      </c>
      <c r="K19" s="68">
        <f t="shared" si="3"/>
        <v>-5000</v>
      </c>
      <c r="L19" s="87" t="s">
        <v>69</v>
      </c>
      <c r="M19" s="76" t="s">
        <v>179</v>
      </c>
      <c r="N19" s="76"/>
      <c r="P19" s="157" t="s">
        <v>65</v>
      </c>
      <c r="Q19" s="163">
        <v>0.5</v>
      </c>
      <c r="S19" s="164" t="s">
        <v>178</v>
      </c>
    </row>
    <row r="20" spans="1:19" ht="16.5" customHeight="1" x14ac:dyDescent="0.25">
      <c r="A20" s="202"/>
      <c r="B20" s="64">
        <f t="shared" si="4"/>
        <v>8</v>
      </c>
      <c r="C20" s="78" t="s">
        <v>92</v>
      </c>
      <c r="D20" s="70" t="s">
        <v>88</v>
      </c>
      <c r="E20" s="70" t="s">
        <v>89</v>
      </c>
      <c r="F20" s="70" t="s">
        <v>90</v>
      </c>
      <c r="G20" s="64" t="s">
        <v>137</v>
      </c>
      <c r="H20" s="74">
        <v>3600000</v>
      </c>
      <c r="I20" s="68">
        <f t="shared" si="0"/>
        <v>1800000</v>
      </c>
      <c r="J20" s="68">
        <v>1800000</v>
      </c>
      <c r="K20" s="68">
        <f t="shared" si="3"/>
        <v>0</v>
      </c>
      <c r="L20" s="87" t="s">
        <v>69</v>
      </c>
      <c r="M20" s="79"/>
      <c r="N20" s="76"/>
    </row>
    <row r="21" spans="1:19" ht="16.5" customHeight="1" x14ac:dyDescent="0.25">
      <c r="A21" s="202"/>
      <c r="B21" s="64">
        <f t="shared" si="4"/>
        <v>9</v>
      </c>
      <c r="C21" s="78" t="s">
        <v>131</v>
      </c>
      <c r="D21" s="105"/>
      <c r="E21" s="105"/>
      <c r="F21" s="105"/>
      <c r="G21" s="122" t="s">
        <v>93</v>
      </c>
      <c r="H21" s="74">
        <v>1810000</v>
      </c>
      <c r="I21" s="68">
        <f t="shared" si="0"/>
        <v>905000</v>
      </c>
      <c r="J21" s="74">
        <v>905000</v>
      </c>
      <c r="K21" s="68">
        <f t="shared" si="3"/>
        <v>0</v>
      </c>
      <c r="L21" s="87" t="s">
        <v>69</v>
      </c>
      <c r="M21" s="165" t="s">
        <v>182</v>
      </c>
      <c r="N21" s="76"/>
    </row>
    <row r="22" spans="1:19" ht="16.5" customHeight="1" x14ac:dyDescent="0.25">
      <c r="A22" s="202"/>
      <c r="B22" s="64">
        <f t="shared" si="4"/>
        <v>10</v>
      </c>
      <c r="C22" s="105"/>
      <c r="D22" s="105"/>
      <c r="E22" s="105"/>
      <c r="F22" s="105"/>
      <c r="G22" s="105"/>
      <c r="H22" s="105"/>
      <c r="I22" s="68">
        <f t="shared" si="0"/>
        <v>0</v>
      </c>
      <c r="J22" s="105"/>
      <c r="K22" s="68">
        <f t="shared" si="3"/>
        <v>0</v>
      </c>
      <c r="L22" s="105"/>
      <c r="M22" s="105"/>
      <c r="N22" s="105"/>
    </row>
    <row r="23" spans="1:19" ht="16.5" customHeight="1" x14ac:dyDescent="0.25">
      <c r="A23" s="202"/>
      <c r="B23" s="64">
        <f t="shared" si="4"/>
        <v>11</v>
      </c>
      <c r="C23" s="65"/>
      <c r="D23" s="66"/>
      <c r="E23" s="66"/>
      <c r="F23" s="66"/>
      <c r="G23" s="75" t="s">
        <v>25</v>
      </c>
      <c r="H23" s="134"/>
      <c r="I23" s="68">
        <f t="shared" si="0"/>
        <v>0</v>
      </c>
      <c r="J23" s="132"/>
      <c r="K23" s="68">
        <f t="shared" si="3"/>
        <v>0</v>
      </c>
      <c r="L23" s="87"/>
      <c r="M23" s="105"/>
      <c r="N23" s="79"/>
    </row>
    <row r="24" spans="1:19" ht="16.5" customHeight="1" x14ac:dyDescent="0.25">
      <c r="A24" s="202"/>
      <c r="B24" s="64">
        <f t="shared" si="4"/>
        <v>12</v>
      </c>
      <c r="C24" s="65"/>
      <c r="D24" s="75"/>
      <c r="E24" s="75"/>
      <c r="F24" s="75"/>
      <c r="G24" s="64" t="s">
        <v>19</v>
      </c>
      <c r="H24" s="134"/>
      <c r="I24" s="68">
        <f t="shared" si="0"/>
        <v>0</v>
      </c>
      <c r="J24" s="133"/>
      <c r="K24" s="68">
        <f>I24-J24</f>
        <v>0</v>
      </c>
      <c r="L24" s="87"/>
      <c r="M24" s="105"/>
      <c r="N24" s="105"/>
    </row>
    <row r="25" spans="1:19" ht="16.5" x14ac:dyDescent="0.25">
      <c r="A25" s="202"/>
      <c r="B25" s="64">
        <f t="shared" si="4"/>
        <v>13</v>
      </c>
      <c r="C25" s="65" t="s">
        <v>148</v>
      </c>
      <c r="D25" s="110"/>
      <c r="E25" s="111"/>
      <c r="F25" s="111"/>
      <c r="G25" s="75" t="s">
        <v>56</v>
      </c>
      <c r="H25" s="68">
        <v>2010000</v>
      </c>
      <c r="I25" s="68">
        <f t="shared" si="0"/>
        <v>1005000</v>
      </c>
      <c r="J25" s="68">
        <v>1005000</v>
      </c>
      <c r="K25" s="68">
        <f t="shared" si="3"/>
        <v>0</v>
      </c>
      <c r="L25" s="87" t="s">
        <v>69</v>
      </c>
      <c r="M25" s="105"/>
      <c r="N25" s="105"/>
    </row>
    <row r="26" spans="1:19" ht="22.15" customHeight="1" x14ac:dyDescent="0.25">
      <c r="A26" s="202"/>
      <c r="B26" s="64">
        <f t="shared" si="4"/>
        <v>14</v>
      </c>
      <c r="C26" s="77" t="s">
        <v>41</v>
      </c>
      <c r="D26" s="66" t="s">
        <v>10</v>
      </c>
      <c r="E26" s="67">
        <v>89078016404</v>
      </c>
      <c r="F26" s="66" t="s">
        <v>18</v>
      </c>
      <c r="G26" s="66" t="s">
        <v>17</v>
      </c>
      <c r="H26" s="135">
        <v>1730000</v>
      </c>
      <c r="I26" s="68">
        <f t="shared" si="0"/>
        <v>865000</v>
      </c>
      <c r="J26" s="133">
        <v>865000</v>
      </c>
      <c r="K26" s="68">
        <f t="shared" si="3"/>
        <v>0</v>
      </c>
      <c r="L26" s="87" t="s">
        <v>69</v>
      </c>
      <c r="M26" s="136"/>
      <c r="N26" s="76"/>
    </row>
    <row r="27" spans="1:19" ht="20.45" customHeight="1" x14ac:dyDescent="0.25">
      <c r="A27" s="202"/>
      <c r="B27" s="64">
        <f t="shared" si="4"/>
        <v>15</v>
      </c>
      <c r="C27" s="105"/>
      <c r="D27" s="105"/>
      <c r="E27" s="105"/>
      <c r="F27" s="105"/>
      <c r="G27" s="75" t="s">
        <v>168</v>
      </c>
      <c r="H27" s="105"/>
      <c r="I27" s="68">
        <f t="shared" si="0"/>
        <v>0</v>
      </c>
      <c r="J27" s="105"/>
      <c r="K27" s="105"/>
      <c r="L27" s="105"/>
      <c r="M27" s="136"/>
      <c r="N27" s="76"/>
    </row>
    <row r="28" spans="1:19" ht="16.5" customHeight="1" x14ac:dyDescent="0.25">
      <c r="A28" s="202"/>
      <c r="B28" s="64">
        <f t="shared" si="4"/>
        <v>16</v>
      </c>
      <c r="C28" s="105"/>
      <c r="D28" s="105"/>
      <c r="E28" s="105"/>
      <c r="F28" s="105"/>
      <c r="G28" s="105"/>
      <c r="H28" s="105"/>
      <c r="I28" s="105"/>
      <c r="J28" s="105"/>
      <c r="K28" s="105"/>
      <c r="L28" s="105"/>
      <c r="M28" s="115"/>
      <c r="N28" s="79"/>
    </row>
    <row r="29" spans="1:19" ht="16.5" customHeight="1" x14ac:dyDescent="0.25">
      <c r="A29" s="202"/>
      <c r="B29" s="64">
        <f t="shared" si="4"/>
        <v>17</v>
      </c>
      <c r="C29" s="105"/>
      <c r="D29" s="105"/>
      <c r="E29" s="105"/>
      <c r="F29" s="105"/>
      <c r="G29" s="105"/>
      <c r="H29" s="105"/>
      <c r="I29" s="105"/>
      <c r="J29" s="105"/>
      <c r="K29" s="105"/>
      <c r="L29" s="105"/>
      <c r="M29" s="76"/>
      <c r="N29" s="76"/>
    </row>
    <row r="30" spans="1:19" ht="16.5" customHeight="1" x14ac:dyDescent="0.25">
      <c r="A30" s="202"/>
      <c r="B30" s="64">
        <f t="shared" si="4"/>
        <v>18</v>
      </c>
      <c r="C30" s="71"/>
      <c r="D30" s="73"/>
      <c r="E30" s="73"/>
      <c r="F30" s="73"/>
      <c r="G30" s="73"/>
      <c r="H30" s="135"/>
      <c r="I30" s="132"/>
      <c r="J30" s="133"/>
      <c r="K30" s="132"/>
      <c r="L30" s="131"/>
      <c r="M30" s="79"/>
      <c r="N30" s="79"/>
    </row>
    <row r="31" spans="1:19" ht="15" customHeight="1" x14ac:dyDescent="0.25"/>
    <row r="32" spans="1:19" ht="15" customHeight="1" x14ac:dyDescent="0.25"/>
    <row r="39" spans="7:7" x14ac:dyDescent="0.25">
      <c r="G39" s="25"/>
    </row>
  </sheetData>
  <mergeCells count="8">
    <mergeCell ref="B3:K3"/>
    <mergeCell ref="A7:A11"/>
    <mergeCell ref="P10:Q11"/>
    <mergeCell ref="R10:R11"/>
    <mergeCell ref="P12:Q14"/>
    <mergeCell ref="R12:R14"/>
    <mergeCell ref="A13:A30"/>
    <mergeCell ref="P15:Q15"/>
  </mergeCell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AC21C-77CD-43F0-AFA0-F349FDF4E652}">
  <dimension ref="A3:S39"/>
  <sheetViews>
    <sheetView zoomScale="85" zoomScaleNormal="85" workbookViewId="0">
      <selection activeCell="C18" sqref="C18"/>
    </sheetView>
  </sheetViews>
  <sheetFormatPr defaultRowHeight="15" x14ac:dyDescent="0.25"/>
  <cols>
    <col min="1" max="1" width="23.140625" style="1" customWidth="1"/>
    <col min="2" max="2" width="9.140625" style="1"/>
    <col min="3" max="3" width="35.28515625" style="1" customWidth="1"/>
    <col min="4" max="4" width="19.85546875" style="1" hidden="1" customWidth="1"/>
    <col min="5" max="5" width="19.28515625" style="1" hidden="1" customWidth="1"/>
    <col min="6" max="6" width="26.42578125" style="1" hidden="1" customWidth="1"/>
    <col min="7" max="7" width="19.5703125" style="1" customWidth="1"/>
    <col min="8" max="8" width="20.42578125" style="1" customWidth="1"/>
    <col min="9" max="9" width="22.5703125" style="1" customWidth="1"/>
    <col min="10" max="10" width="20.140625" style="1" customWidth="1"/>
    <col min="11" max="12" width="19.42578125" style="1" customWidth="1"/>
    <col min="13" max="13" width="37" style="1" customWidth="1"/>
    <col min="14" max="14" width="14.140625" style="1" customWidth="1"/>
    <col min="15" max="15" width="9.140625" style="1"/>
    <col min="16" max="16" width="18.5703125" style="1" customWidth="1"/>
    <col min="17" max="17" width="22.5703125" style="1" customWidth="1"/>
    <col min="18" max="18" width="21.28515625" style="1" customWidth="1"/>
    <col min="19" max="16384" width="9.140625" style="1"/>
  </cols>
  <sheetData>
    <row r="3" spans="1:18" ht="27.75" x14ac:dyDescent="0.25">
      <c r="B3" s="183" t="s">
        <v>31</v>
      </c>
      <c r="C3" s="183"/>
      <c r="D3" s="183"/>
      <c r="E3" s="183"/>
      <c r="F3" s="183"/>
      <c r="G3" s="183"/>
      <c r="H3" s="183"/>
      <c r="I3" s="183"/>
      <c r="J3" s="183"/>
      <c r="K3" s="183"/>
    </row>
    <row r="4" spans="1:18" ht="30.75" x14ac:dyDescent="0.25">
      <c r="C4" s="117"/>
      <c r="D4" s="117"/>
      <c r="E4" s="117"/>
      <c r="H4" s="116" t="s">
        <v>183</v>
      </c>
      <c r="I4" s="117"/>
      <c r="J4" s="117"/>
      <c r="K4" s="117"/>
    </row>
    <row r="5" spans="1:18" ht="12" customHeight="1" x14ac:dyDescent="0.25"/>
    <row r="6" spans="1:18" ht="53.25" customHeight="1" x14ac:dyDescent="0.25">
      <c r="A6" s="105"/>
      <c r="B6" s="158" t="s">
        <v>0</v>
      </c>
      <c r="C6" s="158" t="s">
        <v>1</v>
      </c>
      <c r="D6" s="158" t="s">
        <v>50</v>
      </c>
      <c r="E6" s="158" t="s">
        <v>2</v>
      </c>
      <c r="F6" s="158" t="s">
        <v>3</v>
      </c>
      <c r="G6" s="158" t="s">
        <v>49</v>
      </c>
      <c r="H6" s="158" t="s">
        <v>4</v>
      </c>
      <c r="I6" s="159" t="s">
        <v>142</v>
      </c>
      <c r="J6" s="158" t="s">
        <v>115</v>
      </c>
      <c r="K6" s="158" t="s">
        <v>116</v>
      </c>
      <c r="L6" s="158" t="s">
        <v>7</v>
      </c>
      <c r="M6" s="158" t="s">
        <v>34</v>
      </c>
      <c r="N6" s="158" t="s">
        <v>51</v>
      </c>
      <c r="P6" s="87" t="s">
        <v>69</v>
      </c>
    </row>
    <row r="7" spans="1:18" ht="34.5" customHeight="1" x14ac:dyDescent="0.25">
      <c r="A7" s="197" t="s">
        <v>119</v>
      </c>
      <c r="B7" s="64">
        <v>1</v>
      </c>
      <c r="C7" s="65" t="s">
        <v>132</v>
      </c>
      <c r="D7" s="66" t="s">
        <v>9</v>
      </c>
      <c r="E7" s="67">
        <v>91203011680</v>
      </c>
      <c r="F7" s="66" t="s">
        <v>15</v>
      </c>
      <c r="G7" s="66" t="s">
        <v>16</v>
      </c>
      <c r="H7" s="68">
        <v>1540000</v>
      </c>
      <c r="I7" s="68">
        <f>IF(H7="",0,IF(H7&gt;1700000,H7*Q$19,H7*Q$18))</f>
        <v>924000</v>
      </c>
      <c r="J7" s="68">
        <v>930000</v>
      </c>
      <c r="K7" s="68">
        <f>I7-J7</f>
        <v>-6000</v>
      </c>
      <c r="L7" s="88" t="s">
        <v>26</v>
      </c>
      <c r="M7" s="136" t="s">
        <v>170</v>
      </c>
      <c r="N7" s="76"/>
      <c r="P7" s="88" t="s">
        <v>26</v>
      </c>
    </row>
    <row r="8" spans="1:18" ht="16.5" customHeight="1" x14ac:dyDescent="0.25">
      <c r="A8" s="198"/>
      <c r="B8" s="64">
        <f>B7+1</f>
        <v>2</v>
      </c>
      <c r="C8" s="65" t="s">
        <v>150</v>
      </c>
      <c r="D8" s="75" t="s">
        <v>28</v>
      </c>
      <c r="E8" s="75">
        <v>42094001136</v>
      </c>
      <c r="F8" s="75" t="s">
        <v>15</v>
      </c>
      <c r="G8" s="75" t="s">
        <v>36</v>
      </c>
      <c r="H8" s="68">
        <v>1800000</v>
      </c>
      <c r="I8" s="68">
        <f t="shared" ref="I8:I27" si="0">IF(H8="",0,IF(H8&gt;1700000,H8*Q$19,H8*Q$18))</f>
        <v>900000</v>
      </c>
      <c r="J8" s="68">
        <v>900000</v>
      </c>
      <c r="K8" s="68">
        <f t="shared" ref="K8:K10" si="1">I8-J8</f>
        <v>0</v>
      </c>
      <c r="L8" s="88" t="s">
        <v>26</v>
      </c>
      <c r="M8" s="76"/>
      <c r="N8" s="76"/>
      <c r="P8" s="82" t="s">
        <v>72</v>
      </c>
    </row>
    <row r="9" spans="1:18" ht="16.5" customHeight="1" x14ac:dyDescent="0.25">
      <c r="A9" s="198"/>
      <c r="B9" s="64">
        <f t="shared" ref="B9:B10" si="2">B8+1</f>
        <v>3</v>
      </c>
      <c r="C9" s="65" t="s">
        <v>134</v>
      </c>
      <c r="D9" s="66" t="s">
        <v>101</v>
      </c>
      <c r="E9" s="66">
        <v>70081001153</v>
      </c>
      <c r="F9" s="66" t="s">
        <v>102</v>
      </c>
      <c r="G9" s="66" t="s">
        <v>83</v>
      </c>
      <c r="H9" s="68">
        <v>1050000</v>
      </c>
      <c r="I9" s="68">
        <f t="shared" si="0"/>
        <v>630000</v>
      </c>
      <c r="J9" s="74">
        <v>630000</v>
      </c>
      <c r="K9" s="68">
        <f t="shared" si="1"/>
        <v>0</v>
      </c>
      <c r="L9" s="88" t="s">
        <v>26</v>
      </c>
      <c r="M9" s="115"/>
      <c r="N9" s="79"/>
    </row>
    <row r="10" spans="1:18" ht="16.5" customHeight="1" x14ac:dyDescent="0.25">
      <c r="A10" s="198"/>
      <c r="B10" s="64">
        <f t="shared" si="2"/>
        <v>4</v>
      </c>
      <c r="C10" s="71" t="s">
        <v>135</v>
      </c>
      <c r="D10" s="73" t="s">
        <v>106</v>
      </c>
      <c r="E10" s="73">
        <v>27068001194</v>
      </c>
      <c r="F10" s="73" t="s">
        <v>105</v>
      </c>
      <c r="G10" s="127" t="s">
        <v>73</v>
      </c>
      <c r="H10" s="74">
        <v>1500000</v>
      </c>
      <c r="I10" s="68">
        <f t="shared" si="0"/>
        <v>900000</v>
      </c>
      <c r="J10" s="74">
        <v>900000</v>
      </c>
      <c r="K10" s="68">
        <f t="shared" si="1"/>
        <v>0</v>
      </c>
      <c r="L10" s="88" t="s">
        <v>26</v>
      </c>
      <c r="M10" s="76"/>
      <c r="N10" s="76"/>
      <c r="P10" s="203" t="s">
        <v>29</v>
      </c>
      <c r="Q10" s="203"/>
      <c r="R10" s="204">
        <f>SUM(H7:H999)</f>
        <v>25245000</v>
      </c>
    </row>
    <row r="11" spans="1:18" ht="16.5" customHeight="1" x14ac:dyDescent="0.25">
      <c r="A11" s="199"/>
      <c r="H11" s="26"/>
      <c r="I11" s="26"/>
      <c r="J11" s="26"/>
      <c r="K11" s="26"/>
      <c r="M11" s="79"/>
      <c r="N11" s="79"/>
      <c r="P11" s="203"/>
      <c r="Q11" s="203"/>
      <c r="R11" s="204"/>
    </row>
    <row r="12" spans="1:18" ht="16.5" customHeight="1" x14ac:dyDescent="0.25">
      <c r="A12" s="107"/>
      <c r="B12" s="89"/>
      <c r="C12" s="90"/>
      <c r="D12" s="89"/>
      <c r="E12" s="91"/>
      <c r="F12" s="92"/>
      <c r="G12" s="93"/>
      <c r="H12" s="94"/>
      <c r="I12" s="94"/>
      <c r="J12" s="147"/>
      <c r="K12" s="123"/>
      <c r="L12" s="96"/>
      <c r="M12" s="97"/>
      <c r="N12" s="97"/>
      <c r="P12" s="205" t="s">
        <v>143</v>
      </c>
      <c r="Q12" s="205"/>
      <c r="R12" s="204">
        <f>SUM(I7:I999)</f>
        <v>13121500</v>
      </c>
    </row>
    <row r="13" spans="1:18" ht="22.5" customHeight="1" x14ac:dyDescent="0.25">
      <c r="A13" s="201" t="s">
        <v>118</v>
      </c>
      <c r="B13" s="64">
        <v>1</v>
      </c>
      <c r="C13" s="77" t="s">
        <v>40</v>
      </c>
      <c r="D13" s="66" t="s">
        <v>8</v>
      </c>
      <c r="E13" s="67">
        <v>38096003688</v>
      </c>
      <c r="F13" s="66" t="s">
        <v>13</v>
      </c>
      <c r="G13" s="66" t="s">
        <v>14</v>
      </c>
      <c r="H13" s="68">
        <v>2440000</v>
      </c>
      <c r="I13" s="68">
        <f t="shared" si="0"/>
        <v>1220000</v>
      </c>
      <c r="J13" s="68">
        <v>1220000</v>
      </c>
      <c r="K13" s="68">
        <f t="shared" ref="K13:K26" si="3">I13-J13</f>
        <v>0</v>
      </c>
      <c r="L13" s="87" t="s">
        <v>69</v>
      </c>
      <c r="M13" s="76"/>
      <c r="N13" s="76"/>
      <c r="P13" s="205"/>
      <c r="Q13" s="205"/>
      <c r="R13" s="204"/>
    </row>
    <row r="14" spans="1:18" ht="16.5" customHeight="1" x14ac:dyDescent="0.25">
      <c r="A14" s="202"/>
      <c r="B14" s="64">
        <f>B13+1</f>
        <v>2</v>
      </c>
      <c r="C14" s="78" t="s">
        <v>67</v>
      </c>
      <c r="D14" s="73" t="s">
        <v>11</v>
      </c>
      <c r="E14" s="72">
        <v>89099008054</v>
      </c>
      <c r="F14" s="73" t="s">
        <v>18</v>
      </c>
      <c r="G14" s="73" t="s">
        <v>48</v>
      </c>
      <c r="H14" s="74">
        <v>1860000</v>
      </c>
      <c r="I14" s="68">
        <f t="shared" si="0"/>
        <v>930000</v>
      </c>
      <c r="J14" s="74">
        <v>930000</v>
      </c>
      <c r="K14" s="68">
        <f t="shared" si="3"/>
        <v>0</v>
      </c>
      <c r="L14" s="87" t="s">
        <v>69</v>
      </c>
      <c r="M14" s="79"/>
      <c r="N14" s="79"/>
      <c r="P14" s="205"/>
      <c r="Q14" s="205"/>
      <c r="R14" s="204"/>
    </row>
    <row r="15" spans="1:18" ht="22.5" customHeight="1" x14ac:dyDescent="0.3">
      <c r="A15" s="202"/>
      <c r="B15" s="64">
        <f t="shared" ref="B15:B30" si="4">B14+1</f>
        <v>3</v>
      </c>
      <c r="C15" s="77" t="s">
        <v>43</v>
      </c>
      <c r="D15" s="75" t="s">
        <v>23</v>
      </c>
      <c r="E15" s="75">
        <v>42088019031</v>
      </c>
      <c r="F15" s="75" t="s">
        <v>21</v>
      </c>
      <c r="G15" s="75" t="s">
        <v>22</v>
      </c>
      <c r="H15" s="68">
        <v>1850000</v>
      </c>
      <c r="I15" s="68">
        <f t="shared" si="0"/>
        <v>925000</v>
      </c>
      <c r="J15" s="74">
        <v>925000</v>
      </c>
      <c r="K15" s="68">
        <f t="shared" si="3"/>
        <v>0</v>
      </c>
      <c r="L15" s="87" t="s">
        <v>69</v>
      </c>
      <c r="M15" s="76"/>
      <c r="N15" s="85"/>
      <c r="P15" s="206" t="s">
        <v>117</v>
      </c>
      <c r="Q15" s="206"/>
      <c r="R15" s="160">
        <f>SUM(J7:J98)</f>
        <v>13128000</v>
      </c>
    </row>
    <row r="16" spans="1:18" ht="16.5" customHeight="1" x14ac:dyDescent="0.25">
      <c r="A16" s="202"/>
      <c r="B16" s="64">
        <f t="shared" si="4"/>
        <v>4</v>
      </c>
      <c r="C16" s="77"/>
      <c r="D16" s="75"/>
      <c r="E16" s="75"/>
      <c r="F16" s="75"/>
      <c r="G16" s="75"/>
      <c r="H16" s="68"/>
      <c r="I16" s="68">
        <f t="shared" si="0"/>
        <v>0</v>
      </c>
      <c r="J16" s="68"/>
      <c r="K16" s="68">
        <f t="shared" si="3"/>
        <v>0</v>
      </c>
      <c r="L16" s="87"/>
      <c r="M16" s="76"/>
      <c r="N16" s="76"/>
    </row>
    <row r="17" spans="1:19" ht="16.5" customHeight="1" x14ac:dyDescent="0.25">
      <c r="A17" s="202"/>
      <c r="B17" s="64">
        <f t="shared" si="4"/>
        <v>5</v>
      </c>
      <c r="C17" s="77" t="s">
        <v>79</v>
      </c>
      <c r="D17" s="75" t="s">
        <v>61</v>
      </c>
      <c r="E17" s="75">
        <v>95095009661</v>
      </c>
      <c r="F17" s="75" t="s">
        <v>62</v>
      </c>
      <c r="G17" s="75" t="s">
        <v>27</v>
      </c>
      <c r="H17" s="68">
        <v>1850000</v>
      </c>
      <c r="I17" s="68">
        <f t="shared" si="0"/>
        <v>925000</v>
      </c>
      <c r="J17" s="74">
        <v>925000</v>
      </c>
      <c r="K17" s="68">
        <f t="shared" si="3"/>
        <v>0</v>
      </c>
      <c r="L17" s="87" t="s">
        <v>69</v>
      </c>
      <c r="M17" s="80"/>
      <c r="N17" s="85"/>
    </row>
    <row r="18" spans="1:19" ht="16.5" customHeight="1" x14ac:dyDescent="0.3">
      <c r="A18" s="202"/>
      <c r="B18" s="64">
        <f t="shared" si="4"/>
        <v>6</v>
      </c>
      <c r="C18" s="141" t="s">
        <v>98</v>
      </c>
      <c r="D18" s="142" t="s">
        <v>63</v>
      </c>
      <c r="E18" s="170">
        <v>91085001515</v>
      </c>
      <c r="F18" s="152" t="s">
        <v>18</v>
      </c>
      <c r="G18" s="142" t="s">
        <v>57</v>
      </c>
      <c r="H18" s="143"/>
      <c r="I18" s="143">
        <f t="shared" si="0"/>
        <v>0</v>
      </c>
      <c r="J18" s="144"/>
      <c r="K18" s="143">
        <f t="shared" si="3"/>
        <v>0</v>
      </c>
      <c r="L18" s="155"/>
      <c r="M18" s="171" t="s">
        <v>184</v>
      </c>
      <c r="N18" s="76"/>
      <c r="P18" s="157" t="s">
        <v>65</v>
      </c>
      <c r="Q18" s="162">
        <v>0.6</v>
      </c>
      <c r="S18" s="164" t="s">
        <v>177</v>
      </c>
    </row>
    <row r="19" spans="1:19" ht="16.5" customHeight="1" x14ac:dyDescent="0.3">
      <c r="A19" s="202"/>
      <c r="B19" s="64">
        <f t="shared" si="4"/>
        <v>7</v>
      </c>
      <c r="C19" s="77" t="s">
        <v>52</v>
      </c>
      <c r="D19" s="64" t="s">
        <v>54</v>
      </c>
      <c r="E19" s="64" t="s">
        <v>94</v>
      </c>
      <c r="F19" s="64" t="s">
        <v>53</v>
      </c>
      <c r="G19" s="64" t="s">
        <v>35</v>
      </c>
      <c r="H19" s="68">
        <v>900000</v>
      </c>
      <c r="I19" s="68">
        <f t="shared" si="0"/>
        <v>540000</v>
      </c>
      <c r="J19" s="68">
        <v>540000</v>
      </c>
      <c r="K19" s="68">
        <f t="shared" si="3"/>
        <v>0</v>
      </c>
      <c r="L19" s="87" t="s">
        <v>69</v>
      </c>
      <c r="M19" s="76"/>
      <c r="N19" s="76"/>
      <c r="P19" s="157" t="s">
        <v>65</v>
      </c>
      <c r="Q19" s="163">
        <v>0.5</v>
      </c>
      <c r="S19" s="164" t="s">
        <v>178</v>
      </c>
    </row>
    <row r="20" spans="1:19" ht="16.5" customHeight="1" x14ac:dyDescent="0.25">
      <c r="A20" s="202"/>
      <c r="B20" s="64">
        <f t="shared" si="4"/>
        <v>8</v>
      </c>
      <c r="C20" s="78" t="s">
        <v>92</v>
      </c>
      <c r="D20" s="70" t="s">
        <v>88</v>
      </c>
      <c r="E20" s="70" t="s">
        <v>89</v>
      </c>
      <c r="F20" s="70" t="s">
        <v>90</v>
      </c>
      <c r="G20" s="64" t="s">
        <v>137</v>
      </c>
      <c r="H20" s="74">
        <v>4400000</v>
      </c>
      <c r="I20" s="68">
        <f t="shared" si="0"/>
        <v>2200000</v>
      </c>
      <c r="J20" s="68">
        <v>2200000</v>
      </c>
      <c r="K20" s="68">
        <f t="shared" si="3"/>
        <v>0</v>
      </c>
      <c r="L20" s="87" t="s">
        <v>69</v>
      </c>
      <c r="M20" s="79"/>
      <c r="N20" s="76"/>
    </row>
    <row r="21" spans="1:19" ht="16.5" customHeight="1" x14ac:dyDescent="0.25">
      <c r="A21" s="202"/>
      <c r="B21" s="64">
        <f t="shared" si="4"/>
        <v>9</v>
      </c>
      <c r="C21" s="78" t="s">
        <v>131</v>
      </c>
      <c r="D21" s="105"/>
      <c r="E21" s="105"/>
      <c r="F21" s="105"/>
      <c r="G21" s="122" t="s">
        <v>93</v>
      </c>
      <c r="H21" s="74">
        <v>1710000</v>
      </c>
      <c r="I21" s="68">
        <f t="shared" si="0"/>
        <v>855000</v>
      </c>
      <c r="J21" s="74">
        <v>855000</v>
      </c>
      <c r="K21" s="68">
        <f t="shared" si="3"/>
        <v>0</v>
      </c>
      <c r="L21" s="87" t="s">
        <v>69</v>
      </c>
      <c r="M21" s="165" t="s">
        <v>182</v>
      </c>
      <c r="N21" s="76"/>
    </row>
    <row r="22" spans="1:19" ht="16.5" customHeight="1" x14ac:dyDescent="0.25">
      <c r="A22" s="202"/>
      <c r="B22" s="64">
        <f t="shared" si="4"/>
        <v>10</v>
      </c>
      <c r="C22" s="105"/>
      <c r="D22" s="105"/>
      <c r="E22" s="105"/>
      <c r="F22" s="105"/>
      <c r="G22" s="105"/>
      <c r="H22" s="105"/>
      <c r="I22" s="68">
        <f t="shared" si="0"/>
        <v>0</v>
      </c>
      <c r="J22" s="105"/>
      <c r="K22" s="68">
        <f t="shared" si="3"/>
        <v>0</v>
      </c>
      <c r="L22" s="105"/>
      <c r="M22" s="105"/>
      <c r="N22" s="105"/>
    </row>
    <row r="23" spans="1:19" ht="16.5" customHeight="1" x14ac:dyDescent="0.25">
      <c r="A23" s="202"/>
      <c r="B23" s="64">
        <f t="shared" si="4"/>
        <v>11</v>
      </c>
      <c r="C23" s="153"/>
      <c r="D23" s="152"/>
      <c r="E23" s="152"/>
      <c r="F23" s="152"/>
      <c r="G23" s="142" t="s">
        <v>25</v>
      </c>
      <c r="H23" s="166"/>
      <c r="I23" s="143">
        <f t="shared" si="0"/>
        <v>0</v>
      </c>
      <c r="J23" s="167"/>
      <c r="K23" s="143">
        <f t="shared" si="3"/>
        <v>0</v>
      </c>
      <c r="L23" s="150"/>
      <c r="M23" s="105"/>
      <c r="N23" s="79"/>
    </row>
    <row r="24" spans="1:19" ht="16.5" customHeight="1" x14ac:dyDescent="0.25">
      <c r="A24" s="202"/>
      <c r="B24" s="64">
        <f t="shared" si="4"/>
        <v>12</v>
      </c>
      <c r="C24" s="153"/>
      <c r="D24" s="142"/>
      <c r="E24" s="142"/>
      <c r="F24" s="142"/>
      <c r="G24" s="168" t="s">
        <v>19</v>
      </c>
      <c r="H24" s="166"/>
      <c r="I24" s="143">
        <f t="shared" si="0"/>
        <v>0</v>
      </c>
      <c r="J24" s="166"/>
      <c r="K24" s="143">
        <f>I24-J24</f>
        <v>0</v>
      </c>
      <c r="L24" s="150"/>
      <c r="M24" s="105"/>
      <c r="N24" s="105"/>
    </row>
    <row r="25" spans="1:19" ht="16.5" x14ac:dyDescent="0.25">
      <c r="A25" s="202"/>
      <c r="B25" s="64">
        <f t="shared" si="4"/>
        <v>13</v>
      </c>
      <c r="C25" s="65" t="s">
        <v>148</v>
      </c>
      <c r="D25" s="110"/>
      <c r="E25" s="111"/>
      <c r="F25" s="111"/>
      <c r="G25" s="75" t="s">
        <v>56</v>
      </c>
      <c r="H25" s="68">
        <v>2370000</v>
      </c>
      <c r="I25" s="68">
        <f t="shared" si="0"/>
        <v>1185000</v>
      </c>
      <c r="J25" s="68">
        <v>1185000</v>
      </c>
      <c r="K25" s="68">
        <f t="shared" si="3"/>
        <v>0</v>
      </c>
      <c r="L25" s="87" t="s">
        <v>69</v>
      </c>
      <c r="M25" s="105"/>
      <c r="N25" s="105"/>
    </row>
    <row r="26" spans="1:19" ht="22.15" customHeight="1" x14ac:dyDescent="0.25">
      <c r="A26" s="202"/>
      <c r="B26" s="64">
        <f t="shared" si="4"/>
        <v>14</v>
      </c>
      <c r="C26" s="77" t="s">
        <v>41</v>
      </c>
      <c r="D26" s="66" t="s">
        <v>10</v>
      </c>
      <c r="E26" s="67">
        <v>89078016404</v>
      </c>
      <c r="F26" s="66" t="s">
        <v>18</v>
      </c>
      <c r="G26" s="66" t="s">
        <v>17</v>
      </c>
      <c r="H26" s="135">
        <v>1975000</v>
      </c>
      <c r="I26" s="68">
        <f t="shared" si="0"/>
        <v>987500</v>
      </c>
      <c r="J26" s="133">
        <v>988000</v>
      </c>
      <c r="K26" s="68">
        <f t="shared" si="3"/>
        <v>-500</v>
      </c>
      <c r="L26" s="87" t="s">
        <v>69</v>
      </c>
      <c r="M26" s="136"/>
      <c r="N26" s="76"/>
    </row>
    <row r="27" spans="1:19" ht="20.45" customHeight="1" x14ac:dyDescent="0.25">
      <c r="A27" s="202"/>
      <c r="B27" s="64">
        <f t="shared" si="4"/>
        <v>15</v>
      </c>
      <c r="C27" s="169"/>
      <c r="D27" s="169"/>
      <c r="E27" s="169"/>
      <c r="F27" s="169"/>
      <c r="G27" s="142" t="s">
        <v>168</v>
      </c>
      <c r="H27" s="169"/>
      <c r="I27" s="143">
        <f t="shared" si="0"/>
        <v>0</v>
      </c>
      <c r="J27" s="169"/>
      <c r="K27" s="169"/>
      <c r="L27" s="169"/>
      <c r="M27" s="136"/>
      <c r="N27" s="76"/>
    </row>
    <row r="28" spans="1:19" ht="16.5" customHeight="1" x14ac:dyDescent="0.25">
      <c r="A28" s="202"/>
      <c r="B28" s="64">
        <f t="shared" si="4"/>
        <v>16</v>
      </c>
      <c r="C28" s="105"/>
      <c r="D28" s="105"/>
      <c r="E28" s="105"/>
      <c r="F28" s="105"/>
      <c r="G28" s="105"/>
      <c r="H28" s="105"/>
      <c r="I28" s="105"/>
      <c r="J28" s="105"/>
      <c r="K28" s="105"/>
      <c r="L28" s="105"/>
      <c r="M28" s="115"/>
      <c r="N28" s="79"/>
    </row>
    <row r="29" spans="1:19" ht="16.5" customHeight="1" x14ac:dyDescent="0.25">
      <c r="A29" s="202"/>
      <c r="B29" s="64">
        <f t="shared" si="4"/>
        <v>17</v>
      </c>
      <c r="C29" s="105"/>
      <c r="D29" s="105"/>
      <c r="E29" s="105"/>
      <c r="F29" s="105"/>
      <c r="G29" s="105"/>
      <c r="H29" s="105"/>
      <c r="I29" s="105"/>
      <c r="J29" s="105"/>
      <c r="K29" s="105"/>
      <c r="L29" s="105"/>
      <c r="M29" s="76"/>
      <c r="N29" s="76"/>
    </row>
    <row r="30" spans="1:19" ht="16.5" customHeight="1" x14ac:dyDescent="0.25">
      <c r="A30" s="202"/>
      <c r="B30" s="64">
        <f t="shared" si="4"/>
        <v>18</v>
      </c>
      <c r="C30" s="71"/>
      <c r="D30" s="73"/>
      <c r="E30" s="73"/>
      <c r="F30" s="73"/>
      <c r="G30" s="73"/>
      <c r="H30" s="135"/>
      <c r="I30" s="132"/>
      <c r="J30" s="133"/>
      <c r="K30" s="132"/>
      <c r="L30" s="131"/>
      <c r="M30" s="79"/>
      <c r="N30" s="79"/>
    </row>
    <row r="31" spans="1:19" ht="15" customHeight="1" x14ac:dyDescent="0.25"/>
    <row r="32" spans="1:19" ht="15" customHeight="1" x14ac:dyDescent="0.25"/>
    <row r="39" spans="7:7" x14ac:dyDescent="0.25">
      <c r="G39" s="25"/>
    </row>
  </sheetData>
  <mergeCells count="8">
    <mergeCell ref="B3:K3"/>
    <mergeCell ref="A7:A11"/>
    <mergeCell ref="P10:Q11"/>
    <mergeCell ref="R10:R11"/>
    <mergeCell ref="P12:Q14"/>
    <mergeCell ref="R12:R14"/>
    <mergeCell ref="A13:A30"/>
    <mergeCell ref="P15:Q15"/>
  </mergeCell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E824A-5CD7-422B-BA7A-5CBF215537AD}">
  <dimension ref="A3:S39"/>
  <sheetViews>
    <sheetView zoomScale="85" zoomScaleNormal="85" workbookViewId="0">
      <selection activeCell="Q28" sqref="Q28"/>
    </sheetView>
  </sheetViews>
  <sheetFormatPr defaultRowHeight="15" x14ac:dyDescent="0.25"/>
  <cols>
    <col min="1" max="1" width="23.140625" style="1" customWidth="1"/>
    <col min="2" max="2" width="9.140625" style="1"/>
    <col min="3" max="3" width="35.28515625" style="1" customWidth="1"/>
    <col min="4" max="4" width="19.85546875" style="1" hidden="1" customWidth="1"/>
    <col min="5" max="5" width="19.28515625" style="1" hidden="1" customWidth="1"/>
    <col min="6" max="6" width="26.42578125" style="1" hidden="1" customWidth="1"/>
    <col min="7" max="7" width="19.5703125" style="1" customWidth="1"/>
    <col min="8" max="8" width="20.42578125" style="1" customWidth="1"/>
    <col min="9" max="9" width="22.5703125" style="1" customWidth="1"/>
    <col min="10" max="10" width="20.140625" style="1" customWidth="1"/>
    <col min="11" max="12" width="19.42578125" style="1" customWidth="1"/>
    <col min="13" max="13" width="37" style="1" customWidth="1"/>
    <col min="14" max="14" width="14.140625" style="1" customWidth="1"/>
    <col min="15" max="15" width="9.140625" style="1"/>
    <col min="16" max="16" width="18.5703125" style="1" customWidth="1"/>
    <col min="17" max="17" width="22.5703125" style="1" customWidth="1"/>
    <col min="18" max="18" width="21.28515625" style="1" customWidth="1"/>
    <col min="19" max="16384" width="9.140625" style="1"/>
  </cols>
  <sheetData>
    <row r="3" spans="1:18" ht="27.75" x14ac:dyDescent="0.25">
      <c r="B3" s="183" t="s">
        <v>31</v>
      </c>
      <c r="C3" s="183"/>
      <c r="D3" s="183"/>
      <c r="E3" s="183"/>
      <c r="F3" s="183"/>
      <c r="G3" s="183"/>
      <c r="H3" s="183"/>
      <c r="I3" s="183"/>
      <c r="J3" s="183"/>
      <c r="K3" s="183"/>
    </row>
    <row r="4" spans="1:18" ht="30.75" x14ac:dyDescent="0.25">
      <c r="C4" s="117"/>
      <c r="D4" s="117"/>
      <c r="E4" s="117"/>
      <c r="H4" s="116" t="s">
        <v>187</v>
      </c>
      <c r="I4" s="117"/>
      <c r="J4" s="117"/>
      <c r="K4" s="117"/>
    </row>
    <row r="5" spans="1:18" ht="12" customHeight="1" x14ac:dyDescent="0.25"/>
    <row r="6" spans="1:18" ht="53.25" customHeight="1" x14ac:dyDescent="0.25">
      <c r="A6" s="105"/>
      <c r="B6" s="158" t="s">
        <v>0</v>
      </c>
      <c r="C6" s="158" t="s">
        <v>1</v>
      </c>
      <c r="D6" s="158" t="s">
        <v>50</v>
      </c>
      <c r="E6" s="158" t="s">
        <v>2</v>
      </c>
      <c r="F6" s="158" t="s">
        <v>3</v>
      </c>
      <c r="G6" s="158" t="s">
        <v>49</v>
      </c>
      <c r="H6" s="158" t="s">
        <v>4</v>
      </c>
      <c r="I6" s="159" t="s">
        <v>142</v>
      </c>
      <c r="J6" s="158" t="s">
        <v>115</v>
      </c>
      <c r="K6" s="158" t="s">
        <v>116</v>
      </c>
      <c r="L6" s="158" t="s">
        <v>7</v>
      </c>
      <c r="M6" s="158" t="s">
        <v>34</v>
      </c>
      <c r="N6" s="158" t="s">
        <v>51</v>
      </c>
      <c r="P6" s="87" t="s">
        <v>69</v>
      </c>
    </row>
    <row r="7" spans="1:18" ht="34.5" customHeight="1" x14ac:dyDescent="0.25">
      <c r="A7" s="197" t="s">
        <v>119</v>
      </c>
      <c r="B7" s="64">
        <v>1</v>
      </c>
      <c r="C7" s="65" t="s">
        <v>132</v>
      </c>
      <c r="D7" s="66" t="s">
        <v>9</v>
      </c>
      <c r="E7" s="67">
        <v>91203011680</v>
      </c>
      <c r="F7" s="66" t="s">
        <v>15</v>
      </c>
      <c r="G7" s="66" t="s">
        <v>16</v>
      </c>
      <c r="H7" s="68">
        <v>1500000</v>
      </c>
      <c r="I7" s="68">
        <f>IF(H7="",0,IF(H7&gt;1700000,H7*Q$19,H7*Q$18))</f>
        <v>900000</v>
      </c>
      <c r="J7" s="68">
        <v>900000</v>
      </c>
      <c r="K7" s="68">
        <f>I7-J7</f>
        <v>0</v>
      </c>
      <c r="L7" s="88" t="s">
        <v>26</v>
      </c>
      <c r="M7" s="136" t="s">
        <v>170</v>
      </c>
      <c r="N7" s="76"/>
      <c r="P7" s="88" t="s">
        <v>26</v>
      </c>
    </row>
    <row r="8" spans="1:18" ht="16.5" customHeight="1" x14ac:dyDescent="0.25">
      <c r="A8" s="198"/>
      <c r="B8" s="64">
        <f>B7+1</f>
        <v>2</v>
      </c>
      <c r="C8" s="65" t="s">
        <v>150</v>
      </c>
      <c r="D8" s="75" t="s">
        <v>28</v>
      </c>
      <c r="E8" s="75">
        <v>42094001136</v>
      </c>
      <c r="F8" s="75" t="s">
        <v>15</v>
      </c>
      <c r="G8" s="75" t="s">
        <v>36</v>
      </c>
      <c r="H8" s="68">
        <v>1200000</v>
      </c>
      <c r="I8" s="68">
        <f t="shared" ref="I8:I27" si="0">IF(H8="",0,IF(H8&gt;1700000,H8*Q$19,H8*Q$18))</f>
        <v>720000</v>
      </c>
      <c r="J8" s="68">
        <v>600000</v>
      </c>
      <c r="K8" s="68">
        <f t="shared" ref="K8:K10" si="1">I8-J8</f>
        <v>120000</v>
      </c>
      <c r="L8" s="88" t="s">
        <v>26</v>
      </c>
      <c r="M8" s="76" t="s">
        <v>185</v>
      </c>
      <c r="N8" s="76"/>
      <c r="P8" s="82" t="s">
        <v>72</v>
      </c>
    </row>
    <row r="9" spans="1:18" ht="16.5" customHeight="1" x14ac:dyDescent="0.25">
      <c r="A9" s="198"/>
      <c r="B9" s="64">
        <f t="shared" ref="B9:B10" si="2">B8+1</f>
        <v>3</v>
      </c>
      <c r="C9" s="153" t="s">
        <v>134</v>
      </c>
      <c r="D9" s="152" t="s">
        <v>101</v>
      </c>
      <c r="E9" s="152">
        <v>70081001153</v>
      </c>
      <c r="F9" s="152" t="s">
        <v>102</v>
      </c>
      <c r="G9" s="152" t="s">
        <v>83</v>
      </c>
      <c r="H9" s="143">
        <v>430000</v>
      </c>
      <c r="I9" s="143">
        <f t="shared" si="0"/>
        <v>258000</v>
      </c>
      <c r="J9" s="144">
        <v>260000</v>
      </c>
      <c r="K9" s="143">
        <f t="shared" si="1"/>
        <v>-2000</v>
      </c>
      <c r="L9" s="150" t="s">
        <v>26</v>
      </c>
      <c r="M9" s="172" t="s">
        <v>186</v>
      </c>
      <c r="N9" s="79"/>
    </row>
    <row r="10" spans="1:18" ht="16.5" customHeight="1" x14ac:dyDescent="0.25">
      <c r="A10" s="198"/>
      <c r="B10" s="64">
        <f t="shared" si="2"/>
        <v>4</v>
      </c>
      <c r="C10" s="71" t="s">
        <v>135</v>
      </c>
      <c r="D10" s="73" t="s">
        <v>106</v>
      </c>
      <c r="E10" s="73">
        <v>27068001194</v>
      </c>
      <c r="F10" s="73" t="s">
        <v>105</v>
      </c>
      <c r="G10" s="127" t="s">
        <v>73</v>
      </c>
      <c r="H10" s="74">
        <v>1500000</v>
      </c>
      <c r="I10" s="68">
        <f t="shared" si="0"/>
        <v>900000</v>
      </c>
      <c r="J10" s="74">
        <v>900000</v>
      </c>
      <c r="K10" s="68">
        <f t="shared" si="1"/>
        <v>0</v>
      </c>
      <c r="L10" s="88" t="s">
        <v>26</v>
      </c>
      <c r="M10" s="76"/>
      <c r="N10" s="76"/>
      <c r="P10" s="203" t="s">
        <v>29</v>
      </c>
      <c r="Q10" s="203"/>
      <c r="R10" s="204">
        <f>SUM(H7:H999)</f>
        <v>22790000</v>
      </c>
    </row>
    <row r="11" spans="1:18" ht="16.5" customHeight="1" x14ac:dyDescent="0.25">
      <c r="A11" s="199"/>
      <c r="H11" s="26"/>
      <c r="I11" s="26"/>
      <c r="J11" s="26"/>
      <c r="K11" s="26"/>
      <c r="M11" s="79"/>
      <c r="N11" s="79"/>
      <c r="P11" s="203"/>
      <c r="Q11" s="203"/>
      <c r="R11" s="204"/>
    </row>
    <row r="12" spans="1:18" ht="16.5" customHeight="1" x14ac:dyDescent="0.25">
      <c r="A12" s="107"/>
      <c r="B12" s="89"/>
      <c r="C12" s="90"/>
      <c r="D12" s="89"/>
      <c r="E12" s="91"/>
      <c r="F12" s="92"/>
      <c r="G12" s="93"/>
      <c r="H12" s="94"/>
      <c r="I12" s="94"/>
      <c r="J12" s="147"/>
      <c r="K12" s="123"/>
      <c r="L12" s="96"/>
      <c r="M12" s="97"/>
      <c r="N12" s="97"/>
      <c r="P12" s="205" t="s">
        <v>143</v>
      </c>
      <c r="Q12" s="205"/>
      <c r="R12" s="204">
        <f>SUM(I7:I999)</f>
        <v>12103000</v>
      </c>
    </row>
    <row r="13" spans="1:18" ht="22.5" customHeight="1" x14ac:dyDescent="0.25">
      <c r="A13" s="201" t="s">
        <v>118</v>
      </c>
      <c r="B13" s="64">
        <v>1</v>
      </c>
      <c r="C13" s="77" t="s">
        <v>40</v>
      </c>
      <c r="D13" s="66" t="s">
        <v>8</v>
      </c>
      <c r="E13" s="67">
        <v>38096003688</v>
      </c>
      <c r="F13" s="66" t="s">
        <v>13</v>
      </c>
      <c r="G13" s="66" t="s">
        <v>14</v>
      </c>
      <c r="H13" s="68">
        <v>2050000</v>
      </c>
      <c r="I13" s="68">
        <f t="shared" si="0"/>
        <v>1025000</v>
      </c>
      <c r="J13" s="68">
        <v>1025000</v>
      </c>
      <c r="K13" s="68">
        <f t="shared" ref="K13:K26" si="3">I13-J13</f>
        <v>0</v>
      </c>
      <c r="L13" s="87" t="s">
        <v>69</v>
      </c>
      <c r="M13" s="76"/>
      <c r="N13" s="76"/>
      <c r="P13" s="205"/>
      <c r="Q13" s="205"/>
      <c r="R13" s="204"/>
    </row>
    <row r="14" spans="1:18" ht="16.5" customHeight="1" x14ac:dyDescent="0.25">
      <c r="A14" s="202"/>
      <c r="B14" s="64">
        <f>B13+1</f>
        <v>2</v>
      </c>
      <c r="C14" s="78" t="s">
        <v>67</v>
      </c>
      <c r="D14" s="73" t="s">
        <v>11</v>
      </c>
      <c r="E14" s="72">
        <v>89099008054</v>
      </c>
      <c r="F14" s="73" t="s">
        <v>18</v>
      </c>
      <c r="G14" s="73" t="s">
        <v>48</v>
      </c>
      <c r="H14" s="74">
        <v>1270000</v>
      </c>
      <c r="I14" s="68">
        <f t="shared" si="0"/>
        <v>762000</v>
      </c>
      <c r="J14" s="74">
        <v>762000</v>
      </c>
      <c r="K14" s="68">
        <f t="shared" si="3"/>
        <v>0</v>
      </c>
      <c r="L14" s="87" t="s">
        <v>69</v>
      </c>
      <c r="M14" s="79"/>
      <c r="N14" s="79"/>
      <c r="P14" s="205"/>
      <c r="Q14" s="205"/>
      <c r="R14" s="204"/>
    </row>
    <row r="15" spans="1:18" ht="22.5" customHeight="1" x14ac:dyDescent="0.3">
      <c r="A15" s="202"/>
      <c r="B15" s="64">
        <f t="shared" ref="B15:B30" si="4">B14+1</f>
        <v>3</v>
      </c>
      <c r="C15" s="77" t="s">
        <v>43</v>
      </c>
      <c r="D15" s="75" t="s">
        <v>23</v>
      </c>
      <c r="E15" s="75">
        <v>42088019031</v>
      </c>
      <c r="F15" s="75" t="s">
        <v>21</v>
      </c>
      <c r="G15" s="75" t="s">
        <v>22</v>
      </c>
      <c r="H15" s="68">
        <v>1180000</v>
      </c>
      <c r="I15" s="68">
        <f t="shared" si="0"/>
        <v>708000</v>
      </c>
      <c r="J15" s="74">
        <v>708000</v>
      </c>
      <c r="K15" s="68">
        <f t="shared" si="3"/>
        <v>0</v>
      </c>
      <c r="L15" s="87" t="s">
        <v>69</v>
      </c>
      <c r="M15" s="76"/>
      <c r="N15" s="85"/>
      <c r="P15" s="206" t="s">
        <v>117</v>
      </c>
      <c r="Q15" s="206"/>
      <c r="R15" s="160">
        <f>SUM(J7:J98)</f>
        <v>12000000</v>
      </c>
    </row>
    <row r="16" spans="1:18" ht="16.5" customHeight="1" x14ac:dyDescent="0.25">
      <c r="A16" s="202"/>
      <c r="B16" s="64">
        <f t="shared" si="4"/>
        <v>4</v>
      </c>
      <c r="C16" s="77"/>
      <c r="D16" s="75"/>
      <c r="E16" s="75"/>
      <c r="F16" s="75"/>
      <c r="G16" s="75"/>
      <c r="H16" s="68"/>
      <c r="I16" s="68">
        <f t="shared" si="0"/>
        <v>0</v>
      </c>
      <c r="J16" s="68"/>
      <c r="K16" s="68">
        <f t="shared" si="3"/>
        <v>0</v>
      </c>
      <c r="L16" s="87"/>
      <c r="M16" s="76"/>
      <c r="N16" s="76"/>
    </row>
    <row r="17" spans="1:19" ht="16.5" customHeight="1" x14ac:dyDescent="0.25">
      <c r="A17" s="202"/>
      <c r="B17" s="64">
        <f t="shared" si="4"/>
        <v>5</v>
      </c>
      <c r="C17" s="77" t="s">
        <v>79</v>
      </c>
      <c r="D17" s="75" t="s">
        <v>61</v>
      </c>
      <c r="E17" s="75">
        <v>95095009661</v>
      </c>
      <c r="F17" s="75" t="s">
        <v>62</v>
      </c>
      <c r="G17" s="75" t="s">
        <v>27</v>
      </c>
      <c r="H17" s="68">
        <v>2100000</v>
      </c>
      <c r="I17" s="68">
        <f t="shared" si="0"/>
        <v>1050000</v>
      </c>
      <c r="J17" s="74">
        <v>1050000</v>
      </c>
      <c r="K17" s="68">
        <f t="shared" si="3"/>
        <v>0</v>
      </c>
      <c r="L17" s="87" t="s">
        <v>69</v>
      </c>
      <c r="M17" s="80"/>
      <c r="N17" s="85"/>
    </row>
    <row r="18" spans="1:19" ht="16.5" customHeight="1" x14ac:dyDescent="0.3">
      <c r="A18" s="202"/>
      <c r="B18" s="64">
        <f t="shared" si="4"/>
        <v>6</v>
      </c>
      <c r="C18" s="141" t="s">
        <v>98</v>
      </c>
      <c r="D18" s="142" t="s">
        <v>63</v>
      </c>
      <c r="E18" s="170">
        <v>91085001515</v>
      </c>
      <c r="F18" s="152" t="s">
        <v>18</v>
      </c>
      <c r="G18" s="142" t="s">
        <v>57</v>
      </c>
      <c r="H18" s="143"/>
      <c r="I18" s="143">
        <f t="shared" si="0"/>
        <v>0</v>
      </c>
      <c r="J18" s="144"/>
      <c r="K18" s="143">
        <f t="shared" si="3"/>
        <v>0</v>
      </c>
      <c r="L18" s="155"/>
      <c r="M18" s="171" t="s">
        <v>184</v>
      </c>
      <c r="N18" s="76"/>
      <c r="P18" s="157" t="s">
        <v>65</v>
      </c>
      <c r="Q18" s="162">
        <v>0.6</v>
      </c>
      <c r="S18" s="164" t="s">
        <v>177</v>
      </c>
    </row>
    <row r="19" spans="1:19" ht="16.5" customHeight="1" x14ac:dyDescent="0.3">
      <c r="A19" s="202"/>
      <c r="B19" s="64">
        <f t="shared" si="4"/>
        <v>7</v>
      </c>
      <c r="C19" s="77" t="s">
        <v>52</v>
      </c>
      <c r="D19" s="64" t="s">
        <v>54</v>
      </c>
      <c r="E19" s="64" t="s">
        <v>94</v>
      </c>
      <c r="F19" s="64" t="s">
        <v>53</v>
      </c>
      <c r="G19" s="64" t="s">
        <v>35</v>
      </c>
      <c r="H19" s="68">
        <v>2570000</v>
      </c>
      <c r="I19" s="68">
        <f t="shared" si="0"/>
        <v>1285000</v>
      </c>
      <c r="J19" s="68">
        <v>1300000</v>
      </c>
      <c r="K19" s="68">
        <f t="shared" si="3"/>
        <v>-15000</v>
      </c>
      <c r="L19" s="87" t="s">
        <v>69</v>
      </c>
      <c r="M19" s="76"/>
      <c r="N19" s="76"/>
      <c r="P19" s="157" t="s">
        <v>65</v>
      </c>
      <c r="Q19" s="163">
        <v>0.5</v>
      </c>
      <c r="S19" s="164" t="s">
        <v>178</v>
      </c>
    </row>
    <row r="20" spans="1:19" ht="16.5" customHeight="1" x14ac:dyDescent="0.25">
      <c r="A20" s="202"/>
      <c r="B20" s="64">
        <f t="shared" si="4"/>
        <v>8</v>
      </c>
      <c r="C20" s="78" t="s">
        <v>92</v>
      </c>
      <c r="D20" s="70" t="s">
        <v>88</v>
      </c>
      <c r="E20" s="70" t="s">
        <v>89</v>
      </c>
      <c r="F20" s="70" t="s">
        <v>90</v>
      </c>
      <c r="G20" s="64" t="s">
        <v>137</v>
      </c>
      <c r="H20" s="74">
        <v>2650000</v>
      </c>
      <c r="I20" s="68">
        <f t="shared" si="0"/>
        <v>1325000</v>
      </c>
      <c r="J20" s="68">
        <v>1325000</v>
      </c>
      <c r="K20" s="68">
        <f t="shared" si="3"/>
        <v>0</v>
      </c>
      <c r="L20" s="87" t="s">
        <v>69</v>
      </c>
      <c r="M20" s="79"/>
      <c r="N20" s="76"/>
    </row>
    <row r="21" spans="1:19" ht="16.5" customHeight="1" x14ac:dyDescent="0.25">
      <c r="A21" s="202"/>
      <c r="B21" s="64">
        <f t="shared" si="4"/>
        <v>9</v>
      </c>
      <c r="C21" s="78" t="s">
        <v>131</v>
      </c>
      <c r="D21" s="105"/>
      <c r="E21" s="105"/>
      <c r="F21" s="105"/>
      <c r="G21" s="122" t="s">
        <v>93</v>
      </c>
      <c r="H21" s="74">
        <v>2060000</v>
      </c>
      <c r="I21" s="68">
        <f t="shared" si="0"/>
        <v>1030000</v>
      </c>
      <c r="J21" s="74">
        <v>1030000</v>
      </c>
      <c r="K21" s="68">
        <f t="shared" si="3"/>
        <v>0</v>
      </c>
      <c r="L21" s="87" t="s">
        <v>69</v>
      </c>
      <c r="M21" s="165" t="s">
        <v>182</v>
      </c>
      <c r="N21" s="76"/>
    </row>
    <row r="22" spans="1:19" ht="16.5" customHeight="1" x14ac:dyDescent="0.25">
      <c r="A22" s="202"/>
      <c r="B22" s="64">
        <f t="shared" si="4"/>
        <v>10</v>
      </c>
      <c r="C22" s="105"/>
      <c r="D22" s="105"/>
      <c r="E22" s="105"/>
      <c r="F22" s="105"/>
      <c r="G22" s="105"/>
      <c r="H22" s="105"/>
      <c r="I22" s="68">
        <f t="shared" si="0"/>
        <v>0</v>
      </c>
      <c r="J22" s="105"/>
      <c r="K22" s="68">
        <f t="shared" si="3"/>
        <v>0</v>
      </c>
      <c r="L22" s="105"/>
      <c r="M22" s="105"/>
      <c r="N22" s="105"/>
    </row>
    <row r="23" spans="1:19" ht="16.5" customHeight="1" x14ac:dyDescent="0.25">
      <c r="A23" s="202"/>
      <c r="B23" s="64">
        <f t="shared" si="4"/>
        <v>11</v>
      </c>
      <c r="C23" s="153"/>
      <c r="D23" s="152"/>
      <c r="E23" s="152"/>
      <c r="F23" s="152"/>
      <c r="G23" s="142" t="s">
        <v>25</v>
      </c>
      <c r="H23" s="166"/>
      <c r="I23" s="143">
        <f t="shared" si="0"/>
        <v>0</v>
      </c>
      <c r="J23" s="167"/>
      <c r="K23" s="143">
        <f t="shared" si="3"/>
        <v>0</v>
      </c>
      <c r="L23" s="150"/>
      <c r="M23" s="105"/>
      <c r="N23" s="79"/>
    </row>
    <row r="24" spans="1:19" ht="16.5" customHeight="1" x14ac:dyDescent="0.25">
      <c r="A24" s="202"/>
      <c r="B24" s="64">
        <f t="shared" si="4"/>
        <v>12</v>
      </c>
      <c r="C24" s="153"/>
      <c r="D24" s="142"/>
      <c r="E24" s="142"/>
      <c r="F24" s="142"/>
      <c r="G24" s="168" t="s">
        <v>19</v>
      </c>
      <c r="H24" s="166"/>
      <c r="I24" s="143">
        <f t="shared" si="0"/>
        <v>0</v>
      </c>
      <c r="J24" s="166"/>
      <c r="K24" s="143">
        <f>I24-J24</f>
        <v>0</v>
      </c>
      <c r="L24" s="150"/>
      <c r="M24" s="105"/>
      <c r="N24" s="105"/>
    </row>
    <row r="25" spans="1:19" ht="16.5" x14ac:dyDescent="0.25">
      <c r="A25" s="202"/>
      <c r="B25" s="64">
        <f t="shared" si="4"/>
        <v>13</v>
      </c>
      <c r="C25" s="65" t="s">
        <v>148</v>
      </c>
      <c r="D25" s="110"/>
      <c r="E25" s="111"/>
      <c r="F25" s="111"/>
      <c r="G25" s="75" t="s">
        <v>56</v>
      </c>
      <c r="H25" s="68">
        <v>2000000</v>
      </c>
      <c r="I25" s="68">
        <f t="shared" si="0"/>
        <v>1000000</v>
      </c>
      <c r="J25" s="68">
        <v>1000000</v>
      </c>
      <c r="K25" s="68">
        <f t="shared" si="3"/>
        <v>0</v>
      </c>
      <c r="L25" s="87" t="s">
        <v>69</v>
      </c>
      <c r="M25" s="105"/>
      <c r="N25" s="105"/>
    </row>
    <row r="26" spans="1:19" ht="22.15" customHeight="1" x14ac:dyDescent="0.25">
      <c r="A26" s="202"/>
      <c r="B26" s="64">
        <f t="shared" si="4"/>
        <v>14</v>
      </c>
      <c r="C26" s="77" t="s">
        <v>41</v>
      </c>
      <c r="D26" s="66" t="s">
        <v>10</v>
      </c>
      <c r="E26" s="67">
        <v>89078016404</v>
      </c>
      <c r="F26" s="66" t="s">
        <v>18</v>
      </c>
      <c r="G26" s="66" t="s">
        <v>17</v>
      </c>
      <c r="H26" s="135">
        <v>2280000</v>
      </c>
      <c r="I26" s="68">
        <f t="shared" si="0"/>
        <v>1140000</v>
      </c>
      <c r="J26" s="133">
        <v>1140000</v>
      </c>
      <c r="K26" s="68">
        <f t="shared" si="3"/>
        <v>0</v>
      </c>
      <c r="L26" s="87" t="s">
        <v>69</v>
      </c>
      <c r="M26" s="136"/>
      <c r="N26" s="76"/>
    </row>
    <row r="27" spans="1:19" ht="20.45" customHeight="1" x14ac:dyDescent="0.25">
      <c r="A27" s="202"/>
      <c r="B27" s="64">
        <f t="shared" si="4"/>
        <v>15</v>
      </c>
      <c r="C27" s="169"/>
      <c r="D27" s="169"/>
      <c r="E27" s="169"/>
      <c r="F27" s="169"/>
      <c r="G27" s="142" t="s">
        <v>168</v>
      </c>
      <c r="H27" s="169"/>
      <c r="I27" s="143">
        <f t="shared" si="0"/>
        <v>0</v>
      </c>
      <c r="J27" s="169"/>
      <c r="K27" s="169"/>
      <c r="L27" s="169"/>
      <c r="M27" s="136"/>
      <c r="N27" s="76"/>
    </row>
    <row r="28" spans="1:19" ht="16.5" customHeight="1" x14ac:dyDescent="0.25">
      <c r="A28" s="202"/>
      <c r="B28" s="64">
        <f t="shared" si="4"/>
        <v>16</v>
      </c>
      <c r="C28" s="105"/>
      <c r="D28" s="105"/>
      <c r="E28" s="105"/>
      <c r="F28" s="105"/>
      <c r="G28" s="105"/>
      <c r="H28" s="105"/>
      <c r="I28" s="105"/>
      <c r="J28" s="105"/>
      <c r="K28" s="105"/>
      <c r="L28" s="105"/>
      <c r="M28" s="115"/>
      <c r="N28" s="79"/>
    </row>
    <row r="29" spans="1:19" ht="16.5" customHeight="1" x14ac:dyDescent="0.25">
      <c r="A29" s="202"/>
      <c r="B29" s="64">
        <f t="shared" si="4"/>
        <v>17</v>
      </c>
      <c r="C29" s="105"/>
      <c r="D29" s="105"/>
      <c r="E29" s="105"/>
      <c r="F29" s="105"/>
      <c r="G29" s="105"/>
      <c r="H29" s="105"/>
      <c r="I29" s="105"/>
      <c r="J29" s="105"/>
      <c r="K29" s="105"/>
      <c r="L29" s="105"/>
      <c r="M29" s="76"/>
      <c r="N29" s="76"/>
    </row>
    <row r="30" spans="1:19" ht="16.5" customHeight="1" x14ac:dyDescent="0.25">
      <c r="A30" s="202"/>
      <c r="B30" s="64">
        <f t="shared" si="4"/>
        <v>18</v>
      </c>
      <c r="C30" s="71"/>
      <c r="D30" s="73"/>
      <c r="E30" s="73"/>
      <c r="F30" s="73"/>
      <c r="G30" s="73"/>
      <c r="H30" s="135"/>
      <c r="I30" s="132"/>
      <c r="J30" s="133"/>
      <c r="K30" s="132"/>
      <c r="L30" s="131"/>
      <c r="M30" s="79"/>
      <c r="N30" s="79"/>
    </row>
    <row r="31" spans="1:19" ht="15" customHeight="1" x14ac:dyDescent="0.25"/>
    <row r="32" spans="1:19" ht="15" customHeight="1" x14ac:dyDescent="0.25"/>
    <row r="39" spans="7:7" x14ac:dyDescent="0.25">
      <c r="G39" s="25"/>
    </row>
  </sheetData>
  <mergeCells count="8">
    <mergeCell ref="B3:K3"/>
    <mergeCell ref="A7:A11"/>
    <mergeCell ref="P10:Q11"/>
    <mergeCell ref="R10:R11"/>
    <mergeCell ref="P12:Q14"/>
    <mergeCell ref="R12:R14"/>
    <mergeCell ref="A13:A30"/>
    <mergeCell ref="P15:Q15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A04A6-898E-4DE4-9643-262E8A2E287A}">
  <dimension ref="A3:S39"/>
  <sheetViews>
    <sheetView zoomScale="85" zoomScaleNormal="85" workbookViewId="0">
      <selection activeCell="R29" sqref="R29"/>
    </sheetView>
  </sheetViews>
  <sheetFormatPr defaultRowHeight="15" x14ac:dyDescent="0.25"/>
  <cols>
    <col min="1" max="1" width="23.140625" style="1" customWidth="1"/>
    <col min="2" max="2" width="9.140625" style="1"/>
    <col min="3" max="3" width="35.28515625" style="1" customWidth="1"/>
    <col min="4" max="4" width="19.85546875" style="1" hidden="1" customWidth="1"/>
    <col min="5" max="5" width="19.28515625" style="1" hidden="1" customWidth="1"/>
    <col min="6" max="6" width="26.42578125" style="1" hidden="1" customWidth="1"/>
    <col min="7" max="7" width="19.5703125" style="1" customWidth="1"/>
    <col min="8" max="8" width="20.42578125" style="1" customWidth="1"/>
    <col min="9" max="9" width="22.5703125" style="1" customWidth="1"/>
    <col min="10" max="10" width="20.140625" style="1" customWidth="1"/>
    <col min="11" max="12" width="19.42578125" style="1" customWidth="1"/>
    <col min="13" max="13" width="37" style="1" customWidth="1"/>
    <col min="14" max="14" width="14.140625" style="1" customWidth="1"/>
    <col min="15" max="15" width="9.140625" style="1"/>
    <col min="16" max="16" width="18.5703125" style="1" customWidth="1"/>
    <col min="17" max="17" width="22.5703125" style="1" customWidth="1"/>
    <col min="18" max="18" width="21.28515625" style="1" customWidth="1"/>
    <col min="19" max="16384" width="9.140625" style="1"/>
  </cols>
  <sheetData>
    <row r="3" spans="1:18" ht="27.75" x14ac:dyDescent="0.25">
      <c r="B3" s="183" t="s">
        <v>31</v>
      </c>
      <c r="C3" s="183"/>
      <c r="D3" s="183"/>
      <c r="E3" s="183"/>
      <c r="F3" s="183"/>
      <c r="G3" s="183"/>
      <c r="H3" s="183"/>
      <c r="I3" s="183"/>
      <c r="J3" s="183"/>
      <c r="K3" s="183"/>
    </row>
    <row r="4" spans="1:18" ht="30.75" x14ac:dyDescent="0.25">
      <c r="C4" s="117"/>
      <c r="D4" s="117"/>
      <c r="E4" s="117"/>
      <c r="H4" s="116" t="s">
        <v>190</v>
      </c>
      <c r="I4" s="117"/>
      <c r="J4" s="117"/>
      <c r="K4" s="117"/>
    </row>
    <row r="5" spans="1:18" ht="12" customHeight="1" x14ac:dyDescent="0.25"/>
    <row r="6" spans="1:18" ht="53.25" customHeight="1" x14ac:dyDescent="0.25">
      <c r="A6" s="105"/>
      <c r="B6" s="158" t="s">
        <v>0</v>
      </c>
      <c r="C6" s="158" t="s">
        <v>1</v>
      </c>
      <c r="D6" s="158" t="s">
        <v>50</v>
      </c>
      <c r="E6" s="158" t="s">
        <v>2</v>
      </c>
      <c r="F6" s="158" t="s">
        <v>3</v>
      </c>
      <c r="G6" s="158" t="s">
        <v>49</v>
      </c>
      <c r="H6" s="158" t="s">
        <v>4</v>
      </c>
      <c r="I6" s="159" t="s">
        <v>142</v>
      </c>
      <c r="J6" s="158" t="s">
        <v>115</v>
      </c>
      <c r="K6" s="158" t="s">
        <v>116</v>
      </c>
      <c r="L6" s="158" t="s">
        <v>7</v>
      </c>
      <c r="M6" s="158" t="s">
        <v>34</v>
      </c>
      <c r="N6" s="158" t="s">
        <v>51</v>
      </c>
      <c r="P6" s="87" t="s">
        <v>69</v>
      </c>
    </row>
    <row r="7" spans="1:18" ht="34.5" customHeight="1" x14ac:dyDescent="0.25">
      <c r="A7" s="197" t="s">
        <v>119</v>
      </c>
      <c r="B7" s="64">
        <v>1</v>
      </c>
      <c r="C7" s="65" t="s">
        <v>132</v>
      </c>
      <c r="D7" s="66" t="s">
        <v>9</v>
      </c>
      <c r="E7" s="67">
        <v>91203011680</v>
      </c>
      <c r="F7" s="66" t="s">
        <v>15</v>
      </c>
      <c r="G7" s="66" t="s">
        <v>16</v>
      </c>
      <c r="H7" s="68">
        <v>1450000</v>
      </c>
      <c r="I7" s="68">
        <f>IF(H7="",0,IF(H7&gt;=1700000,H7*Q$19,H7*Q$18))</f>
        <v>870000</v>
      </c>
      <c r="J7" s="68">
        <v>870000</v>
      </c>
      <c r="K7" s="68">
        <f>I7-J7</f>
        <v>0</v>
      </c>
      <c r="L7" s="69" t="s">
        <v>26</v>
      </c>
      <c r="M7" s="136"/>
      <c r="N7" s="76"/>
      <c r="P7" s="88" t="s">
        <v>26</v>
      </c>
    </row>
    <row r="8" spans="1:18" ht="16.5" customHeight="1" x14ac:dyDescent="0.25">
      <c r="A8" s="198"/>
      <c r="B8" s="64">
        <f>B7+1</f>
        <v>2</v>
      </c>
      <c r="C8" s="65"/>
      <c r="D8" s="75" t="s">
        <v>28</v>
      </c>
      <c r="E8" s="75">
        <v>42094001136</v>
      </c>
      <c r="F8" s="75" t="s">
        <v>15</v>
      </c>
      <c r="G8" s="75" t="s">
        <v>36</v>
      </c>
      <c r="H8" s="68"/>
      <c r="I8" s="68">
        <f t="shared" ref="I8:I10" si="0">IF(H8="",0,IF(H8&gt;=1700000,H8*Q$19,H8*Q$18))</f>
        <v>0</v>
      </c>
      <c r="J8" s="68"/>
      <c r="K8" s="68">
        <f t="shared" ref="K8:K10" si="1">I8-J8</f>
        <v>0</v>
      </c>
      <c r="L8" s="69"/>
      <c r="M8" s="76"/>
      <c r="N8" s="76"/>
      <c r="P8" s="82" t="s">
        <v>72</v>
      </c>
    </row>
    <row r="9" spans="1:18" ht="16.5" customHeight="1" x14ac:dyDescent="0.25">
      <c r="A9" s="198"/>
      <c r="B9" s="64">
        <f t="shared" ref="B9:B10" si="2">B8+1</f>
        <v>3</v>
      </c>
      <c r="C9" s="65" t="s">
        <v>188</v>
      </c>
      <c r="D9" s="66" t="s">
        <v>101</v>
      </c>
      <c r="E9" s="66">
        <v>70081001153</v>
      </c>
      <c r="F9" s="66" t="s">
        <v>102</v>
      </c>
      <c r="G9" s="66" t="s">
        <v>83</v>
      </c>
      <c r="H9" s="68">
        <v>700000</v>
      </c>
      <c r="I9" s="68">
        <f t="shared" si="0"/>
        <v>420000</v>
      </c>
      <c r="J9" s="74">
        <v>350000</v>
      </c>
      <c r="K9" s="68">
        <v>0</v>
      </c>
      <c r="L9" s="69" t="s">
        <v>26</v>
      </c>
      <c r="M9" s="76" t="s">
        <v>189</v>
      </c>
      <c r="N9" s="79"/>
    </row>
    <row r="10" spans="1:18" ht="16.5" customHeight="1" x14ac:dyDescent="0.25">
      <c r="A10" s="198"/>
      <c r="B10" s="64">
        <f t="shared" si="2"/>
        <v>4</v>
      </c>
      <c r="C10" s="71" t="s">
        <v>135</v>
      </c>
      <c r="D10" s="73" t="s">
        <v>106</v>
      </c>
      <c r="E10" s="73">
        <v>27068001194</v>
      </c>
      <c r="F10" s="73" t="s">
        <v>105</v>
      </c>
      <c r="G10" s="73" t="s">
        <v>73</v>
      </c>
      <c r="H10" s="74">
        <v>1400000</v>
      </c>
      <c r="I10" s="68">
        <f t="shared" si="0"/>
        <v>840000</v>
      </c>
      <c r="J10" s="74">
        <v>840000</v>
      </c>
      <c r="K10" s="68">
        <f t="shared" si="1"/>
        <v>0</v>
      </c>
      <c r="L10" s="69" t="s">
        <v>26</v>
      </c>
      <c r="M10" s="76" t="s">
        <v>192</v>
      </c>
      <c r="N10" s="76"/>
      <c r="P10" s="203" t="s">
        <v>29</v>
      </c>
      <c r="Q10" s="203"/>
      <c r="R10" s="204">
        <f>SUM(H7:H999)</f>
        <v>18585000</v>
      </c>
    </row>
    <row r="11" spans="1:18" ht="16.5" customHeight="1" x14ac:dyDescent="0.25">
      <c r="A11" s="199"/>
      <c r="C11" s="175"/>
      <c r="D11" s="175"/>
      <c r="E11" s="175"/>
      <c r="F11" s="175"/>
      <c r="G11" s="175"/>
      <c r="H11" s="176"/>
      <c r="I11" s="176"/>
      <c r="J11" s="176"/>
      <c r="K11" s="176"/>
      <c r="L11" s="175"/>
      <c r="M11" s="79"/>
      <c r="N11" s="79"/>
      <c r="P11" s="203"/>
      <c r="Q11" s="203"/>
      <c r="R11" s="204"/>
    </row>
    <row r="12" spans="1:18" ht="16.5" customHeight="1" x14ac:dyDescent="0.25">
      <c r="A12" s="107"/>
      <c r="B12" s="89"/>
      <c r="C12" s="90"/>
      <c r="D12" s="89"/>
      <c r="E12" s="91"/>
      <c r="F12" s="92"/>
      <c r="G12" s="93"/>
      <c r="H12" s="94"/>
      <c r="I12" s="94"/>
      <c r="J12" s="147"/>
      <c r="K12" s="123"/>
      <c r="L12" s="96"/>
      <c r="M12" s="97"/>
      <c r="N12" s="97"/>
      <c r="P12" s="205" t="s">
        <v>143</v>
      </c>
      <c r="Q12" s="205"/>
      <c r="R12" s="204">
        <f>SUM(I7:I999)</f>
        <v>10091000</v>
      </c>
    </row>
    <row r="13" spans="1:18" ht="22.5" customHeight="1" x14ac:dyDescent="0.25">
      <c r="A13" s="201" t="s">
        <v>118</v>
      </c>
      <c r="B13" s="64">
        <v>1</v>
      </c>
      <c r="C13" s="77" t="s">
        <v>40</v>
      </c>
      <c r="D13" s="66" t="s">
        <v>8</v>
      </c>
      <c r="E13" s="67">
        <v>38096003688</v>
      </c>
      <c r="F13" s="66" t="s">
        <v>13</v>
      </c>
      <c r="G13" s="66" t="s">
        <v>14</v>
      </c>
      <c r="H13" s="68">
        <v>2530000</v>
      </c>
      <c r="I13" s="68">
        <f>IF(H13="",0,IF(H13&gt;=1700000,H13*Q$19,H13*Q$18))</f>
        <v>1265000</v>
      </c>
      <c r="J13" s="68">
        <v>1265000</v>
      </c>
      <c r="K13" s="68">
        <f t="shared" ref="K13:K26" si="3">I13-J13</f>
        <v>0</v>
      </c>
      <c r="L13" s="69" t="s">
        <v>69</v>
      </c>
      <c r="M13" s="76"/>
      <c r="N13" s="76"/>
      <c r="P13" s="205"/>
      <c r="Q13" s="205"/>
      <c r="R13" s="204"/>
    </row>
    <row r="14" spans="1:18" ht="16.5" customHeight="1" x14ac:dyDescent="0.25">
      <c r="A14" s="202"/>
      <c r="B14" s="64">
        <f>B13+1</f>
        <v>2</v>
      </c>
      <c r="C14" s="78" t="s">
        <v>67</v>
      </c>
      <c r="D14" s="73" t="s">
        <v>11</v>
      </c>
      <c r="E14" s="72">
        <v>89099008054</v>
      </c>
      <c r="F14" s="73" t="s">
        <v>18</v>
      </c>
      <c r="G14" s="73" t="s">
        <v>48</v>
      </c>
      <c r="H14" s="74">
        <v>1410000</v>
      </c>
      <c r="I14" s="68">
        <f t="shared" ref="I14:I20" si="4">IF(H14="",0,IF(H14&gt;=1700000,H14*Q$19,H14*Q$18))</f>
        <v>846000</v>
      </c>
      <c r="J14" s="74">
        <v>846000</v>
      </c>
      <c r="K14" s="68">
        <f t="shared" si="3"/>
        <v>0</v>
      </c>
      <c r="L14" s="69" t="s">
        <v>69</v>
      </c>
      <c r="M14" s="79"/>
      <c r="N14" s="79"/>
      <c r="P14" s="205"/>
      <c r="Q14" s="205"/>
      <c r="R14" s="204"/>
    </row>
    <row r="15" spans="1:18" ht="22.5" customHeight="1" x14ac:dyDescent="0.3">
      <c r="A15" s="202"/>
      <c r="B15" s="64">
        <f t="shared" ref="B15:B30" si="5">B14+1</f>
        <v>3</v>
      </c>
      <c r="C15" s="77" t="s">
        <v>43</v>
      </c>
      <c r="D15" s="75" t="s">
        <v>23</v>
      </c>
      <c r="E15" s="75">
        <v>42088019031</v>
      </c>
      <c r="F15" s="75" t="s">
        <v>21</v>
      </c>
      <c r="G15" s="75" t="s">
        <v>22</v>
      </c>
      <c r="H15" s="68">
        <v>1280000</v>
      </c>
      <c r="I15" s="68">
        <f t="shared" si="4"/>
        <v>768000</v>
      </c>
      <c r="J15" s="74">
        <v>768000</v>
      </c>
      <c r="K15" s="68">
        <f t="shared" si="3"/>
        <v>0</v>
      </c>
      <c r="L15" s="69" t="s">
        <v>69</v>
      </c>
      <c r="M15" s="174" t="s">
        <v>191</v>
      </c>
      <c r="N15" s="85"/>
      <c r="P15" s="206" t="s">
        <v>117</v>
      </c>
      <c r="Q15" s="206"/>
      <c r="R15" s="160">
        <f>SUM(J7:J98)</f>
        <v>10021000</v>
      </c>
    </row>
    <row r="16" spans="1:18" ht="16.5" customHeight="1" x14ac:dyDescent="0.25">
      <c r="A16" s="202"/>
      <c r="B16" s="64">
        <f t="shared" si="5"/>
        <v>4</v>
      </c>
      <c r="C16" s="77"/>
      <c r="D16" s="75"/>
      <c r="E16" s="75"/>
      <c r="F16" s="75"/>
      <c r="G16" s="75"/>
      <c r="H16" s="68"/>
      <c r="I16" s="68">
        <f>IF(H16="",0,IF(H16&gt;=1700000,H16*Q$19,H16*Q$18))</f>
        <v>0</v>
      </c>
      <c r="J16" s="68"/>
      <c r="K16" s="68">
        <f t="shared" si="3"/>
        <v>0</v>
      </c>
      <c r="L16" s="69"/>
      <c r="M16" s="76"/>
      <c r="N16" s="76"/>
    </row>
    <row r="17" spans="1:19" ht="16.5" customHeight="1" x14ac:dyDescent="0.25">
      <c r="A17" s="202"/>
      <c r="B17" s="64">
        <f t="shared" si="5"/>
        <v>5</v>
      </c>
      <c r="C17" s="77" t="s">
        <v>79</v>
      </c>
      <c r="D17" s="75" t="s">
        <v>61</v>
      </c>
      <c r="E17" s="75">
        <v>95095009661</v>
      </c>
      <c r="F17" s="75" t="s">
        <v>62</v>
      </c>
      <c r="G17" s="75" t="s">
        <v>27</v>
      </c>
      <c r="H17" s="68">
        <v>1155000</v>
      </c>
      <c r="I17" s="68">
        <f t="shared" si="4"/>
        <v>693000</v>
      </c>
      <c r="J17" s="74">
        <v>693000</v>
      </c>
      <c r="K17" s="68">
        <f t="shared" si="3"/>
        <v>0</v>
      </c>
      <c r="L17" s="69" t="s">
        <v>69</v>
      </c>
      <c r="M17" s="80"/>
      <c r="N17" s="85"/>
    </row>
    <row r="18" spans="1:19" ht="16.5" customHeight="1" x14ac:dyDescent="0.3">
      <c r="A18" s="202"/>
      <c r="B18" s="64">
        <f t="shared" si="5"/>
        <v>6</v>
      </c>
      <c r="C18" s="77"/>
      <c r="D18" s="75" t="s">
        <v>63</v>
      </c>
      <c r="E18" s="81">
        <v>91085001515</v>
      </c>
      <c r="F18" s="66" t="s">
        <v>18</v>
      </c>
      <c r="G18" s="75" t="s">
        <v>57</v>
      </c>
      <c r="H18" s="68"/>
      <c r="I18" s="68">
        <f>IF(H18="",0,IF(H18&gt;=1700000,H18*Q$19,H18*Q$18))</f>
        <v>0</v>
      </c>
      <c r="J18" s="74"/>
      <c r="K18" s="68">
        <f t="shared" si="3"/>
        <v>0</v>
      </c>
      <c r="L18" s="131"/>
      <c r="M18" s="76"/>
      <c r="N18" s="76"/>
      <c r="P18" s="157" t="s">
        <v>65</v>
      </c>
      <c r="Q18" s="162">
        <v>0.6</v>
      </c>
      <c r="S18" s="164" t="s">
        <v>177</v>
      </c>
    </row>
    <row r="19" spans="1:19" ht="16.5" customHeight="1" x14ac:dyDescent="0.3">
      <c r="A19" s="202"/>
      <c r="B19" s="64">
        <f t="shared" si="5"/>
        <v>7</v>
      </c>
      <c r="C19" s="77" t="s">
        <v>52</v>
      </c>
      <c r="D19" s="64" t="s">
        <v>54</v>
      </c>
      <c r="E19" s="64" t="s">
        <v>94</v>
      </c>
      <c r="F19" s="64" t="s">
        <v>53</v>
      </c>
      <c r="G19" s="64" t="s">
        <v>35</v>
      </c>
      <c r="H19" s="68">
        <v>1700000</v>
      </c>
      <c r="I19" s="68">
        <f t="shared" si="4"/>
        <v>850000</v>
      </c>
      <c r="J19" s="68">
        <v>850000</v>
      </c>
      <c r="K19" s="68">
        <f t="shared" si="3"/>
        <v>0</v>
      </c>
      <c r="L19" s="69" t="s">
        <v>69</v>
      </c>
      <c r="M19" s="174" t="s">
        <v>191</v>
      </c>
      <c r="N19" s="76"/>
      <c r="P19" s="157" t="s">
        <v>65</v>
      </c>
      <c r="Q19" s="163">
        <v>0.5</v>
      </c>
      <c r="S19" s="164" t="s">
        <v>178</v>
      </c>
    </row>
    <row r="20" spans="1:19" ht="16.5" customHeight="1" x14ac:dyDescent="0.25">
      <c r="A20" s="202"/>
      <c r="B20" s="64">
        <f t="shared" si="5"/>
        <v>8</v>
      </c>
      <c r="C20" s="78" t="s">
        <v>92</v>
      </c>
      <c r="D20" s="70" t="s">
        <v>88</v>
      </c>
      <c r="E20" s="70" t="s">
        <v>89</v>
      </c>
      <c r="F20" s="70" t="s">
        <v>90</v>
      </c>
      <c r="G20" s="64" t="s">
        <v>137</v>
      </c>
      <c r="H20" s="74">
        <v>590000</v>
      </c>
      <c r="I20" s="68">
        <f t="shared" si="4"/>
        <v>354000</v>
      </c>
      <c r="J20" s="68">
        <v>354000</v>
      </c>
      <c r="K20" s="68">
        <f t="shared" si="3"/>
        <v>0</v>
      </c>
      <c r="L20" s="69" t="s">
        <v>69</v>
      </c>
      <c r="M20" s="79"/>
      <c r="N20" s="76"/>
    </row>
    <row r="21" spans="1:19" ht="16.5" customHeight="1" x14ac:dyDescent="0.25">
      <c r="A21" s="202"/>
      <c r="B21" s="64">
        <f t="shared" si="5"/>
        <v>9</v>
      </c>
      <c r="C21" s="78" t="s">
        <v>131</v>
      </c>
      <c r="D21" s="177"/>
      <c r="E21" s="177"/>
      <c r="F21" s="177"/>
      <c r="G21" s="122" t="s">
        <v>93</v>
      </c>
      <c r="H21" s="74">
        <v>2080000</v>
      </c>
      <c r="I21" s="68">
        <f>IF(H21="",0,IF(H21&gt;=1700000,H21*Q$19,H21*Q$18))</f>
        <v>1040000</v>
      </c>
      <c r="J21" s="74">
        <v>1040000</v>
      </c>
      <c r="K21" s="68">
        <f t="shared" si="3"/>
        <v>0</v>
      </c>
      <c r="L21" s="69" t="s">
        <v>69</v>
      </c>
      <c r="M21" s="173"/>
      <c r="N21" s="76"/>
    </row>
    <row r="22" spans="1:19" ht="16.5" customHeight="1" x14ac:dyDescent="0.25">
      <c r="A22" s="202"/>
      <c r="B22" s="64">
        <f t="shared" si="5"/>
        <v>10</v>
      </c>
      <c r="C22" s="177"/>
      <c r="D22" s="177"/>
      <c r="E22" s="177"/>
      <c r="F22" s="177"/>
      <c r="G22" s="177"/>
      <c r="H22" s="177"/>
      <c r="I22" s="68">
        <f>IF(H22="",0,IF(H22&gt;=1700000,H22*Q$19,H22*Q$18))</f>
        <v>0</v>
      </c>
      <c r="J22" s="177"/>
      <c r="K22" s="68">
        <f t="shared" si="3"/>
        <v>0</v>
      </c>
      <c r="L22" s="177"/>
      <c r="M22" s="105"/>
      <c r="N22" s="105"/>
    </row>
    <row r="23" spans="1:19" ht="16.5" customHeight="1" x14ac:dyDescent="0.25">
      <c r="A23" s="202"/>
      <c r="B23" s="64">
        <f t="shared" si="5"/>
        <v>11</v>
      </c>
      <c r="C23" s="65"/>
      <c r="D23" s="66"/>
      <c r="E23" s="66"/>
      <c r="F23" s="66"/>
      <c r="G23" s="75" t="s">
        <v>25</v>
      </c>
      <c r="H23" s="133"/>
      <c r="I23" s="68">
        <f t="shared" ref="I23:I26" si="6">IF(H23="",0,IF(H23&gt;=1700000,H23*Q$19,H23*Q$18))</f>
        <v>0</v>
      </c>
      <c r="J23" s="132"/>
      <c r="K23" s="68">
        <f t="shared" si="3"/>
        <v>0</v>
      </c>
      <c r="L23" s="69"/>
      <c r="M23" s="105"/>
      <c r="N23" s="79"/>
    </row>
    <row r="24" spans="1:19" ht="16.5" customHeight="1" x14ac:dyDescent="0.25">
      <c r="A24" s="202"/>
      <c r="B24" s="64">
        <f t="shared" si="5"/>
        <v>12</v>
      </c>
      <c r="C24" s="65"/>
      <c r="D24" s="75"/>
      <c r="E24" s="75"/>
      <c r="F24" s="75"/>
      <c r="G24" s="64" t="s">
        <v>19</v>
      </c>
      <c r="H24" s="133"/>
      <c r="I24" s="68">
        <f t="shared" si="6"/>
        <v>0</v>
      </c>
      <c r="J24" s="133"/>
      <c r="K24" s="68">
        <f>I24-J24</f>
        <v>0</v>
      </c>
      <c r="L24" s="69"/>
      <c r="M24" s="105"/>
      <c r="N24" s="105"/>
    </row>
    <row r="25" spans="1:19" ht="16.5" x14ac:dyDescent="0.25">
      <c r="A25" s="202"/>
      <c r="B25" s="64">
        <f t="shared" si="5"/>
        <v>13</v>
      </c>
      <c r="C25" s="65" t="s">
        <v>148</v>
      </c>
      <c r="D25" s="73"/>
      <c r="E25" s="178"/>
      <c r="F25" s="178"/>
      <c r="G25" s="75" t="s">
        <v>56</v>
      </c>
      <c r="H25" s="68">
        <v>2100000</v>
      </c>
      <c r="I25" s="68">
        <f>IF(H25="",0,IF(H25&gt;=1700000,H25*Q$19,H25*Q$18))</f>
        <v>1050000</v>
      </c>
      <c r="J25" s="68">
        <v>1050000</v>
      </c>
      <c r="K25" s="68">
        <f t="shared" si="3"/>
        <v>0</v>
      </c>
      <c r="L25" s="69" t="s">
        <v>69</v>
      </c>
      <c r="M25" s="105"/>
      <c r="N25" s="105"/>
    </row>
    <row r="26" spans="1:19" ht="22.15" customHeight="1" x14ac:dyDescent="0.25">
      <c r="A26" s="202"/>
      <c r="B26" s="64">
        <f t="shared" si="5"/>
        <v>14</v>
      </c>
      <c r="C26" s="77" t="s">
        <v>41</v>
      </c>
      <c r="D26" s="66" t="s">
        <v>10</v>
      </c>
      <c r="E26" s="67">
        <v>89078016404</v>
      </c>
      <c r="F26" s="66" t="s">
        <v>18</v>
      </c>
      <c r="G26" s="66" t="s">
        <v>17</v>
      </c>
      <c r="H26" s="179">
        <v>2190000</v>
      </c>
      <c r="I26" s="68">
        <f t="shared" si="6"/>
        <v>1095000</v>
      </c>
      <c r="J26" s="133">
        <v>1095000</v>
      </c>
      <c r="K26" s="68">
        <f t="shared" si="3"/>
        <v>0</v>
      </c>
      <c r="L26" s="69" t="s">
        <v>69</v>
      </c>
      <c r="M26" s="136"/>
      <c r="N26" s="76"/>
    </row>
    <row r="27" spans="1:19" ht="20.45" customHeight="1" x14ac:dyDescent="0.25">
      <c r="A27" s="202"/>
      <c r="B27" s="64">
        <f t="shared" si="5"/>
        <v>15</v>
      </c>
      <c r="C27" s="177"/>
      <c r="D27" s="177"/>
      <c r="E27" s="177"/>
      <c r="F27" s="177"/>
      <c r="G27" s="75" t="s">
        <v>168</v>
      </c>
      <c r="H27" s="177"/>
      <c r="I27" s="68">
        <f>IF(H27="",0,IF(H27&gt;=1700000,H27*Q$19,H27*Q$18))</f>
        <v>0</v>
      </c>
      <c r="J27" s="177"/>
      <c r="K27" s="177"/>
      <c r="L27" s="177"/>
      <c r="M27" s="136"/>
      <c r="N27" s="76"/>
    </row>
    <row r="28" spans="1:19" ht="16.5" customHeight="1" x14ac:dyDescent="0.25">
      <c r="A28" s="202"/>
      <c r="B28" s="64">
        <f t="shared" si="5"/>
        <v>16</v>
      </c>
      <c r="C28" s="105"/>
      <c r="D28" s="105"/>
      <c r="E28" s="105"/>
      <c r="F28" s="105"/>
      <c r="G28" s="105"/>
      <c r="H28" s="105"/>
      <c r="I28" s="105"/>
      <c r="J28" s="105"/>
      <c r="K28" s="105"/>
      <c r="L28" s="105"/>
      <c r="M28" s="115"/>
      <c r="N28" s="79"/>
    </row>
    <row r="29" spans="1:19" ht="16.5" customHeight="1" x14ac:dyDescent="0.25">
      <c r="A29" s="202"/>
      <c r="B29" s="64">
        <f t="shared" si="5"/>
        <v>17</v>
      </c>
      <c r="C29" s="105"/>
      <c r="D29" s="105"/>
      <c r="E29" s="105"/>
      <c r="F29" s="105"/>
      <c r="G29" s="105"/>
      <c r="H29" s="105"/>
      <c r="I29" s="105"/>
      <c r="J29" s="105"/>
      <c r="K29" s="105"/>
      <c r="L29" s="105"/>
      <c r="M29" s="76"/>
      <c r="N29" s="76"/>
    </row>
    <row r="30" spans="1:19" ht="16.5" customHeight="1" x14ac:dyDescent="0.25">
      <c r="A30" s="202"/>
      <c r="B30" s="64">
        <f t="shared" si="5"/>
        <v>18</v>
      </c>
      <c r="C30" s="71"/>
      <c r="D30" s="73"/>
      <c r="E30" s="73"/>
      <c r="F30" s="73"/>
      <c r="G30" s="73"/>
      <c r="H30" s="135"/>
      <c r="I30" s="132"/>
      <c r="J30" s="133"/>
      <c r="K30" s="132"/>
      <c r="L30" s="131"/>
      <c r="M30" s="79"/>
      <c r="N30" s="79"/>
    </row>
    <row r="31" spans="1:19" ht="15" customHeight="1" x14ac:dyDescent="0.25"/>
    <row r="32" spans="1:19" ht="15" customHeight="1" x14ac:dyDescent="0.25"/>
    <row r="39" spans="7:7" x14ac:dyDescent="0.25">
      <c r="G39" s="25"/>
    </row>
  </sheetData>
  <mergeCells count="8">
    <mergeCell ref="B3:K3"/>
    <mergeCell ref="A7:A11"/>
    <mergeCell ref="P10:Q11"/>
    <mergeCell ref="R10:R11"/>
    <mergeCell ref="P12:Q14"/>
    <mergeCell ref="R12:R14"/>
    <mergeCell ref="A13:A30"/>
    <mergeCell ref="P15:Q15"/>
  </mergeCell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FEDE5-2874-4668-9159-27236F693D65}">
  <dimension ref="A3:S39"/>
  <sheetViews>
    <sheetView zoomScale="85" zoomScaleNormal="85" workbookViewId="0">
      <selection activeCell="J7" sqref="J7:J10"/>
    </sheetView>
  </sheetViews>
  <sheetFormatPr defaultRowHeight="15" x14ac:dyDescent="0.25"/>
  <cols>
    <col min="1" max="1" width="23.140625" style="1" customWidth="1"/>
    <col min="2" max="2" width="9.140625" style="1"/>
    <col min="3" max="3" width="35.28515625" style="1" customWidth="1"/>
    <col min="4" max="4" width="19.85546875" style="1" hidden="1" customWidth="1"/>
    <col min="5" max="5" width="19.28515625" style="1" hidden="1" customWidth="1"/>
    <col min="6" max="6" width="26.42578125" style="1" hidden="1" customWidth="1"/>
    <col min="7" max="7" width="19.5703125" style="1" customWidth="1"/>
    <col min="8" max="8" width="20.42578125" style="1" customWidth="1"/>
    <col min="9" max="9" width="22.5703125" style="1" customWidth="1"/>
    <col min="10" max="10" width="20.140625" style="1" customWidth="1"/>
    <col min="11" max="12" width="19.42578125" style="1" customWidth="1"/>
    <col min="13" max="13" width="37" style="1" customWidth="1"/>
    <col min="14" max="14" width="14.140625" style="1" customWidth="1"/>
    <col min="15" max="15" width="9.140625" style="1"/>
    <col min="16" max="16" width="18.5703125" style="1" customWidth="1"/>
    <col min="17" max="17" width="22.5703125" style="1" customWidth="1"/>
    <col min="18" max="18" width="21.28515625" style="1" customWidth="1"/>
    <col min="19" max="16384" width="9.140625" style="1"/>
  </cols>
  <sheetData>
    <row r="3" spans="1:18" ht="27.75" x14ac:dyDescent="0.25">
      <c r="B3" s="183" t="s">
        <v>31</v>
      </c>
      <c r="C3" s="183"/>
      <c r="D3" s="183"/>
      <c r="E3" s="183"/>
      <c r="F3" s="183"/>
      <c r="G3" s="183"/>
      <c r="H3" s="183"/>
      <c r="I3" s="183"/>
      <c r="J3" s="183"/>
      <c r="K3" s="183"/>
    </row>
    <row r="4" spans="1:18" ht="30.75" x14ac:dyDescent="0.25">
      <c r="C4" s="117"/>
      <c r="D4" s="117"/>
      <c r="E4" s="117"/>
      <c r="H4" s="116" t="s">
        <v>197</v>
      </c>
      <c r="I4" s="117"/>
      <c r="J4" s="117"/>
      <c r="K4" s="117"/>
    </row>
    <row r="5" spans="1:18" ht="12" customHeight="1" x14ac:dyDescent="0.25"/>
    <row r="6" spans="1:18" ht="53.25" customHeight="1" x14ac:dyDescent="0.25">
      <c r="A6" s="105"/>
      <c r="B6" s="158" t="s">
        <v>0</v>
      </c>
      <c r="C6" s="158" t="s">
        <v>1</v>
      </c>
      <c r="D6" s="158" t="s">
        <v>50</v>
      </c>
      <c r="E6" s="158" t="s">
        <v>2</v>
      </c>
      <c r="F6" s="158" t="s">
        <v>3</v>
      </c>
      <c r="G6" s="158" t="s">
        <v>49</v>
      </c>
      <c r="H6" s="158" t="s">
        <v>4</v>
      </c>
      <c r="I6" s="159" t="s">
        <v>142</v>
      </c>
      <c r="J6" s="158" t="s">
        <v>115</v>
      </c>
      <c r="K6" s="158" t="s">
        <v>116</v>
      </c>
      <c r="L6" s="158" t="s">
        <v>7</v>
      </c>
      <c r="M6" s="158" t="s">
        <v>34</v>
      </c>
      <c r="N6" s="158" t="s">
        <v>51</v>
      </c>
      <c r="P6" s="87" t="s">
        <v>69</v>
      </c>
    </row>
    <row r="7" spans="1:18" ht="34.5" customHeight="1" x14ac:dyDescent="0.25">
      <c r="A7" s="197" t="s">
        <v>119</v>
      </c>
      <c r="B7" s="64">
        <v>1</v>
      </c>
      <c r="C7" s="65" t="s">
        <v>132</v>
      </c>
      <c r="D7" s="66" t="s">
        <v>9</v>
      </c>
      <c r="E7" s="67">
        <v>91203011680</v>
      </c>
      <c r="F7" s="66" t="s">
        <v>15</v>
      </c>
      <c r="G7" s="66" t="s">
        <v>16</v>
      </c>
      <c r="H7" s="68">
        <v>1400000</v>
      </c>
      <c r="I7" s="68">
        <f>IF(H7="",0,IF(H7&gt;=1700000,H7*Q$19,H7*Q$18))</f>
        <v>840000</v>
      </c>
      <c r="J7" s="68">
        <v>840000</v>
      </c>
      <c r="K7" s="68">
        <f>I7-J7</f>
        <v>0</v>
      </c>
      <c r="L7" s="88" t="s">
        <v>26</v>
      </c>
      <c r="M7" s="136"/>
      <c r="N7" s="76"/>
      <c r="P7" s="88" t="s">
        <v>26</v>
      </c>
    </row>
    <row r="8" spans="1:18" ht="16.5" customHeight="1" x14ac:dyDescent="0.25">
      <c r="A8" s="198"/>
      <c r="B8" s="64">
        <f>B7+1</f>
        <v>2</v>
      </c>
      <c r="C8" s="65"/>
      <c r="D8" s="75" t="s">
        <v>28</v>
      </c>
      <c r="E8" s="75">
        <v>42094001136</v>
      </c>
      <c r="F8" s="75" t="s">
        <v>15</v>
      </c>
      <c r="G8" s="75" t="s">
        <v>36</v>
      </c>
      <c r="H8" s="68"/>
      <c r="I8" s="68">
        <f t="shared" ref="I8:I10" si="0">IF(H8="",0,IF(H8&gt;=1700000,H8*Q$19,H8*Q$18))</f>
        <v>0</v>
      </c>
      <c r="J8" s="68"/>
      <c r="K8" s="68">
        <f t="shared" ref="K8:K10" si="1">I8-J8</f>
        <v>0</v>
      </c>
      <c r="L8" s="69"/>
      <c r="M8" s="76"/>
      <c r="N8" s="76"/>
      <c r="P8" s="82" t="s">
        <v>72</v>
      </c>
    </row>
    <row r="9" spans="1:18" ht="16.5" customHeight="1" x14ac:dyDescent="0.25">
      <c r="A9" s="198"/>
      <c r="B9" s="64">
        <f t="shared" ref="B9:B10" si="2">B8+1</f>
        <v>3</v>
      </c>
      <c r="C9" s="65" t="s">
        <v>195</v>
      </c>
      <c r="D9" s="66" t="s">
        <v>101</v>
      </c>
      <c r="E9" s="66">
        <v>70081001153</v>
      </c>
      <c r="F9" s="66" t="s">
        <v>102</v>
      </c>
      <c r="G9" s="66" t="s">
        <v>83</v>
      </c>
      <c r="H9" s="68">
        <v>1080000</v>
      </c>
      <c r="I9" s="68">
        <f t="shared" si="0"/>
        <v>648000</v>
      </c>
      <c r="J9" s="74">
        <v>650000</v>
      </c>
      <c r="K9" s="68">
        <v>0</v>
      </c>
      <c r="L9" s="88" t="s">
        <v>26</v>
      </c>
      <c r="M9" s="76" t="s">
        <v>198</v>
      </c>
      <c r="N9" s="79"/>
    </row>
    <row r="10" spans="1:18" ht="16.5" customHeight="1" x14ac:dyDescent="0.25">
      <c r="A10" s="198"/>
      <c r="B10" s="64">
        <f t="shared" si="2"/>
        <v>4</v>
      </c>
      <c r="C10" s="71" t="s">
        <v>135</v>
      </c>
      <c r="D10" s="73" t="s">
        <v>106</v>
      </c>
      <c r="E10" s="73">
        <v>27068001194</v>
      </c>
      <c r="F10" s="73" t="s">
        <v>105</v>
      </c>
      <c r="G10" s="73" t="s">
        <v>73</v>
      </c>
      <c r="H10" s="74">
        <v>1150000</v>
      </c>
      <c r="I10" s="68">
        <f t="shared" si="0"/>
        <v>690000</v>
      </c>
      <c r="J10" s="74">
        <v>690000</v>
      </c>
      <c r="K10" s="68">
        <f t="shared" si="1"/>
        <v>0</v>
      </c>
      <c r="L10" s="88" t="s">
        <v>26</v>
      </c>
      <c r="M10" s="76"/>
      <c r="N10" s="76"/>
      <c r="P10" s="203" t="s">
        <v>29</v>
      </c>
      <c r="Q10" s="203"/>
      <c r="R10" s="204">
        <f>SUM(H7:H999)</f>
        <v>18425000</v>
      </c>
    </row>
    <row r="11" spans="1:18" ht="16.5" customHeight="1" x14ac:dyDescent="0.25">
      <c r="A11" s="199"/>
      <c r="C11" s="175"/>
      <c r="D11" s="175"/>
      <c r="E11" s="175"/>
      <c r="F11" s="175"/>
      <c r="G11" s="175"/>
      <c r="H11" s="176"/>
      <c r="I11" s="176"/>
      <c r="J11" s="176"/>
      <c r="K11" s="176"/>
      <c r="L11" s="175"/>
      <c r="M11" s="79"/>
      <c r="N11" s="79"/>
      <c r="P11" s="203"/>
      <c r="Q11" s="203"/>
      <c r="R11" s="204"/>
    </row>
    <row r="12" spans="1:18" ht="16.5" customHeight="1" x14ac:dyDescent="0.25">
      <c r="A12" s="107"/>
      <c r="B12" s="89"/>
      <c r="C12" s="90"/>
      <c r="D12" s="89"/>
      <c r="E12" s="91"/>
      <c r="F12" s="92"/>
      <c r="G12" s="93"/>
      <c r="H12" s="94"/>
      <c r="I12" s="94"/>
      <c r="J12" s="147"/>
      <c r="K12" s="123"/>
      <c r="L12" s="96"/>
      <c r="M12" s="97"/>
      <c r="N12" s="97"/>
      <c r="P12" s="205" t="s">
        <v>143</v>
      </c>
      <c r="Q12" s="205"/>
      <c r="R12" s="204">
        <f>SUM(I7:I999)</f>
        <v>10290500</v>
      </c>
    </row>
    <row r="13" spans="1:18" ht="22.5" customHeight="1" x14ac:dyDescent="0.25">
      <c r="A13" s="201" t="s">
        <v>118</v>
      </c>
      <c r="B13" s="64">
        <v>1</v>
      </c>
      <c r="C13" s="77" t="s">
        <v>40</v>
      </c>
      <c r="D13" s="66" t="s">
        <v>8</v>
      </c>
      <c r="E13" s="67">
        <v>38096003688</v>
      </c>
      <c r="F13" s="66" t="s">
        <v>13</v>
      </c>
      <c r="G13" s="66" t="s">
        <v>14</v>
      </c>
      <c r="H13" s="68">
        <v>1300000</v>
      </c>
      <c r="I13" s="68">
        <f>IF(H13="",0,IF(H13&gt;=1700000,H13*Q$19,H13*Q$18))</f>
        <v>780000</v>
      </c>
      <c r="J13" s="68">
        <v>780000</v>
      </c>
      <c r="K13" s="68">
        <f t="shared" ref="K13:K26" si="3">I13-J13</f>
        <v>0</v>
      </c>
      <c r="L13" s="69" t="s">
        <v>69</v>
      </c>
      <c r="M13" s="76"/>
      <c r="N13" s="76"/>
      <c r="P13" s="205"/>
      <c r="Q13" s="205"/>
      <c r="R13" s="204"/>
    </row>
    <row r="14" spans="1:18" ht="16.5" customHeight="1" x14ac:dyDescent="0.25">
      <c r="A14" s="202"/>
      <c r="B14" s="64">
        <f>B13+1</f>
        <v>2</v>
      </c>
      <c r="C14" s="78" t="s">
        <v>67</v>
      </c>
      <c r="D14" s="73" t="s">
        <v>11</v>
      </c>
      <c r="E14" s="72">
        <v>89099008054</v>
      </c>
      <c r="F14" s="73" t="s">
        <v>18</v>
      </c>
      <c r="G14" s="73" t="s">
        <v>48</v>
      </c>
      <c r="H14" s="74">
        <v>1050000</v>
      </c>
      <c r="I14" s="68">
        <f t="shared" ref="I14:I20" si="4">IF(H14="",0,IF(H14&gt;=1700000,H14*Q$19,H14*Q$18))</f>
        <v>630000</v>
      </c>
      <c r="J14" s="74">
        <v>630000</v>
      </c>
      <c r="K14" s="68">
        <f t="shared" si="3"/>
        <v>0</v>
      </c>
      <c r="L14" s="69" t="s">
        <v>69</v>
      </c>
      <c r="M14" s="79"/>
      <c r="N14" s="79"/>
      <c r="P14" s="205"/>
      <c r="Q14" s="205"/>
      <c r="R14" s="204"/>
    </row>
    <row r="15" spans="1:18" ht="22.5" customHeight="1" x14ac:dyDescent="0.3">
      <c r="A15" s="202"/>
      <c r="B15" s="64">
        <f t="shared" ref="B15:B30" si="5">B14+1</f>
        <v>3</v>
      </c>
      <c r="C15" s="77" t="s">
        <v>43</v>
      </c>
      <c r="D15" s="75" t="s">
        <v>23</v>
      </c>
      <c r="E15" s="75">
        <v>42088019031</v>
      </c>
      <c r="F15" s="75" t="s">
        <v>21</v>
      </c>
      <c r="G15" s="75" t="s">
        <v>22</v>
      </c>
      <c r="H15" s="68">
        <v>1410000</v>
      </c>
      <c r="I15" s="68">
        <f t="shared" si="4"/>
        <v>846000</v>
      </c>
      <c r="J15" s="74">
        <v>846000</v>
      </c>
      <c r="K15" s="68">
        <f t="shared" si="3"/>
        <v>0</v>
      </c>
      <c r="L15" s="69" t="s">
        <v>69</v>
      </c>
      <c r="M15" s="76"/>
      <c r="N15" s="85"/>
      <c r="P15" s="206" t="s">
        <v>117</v>
      </c>
      <c r="Q15" s="206"/>
      <c r="R15" s="160">
        <f>SUM(J7:J98)</f>
        <v>10183000</v>
      </c>
    </row>
    <row r="16" spans="1:18" ht="16.5" customHeight="1" x14ac:dyDescent="0.25">
      <c r="A16" s="202"/>
      <c r="B16" s="64">
        <f t="shared" si="5"/>
        <v>4</v>
      </c>
      <c r="C16" s="77"/>
      <c r="D16" s="75"/>
      <c r="E16" s="75"/>
      <c r="F16" s="75"/>
      <c r="G16" s="75"/>
      <c r="H16" s="68"/>
      <c r="I16" s="68">
        <f>IF(H16="",0,IF(H16&gt;=1700000,H16*Q$19,H16*Q$18))</f>
        <v>0</v>
      </c>
      <c r="J16" s="68"/>
      <c r="K16" s="68">
        <f t="shared" si="3"/>
        <v>0</v>
      </c>
      <c r="L16" s="69"/>
      <c r="M16" s="76"/>
      <c r="N16" s="76"/>
    </row>
    <row r="17" spans="1:19" ht="16.5" customHeight="1" x14ac:dyDescent="0.25">
      <c r="A17" s="202"/>
      <c r="B17" s="64">
        <f t="shared" si="5"/>
        <v>5</v>
      </c>
      <c r="C17" s="77" t="s">
        <v>79</v>
      </c>
      <c r="D17" s="75" t="s">
        <v>61</v>
      </c>
      <c r="E17" s="75">
        <v>95095009661</v>
      </c>
      <c r="F17" s="75" t="s">
        <v>62</v>
      </c>
      <c r="G17" s="75" t="s">
        <v>27</v>
      </c>
      <c r="H17" s="68">
        <v>850000</v>
      </c>
      <c r="I17" s="68">
        <f t="shared" si="4"/>
        <v>510000</v>
      </c>
      <c r="J17" s="74">
        <v>510000</v>
      </c>
      <c r="K17" s="68">
        <f t="shared" si="3"/>
        <v>0</v>
      </c>
      <c r="L17" s="69" t="s">
        <v>69</v>
      </c>
      <c r="M17" s="80"/>
      <c r="N17" s="85"/>
    </row>
    <row r="18" spans="1:19" ht="16.5" customHeight="1" x14ac:dyDescent="0.3">
      <c r="A18" s="202"/>
      <c r="B18" s="64">
        <f t="shared" si="5"/>
        <v>6</v>
      </c>
      <c r="C18" s="77"/>
      <c r="D18" s="75" t="s">
        <v>63</v>
      </c>
      <c r="E18" s="81">
        <v>91085001515</v>
      </c>
      <c r="F18" s="66" t="s">
        <v>18</v>
      </c>
      <c r="G18" s="75" t="s">
        <v>57</v>
      </c>
      <c r="H18" s="68"/>
      <c r="I18" s="68">
        <f>IF(H18="",0,IF(H18&gt;=1700000,H18*Q$19,H18*Q$18))</f>
        <v>0</v>
      </c>
      <c r="J18" s="74"/>
      <c r="K18" s="68">
        <f t="shared" si="3"/>
        <v>0</v>
      </c>
      <c r="L18" s="131"/>
      <c r="M18" s="76"/>
      <c r="N18" s="76"/>
      <c r="P18" s="157" t="s">
        <v>65</v>
      </c>
      <c r="Q18" s="162">
        <v>0.6</v>
      </c>
      <c r="S18" s="164" t="s">
        <v>177</v>
      </c>
    </row>
    <row r="19" spans="1:19" ht="16.5" customHeight="1" x14ac:dyDescent="0.3">
      <c r="A19" s="202"/>
      <c r="B19" s="64">
        <f t="shared" si="5"/>
        <v>7</v>
      </c>
      <c r="C19" s="77" t="s">
        <v>52</v>
      </c>
      <c r="D19" s="64" t="s">
        <v>54</v>
      </c>
      <c r="E19" s="64" t="s">
        <v>94</v>
      </c>
      <c r="F19" s="64" t="s">
        <v>53</v>
      </c>
      <c r="G19" s="64" t="s">
        <v>35</v>
      </c>
      <c r="H19" s="68">
        <v>1490000</v>
      </c>
      <c r="I19" s="68">
        <f t="shared" si="4"/>
        <v>894000</v>
      </c>
      <c r="J19" s="68">
        <v>890000</v>
      </c>
      <c r="K19" s="68">
        <f t="shared" si="3"/>
        <v>4000</v>
      </c>
      <c r="L19" s="69" t="s">
        <v>69</v>
      </c>
      <c r="M19" s="76" t="s">
        <v>193</v>
      </c>
      <c r="N19" s="76"/>
      <c r="P19" s="157" t="s">
        <v>65</v>
      </c>
      <c r="Q19" s="163">
        <v>0.5</v>
      </c>
      <c r="S19" s="164" t="s">
        <v>178</v>
      </c>
    </row>
    <row r="20" spans="1:19" ht="16.5" customHeight="1" x14ac:dyDescent="0.25">
      <c r="A20" s="202"/>
      <c r="B20" s="64">
        <f t="shared" si="5"/>
        <v>8</v>
      </c>
      <c r="C20" s="78" t="s">
        <v>92</v>
      </c>
      <c r="D20" s="70" t="s">
        <v>88</v>
      </c>
      <c r="E20" s="70" t="s">
        <v>89</v>
      </c>
      <c r="F20" s="70" t="s">
        <v>90</v>
      </c>
      <c r="G20" s="64" t="s">
        <v>137</v>
      </c>
      <c r="H20" s="74">
        <v>2500000</v>
      </c>
      <c r="I20" s="68">
        <f t="shared" si="4"/>
        <v>1250000</v>
      </c>
      <c r="J20" s="68">
        <v>1250000</v>
      </c>
      <c r="K20" s="68">
        <f t="shared" si="3"/>
        <v>0</v>
      </c>
      <c r="L20" s="69" t="s">
        <v>69</v>
      </c>
      <c r="M20" s="79"/>
      <c r="N20" s="76"/>
    </row>
    <row r="21" spans="1:19" ht="16.5" customHeight="1" x14ac:dyDescent="0.25">
      <c r="A21" s="202"/>
      <c r="B21" s="64">
        <f t="shared" si="5"/>
        <v>9</v>
      </c>
      <c r="C21" s="180" t="s">
        <v>131</v>
      </c>
      <c r="D21" s="169"/>
      <c r="E21" s="169"/>
      <c r="F21" s="169"/>
      <c r="G21" s="181" t="s">
        <v>93</v>
      </c>
      <c r="H21" s="144"/>
      <c r="I21" s="143">
        <f>IF(H21="",0,IF(H21&gt;=1700000,H21*Q$19,H21*Q$18))</f>
        <v>0</v>
      </c>
      <c r="J21" s="144"/>
      <c r="K21" s="143">
        <f t="shared" si="3"/>
        <v>0</v>
      </c>
      <c r="L21" s="150"/>
      <c r="M21" s="182" t="s">
        <v>194</v>
      </c>
      <c r="N21" s="76"/>
    </row>
    <row r="22" spans="1:19" ht="16.5" customHeight="1" x14ac:dyDescent="0.25">
      <c r="A22" s="202"/>
      <c r="B22" s="64">
        <f t="shared" si="5"/>
        <v>10</v>
      </c>
      <c r="C22" s="177"/>
      <c r="D22" s="177"/>
      <c r="E22" s="177"/>
      <c r="F22" s="177"/>
      <c r="G22" s="177"/>
      <c r="H22" s="177"/>
      <c r="I22" s="68">
        <f>IF(H22="",0,IF(H22&gt;=1700000,H22*Q$19,H22*Q$18))</f>
        <v>0</v>
      </c>
      <c r="J22" s="177"/>
      <c r="K22" s="68">
        <f t="shared" si="3"/>
        <v>0</v>
      </c>
      <c r="L22" s="177"/>
      <c r="M22" s="105"/>
      <c r="N22" s="105"/>
    </row>
    <row r="23" spans="1:19" ht="16.5" customHeight="1" x14ac:dyDescent="0.25">
      <c r="A23" s="202"/>
      <c r="B23" s="64">
        <f t="shared" si="5"/>
        <v>11</v>
      </c>
      <c r="C23" s="65" t="s">
        <v>139</v>
      </c>
      <c r="D23" s="66"/>
      <c r="E23" s="66"/>
      <c r="F23" s="66"/>
      <c r="G23" s="75" t="s">
        <v>25</v>
      </c>
      <c r="H23" s="133">
        <v>1050000</v>
      </c>
      <c r="I23" s="68">
        <f t="shared" ref="I23:I26" si="6">IF(H23="",0,IF(H23&gt;=1700000,H23*Q$19,H23*Q$18))</f>
        <v>630000</v>
      </c>
      <c r="J23" s="132">
        <v>525000</v>
      </c>
      <c r="K23" s="68">
        <v>0</v>
      </c>
      <c r="L23" s="69" t="s">
        <v>69</v>
      </c>
      <c r="M23" s="105" t="s">
        <v>196</v>
      </c>
      <c r="N23" s="79"/>
    </row>
    <row r="24" spans="1:19" ht="16.5" customHeight="1" x14ac:dyDescent="0.25">
      <c r="A24" s="202"/>
      <c r="B24" s="64">
        <f t="shared" si="5"/>
        <v>12</v>
      </c>
      <c r="C24" s="65"/>
      <c r="D24" s="75"/>
      <c r="E24" s="75"/>
      <c r="F24" s="75"/>
      <c r="G24" s="64" t="s">
        <v>19</v>
      </c>
      <c r="H24" s="133"/>
      <c r="I24" s="68">
        <f t="shared" si="6"/>
        <v>0</v>
      </c>
      <c r="J24" s="133"/>
      <c r="K24" s="68">
        <f>I24-J24</f>
        <v>0</v>
      </c>
      <c r="L24" s="69"/>
      <c r="M24" s="105"/>
      <c r="N24" s="105"/>
    </row>
    <row r="25" spans="1:19" ht="16.5" x14ac:dyDescent="0.25">
      <c r="A25" s="202"/>
      <c r="B25" s="64">
        <f t="shared" si="5"/>
        <v>13</v>
      </c>
      <c r="C25" s="65" t="s">
        <v>148</v>
      </c>
      <c r="D25" s="73"/>
      <c r="E25" s="178"/>
      <c r="F25" s="178"/>
      <c r="G25" s="75" t="s">
        <v>56</v>
      </c>
      <c r="H25" s="68">
        <v>3435000</v>
      </c>
      <c r="I25" s="68">
        <f>IF(H25="",0,IF(H25&gt;=1700000,H25*Q$19,H25*Q$18))</f>
        <v>1717500</v>
      </c>
      <c r="J25" s="68">
        <v>1717000</v>
      </c>
      <c r="K25" s="68">
        <f t="shared" si="3"/>
        <v>500</v>
      </c>
      <c r="L25" s="69" t="s">
        <v>69</v>
      </c>
      <c r="M25" s="105"/>
      <c r="N25" s="105"/>
    </row>
    <row r="26" spans="1:19" ht="22.15" customHeight="1" x14ac:dyDescent="0.25">
      <c r="A26" s="202"/>
      <c r="B26" s="64">
        <f t="shared" si="5"/>
        <v>14</v>
      </c>
      <c r="C26" s="77" t="s">
        <v>41</v>
      </c>
      <c r="D26" s="66" t="s">
        <v>10</v>
      </c>
      <c r="E26" s="67">
        <v>89078016404</v>
      </c>
      <c r="F26" s="66" t="s">
        <v>18</v>
      </c>
      <c r="G26" s="66" t="s">
        <v>17</v>
      </c>
      <c r="H26" s="179">
        <v>1710000</v>
      </c>
      <c r="I26" s="68">
        <f t="shared" si="6"/>
        <v>855000</v>
      </c>
      <c r="J26" s="133">
        <v>855000</v>
      </c>
      <c r="K26" s="68">
        <f t="shared" si="3"/>
        <v>0</v>
      </c>
      <c r="L26" s="69" t="s">
        <v>69</v>
      </c>
      <c r="M26" s="136"/>
      <c r="N26" s="76"/>
    </row>
    <row r="27" spans="1:19" ht="20.45" customHeight="1" x14ac:dyDescent="0.25">
      <c r="A27" s="202"/>
      <c r="B27" s="64">
        <f t="shared" si="5"/>
        <v>15</v>
      </c>
      <c r="C27" s="177"/>
      <c r="D27" s="177"/>
      <c r="E27" s="177"/>
      <c r="F27" s="177"/>
      <c r="G27" s="75" t="s">
        <v>168</v>
      </c>
      <c r="H27" s="177"/>
      <c r="I27" s="68">
        <f>IF(H27="",0,IF(H27&gt;=1700000,H27*Q$19,H27*Q$18))</f>
        <v>0</v>
      </c>
      <c r="J27" s="177"/>
      <c r="K27" s="177"/>
      <c r="L27" s="177"/>
      <c r="M27" s="136"/>
      <c r="N27" s="76"/>
    </row>
    <row r="28" spans="1:19" ht="16.5" customHeight="1" x14ac:dyDescent="0.25">
      <c r="A28" s="202"/>
      <c r="B28" s="64">
        <f t="shared" si="5"/>
        <v>16</v>
      </c>
      <c r="C28" s="105"/>
      <c r="D28" s="105"/>
      <c r="E28" s="105"/>
      <c r="F28" s="105"/>
      <c r="G28" s="105"/>
      <c r="H28" s="105"/>
      <c r="I28" s="105"/>
      <c r="J28" s="105"/>
      <c r="K28" s="105"/>
      <c r="L28" s="105"/>
      <c r="M28" s="115"/>
      <c r="N28" s="79"/>
    </row>
    <row r="29" spans="1:19" ht="16.5" customHeight="1" x14ac:dyDescent="0.25">
      <c r="A29" s="202"/>
      <c r="B29" s="64">
        <f t="shared" si="5"/>
        <v>17</v>
      </c>
      <c r="C29" s="105"/>
      <c r="D29" s="105"/>
      <c r="E29" s="105"/>
      <c r="F29" s="105"/>
      <c r="G29" s="105"/>
      <c r="H29" s="105"/>
      <c r="I29" s="105"/>
      <c r="J29" s="105"/>
      <c r="K29" s="105"/>
      <c r="L29" s="105"/>
      <c r="M29" s="76"/>
      <c r="N29" s="76"/>
    </row>
    <row r="30" spans="1:19" ht="16.5" customHeight="1" x14ac:dyDescent="0.25">
      <c r="A30" s="202"/>
      <c r="B30" s="64">
        <f t="shared" si="5"/>
        <v>18</v>
      </c>
      <c r="C30" s="71"/>
      <c r="D30" s="73"/>
      <c r="E30" s="73"/>
      <c r="F30" s="73"/>
      <c r="G30" s="73"/>
      <c r="H30" s="135"/>
      <c r="I30" s="132"/>
      <c r="J30" s="133"/>
      <c r="K30" s="132"/>
      <c r="L30" s="131"/>
      <c r="M30" s="79"/>
      <c r="N30" s="79"/>
    </row>
    <row r="31" spans="1:19" ht="15" customHeight="1" x14ac:dyDescent="0.25"/>
    <row r="32" spans="1:19" ht="15" customHeight="1" x14ac:dyDescent="0.25"/>
    <row r="39" spans="7:7" x14ac:dyDescent="0.25">
      <c r="G39" s="25"/>
    </row>
  </sheetData>
  <mergeCells count="8">
    <mergeCell ref="B3:K3"/>
    <mergeCell ref="A7:A11"/>
    <mergeCell ref="P10:Q11"/>
    <mergeCell ref="R10:R11"/>
    <mergeCell ref="P12:Q14"/>
    <mergeCell ref="R12:R14"/>
    <mergeCell ref="A13:A30"/>
    <mergeCell ref="P15:Q15"/>
  </mergeCells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9632F-92FC-4DC6-B93E-FE9F60EBD745}">
  <dimension ref="A3:S39"/>
  <sheetViews>
    <sheetView tabSelected="1" zoomScale="85" zoomScaleNormal="85" workbookViewId="0">
      <selection activeCell="N17" sqref="N17"/>
    </sheetView>
  </sheetViews>
  <sheetFormatPr defaultRowHeight="15" x14ac:dyDescent="0.25"/>
  <cols>
    <col min="1" max="1" width="23.140625" style="1" customWidth="1"/>
    <col min="2" max="2" width="9.140625" style="1"/>
    <col min="3" max="3" width="35.28515625" style="1" customWidth="1"/>
    <col min="4" max="4" width="19.85546875" style="1" hidden="1" customWidth="1"/>
    <col min="5" max="5" width="19.28515625" style="1" hidden="1" customWidth="1"/>
    <col min="6" max="6" width="26.42578125" style="1" hidden="1" customWidth="1"/>
    <col min="7" max="7" width="19.5703125" style="1" customWidth="1"/>
    <col min="8" max="8" width="20.42578125" style="1" customWidth="1"/>
    <col min="9" max="9" width="22.5703125" style="1" customWidth="1"/>
    <col min="10" max="10" width="20.140625" style="1" customWidth="1"/>
    <col min="11" max="12" width="19.42578125" style="1" customWidth="1"/>
    <col min="13" max="13" width="37" style="1" customWidth="1"/>
    <col min="14" max="14" width="14.140625" style="1" customWidth="1"/>
    <col min="15" max="15" width="9.140625" style="1"/>
    <col min="16" max="16" width="18.5703125" style="1" customWidth="1"/>
    <col min="17" max="17" width="22.5703125" style="1" customWidth="1"/>
    <col min="18" max="18" width="21.28515625" style="1" customWidth="1"/>
    <col min="19" max="16384" width="9.140625" style="1"/>
  </cols>
  <sheetData>
    <row r="3" spans="1:18" ht="27.75" x14ac:dyDescent="0.25">
      <c r="B3" s="183" t="s">
        <v>31</v>
      </c>
      <c r="C3" s="183"/>
      <c r="D3" s="183"/>
      <c r="E3" s="183"/>
      <c r="F3" s="183"/>
      <c r="G3" s="183"/>
      <c r="H3" s="183"/>
      <c r="I3" s="183"/>
      <c r="J3" s="183"/>
      <c r="K3" s="183"/>
    </row>
    <row r="4" spans="1:18" ht="30.75" x14ac:dyDescent="0.25">
      <c r="C4" s="117"/>
      <c r="D4" s="117"/>
      <c r="E4" s="117"/>
      <c r="H4" s="116" t="s">
        <v>199</v>
      </c>
      <c r="I4" s="117"/>
      <c r="J4" s="117"/>
      <c r="K4" s="117"/>
    </row>
    <row r="5" spans="1:18" ht="12" customHeight="1" x14ac:dyDescent="0.25"/>
    <row r="6" spans="1:18" ht="53.25" customHeight="1" x14ac:dyDescent="0.25">
      <c r="A6" s="105"/>
      <c r="B6" s="158" t="s">
        <v>0</v>
      </c>
      <c r="C6" s="158" t="s">
        <v>1</v>
      </c>
      <c r="D6" s="158" t="s">
        <v>50</v>
      </c>
      <c r="E6" s="158" t="s">
        <v>2</v>
      </c>
      <c r="F6" s="158" t="s">
        <v>3</v>
      </c>
      <c r="G6" s="158" t="s">
        <v>49</v>
      </c>
      <c r="H6" s="158" t="s">
        <v>4</v>
      </c>
      <c r="I6" s="159" t="s">
        <v>142</v>
      </c>
      <c r="J6" s="158" t="s">
        <v>115</v>
      </c>
      <c r="K6" s="158" t="s">
        <v>116</v>
      </c>
      <c r="L6" s="158" t="s">
        <v>7</v>
      </c>
      <c r="M6" s="158" t="s">
        <v>34</v>
      </c>
      <c r="N6" s="158" t="s">
        <v>51</v>
      </c>
      <c r="P6" s="87" t="s">
        <v>69</v>
      </c>
    </row>
    <row r="7" spans="1:18" ht="34.5" customHeight="1" x14ac:dyDescent="0.25">
      <c r="A7" s="197" t="s">
        <v>119</v>
      </c>
      <c r="B7" s="64">
        <v>1</v>
      </c>
      <c r="C7" s="65" t="s">
        <v>132</v>
      </c>
      <c r="D7" s="66" t="s">
        <v>9</v>
      </c>
      <c r="E7" s="67">
        <v>91203011680</v>
      </c>
      <c r="F7" s="66" t="s">
        <v>15</v>
      </c>
      <c r="G7" s="66" t="s">
        <v>16</v>
      </c>
      <c r="H7" s="68"/>
      <c r="I7" s="68">
        <f>IF(H7="",0,IF(H7&gt;=1700000,H7*Q$19,H7*Q$18))</f>
        <v>0</v>
      </c>
      <c r="J7" s="68"/>
      <c r="K7" s="68">
        <f>I7-J7</f>
        <v>0</v>
      </c>
      <c r="L7" s="82" t="s">
        <v>72</v>
      </c>
      <c r="M7" s="136"/>
      <c r="N7" s="76"/>
      <c r="P7" s="88" t="s">
        <v>26</v>
      </c>
    </row>
    <row r="8" spans="1:18" ht="16.5" customHeight="1" x14ac:dyDescent="0.25">
      <c r="A8" s="198"/>
      <c r="B8" s="64">
        <f>B7+1</f>
        <v>2</v>
      </c>
      <c r="C8" s="65" t="s">
        <v>200</v>
      </c>
      <c r="D8" s="75" t="s">
        <v>28</v>
      </c>
      <c r="E8" s="75">
        <v>42094001136</v>
      </c>
      <c r="F8" s="75" t="s">
        <v>15</v>
      </c>
      <c r="G8" s="75" t="s">
        <v>36</v>
      </c>
      <c r="H8" s="68">
        <v>1000000</v>
      </c>
      <c r="I8" s="68">
        <f t="shared" ref="I8:I10" si="0">IF(H8="",0,IF(H8&gt;=1700000,H8*Q$19,H8*Q$18))</f>
        <v>600000</v>
      </c>
      <c r="J8" s="68">
        <v>500000</v>
      </c>
      <c r="K8" s="68">
        <f t="shared" ref="K8:K10" si="1">I8-J8</f>
        <v>100000</v>
      </c>
      <c r="L8" s="88" t="s">
        <v>26</v>
      </c>
      <c r="M8" s="76" t="s">
        <v>201</v>
      </c>
      <c r="N8" s="76"/>
      <c r="P8" s="82" t="s">
        <v>72</v>
      </c>
    </row>
    <row r="9" spans="1:18" ht="16.5" customHeight="1" x14ac:dyDescent="0.25">
      <c r="A9" s="198"/>
      <c r="B9" s="64">
        <f t="shared" ref="B9:B10" si="2">B8+1</f>
        <v>3</v>
      </c>
      <c r="C9" s="65" t="s">
        <v>195</v>
      </c>
      <c r="D9" s="66" t="s">
        <v>101</v>
      </c>
      <c r="E9" s="66">
        <v>70081001153</v>
      </c>
      <c r="F9" s="66" t="s">
        <v>102</v>
      </c>
      <c r="G9" s="66" t="s">
        <v>83</v>
      </c>
      <c r="H9" s="68"/>
      <c r="I9" s="68">
        <f t="shared" si="0"/>
        <v>0</v>
      </c>
      <c r="J9" s="74"/>
      <c r="K9" s="68">
        <v>0</v>
      </c>
      <c r="L9" s="82" t="s">
        <v>72</v>
      </c>
      <c r="M9" s="76"/>
      <c r="N9" s="79"/>
    </row>
    <row r="10" spans="1:18" ht="16.5" customHeight="1" x14ac:dyDescent="0.25">
      <c r="A10" s="198"/>
      <c r="B10" s="64">
        <f t="shared" si="2"/>
        <v>4</v>
      </c>
      <c r="C10" s="71" t="s">
        <v>135</v>
      </c>
      <c r="D10" s="73" t="s">
        <v>106</v>
      </c>
      <c r="E10" s="73">
        <v>27068001194</v>
      </c>
      <c r="F10" s="73" t="s">
        <v>105</v>
      </c>
      <c r="G10" s="73" t="s">
        <v>73</v>
      </c>
      <c r="H10" s="74"/>
      <c r="I10" s="68">
        <f t="shared" si="0"/>
        <v>0</v>
      </c>
      <c r="J10" s="74"/>
      <c r="K10" s="68">
        <f t="shared" si="1"/>
        <v>0</v>
      </c>
      <c r="L10" s="82" t="s">
        <v>72</v>
      </c>
      <c r="M10" s="76"/>
      <c r="N10" s="76"/>
      <c r="P10" s="203" t="s">
        <v>29</v>
      </c>
      <c r="Q10" s="203"/>
      <c r="R10" s="204">
        <f>SUM(H7:H999)</f>
        <v>1000000</v>
      </c>
    </row>
    <row r="11" spans="1:18" ht="16.5" customHeight="1" x14ac:dyDescent="0.25">
      <c r="A11" s="199"/>
      <c r="C11" s="175"/>
      <c r="D11" s="175"/>
      <c r="E11" s="175"/>
      <c r="F11" s="175"/>
      <c r="G11" s="175"/>
      <c r="H11" s="176"/>
      <c r="I11" s="176"/>
      <c r="J11" s="176"/>
      <c r="K11" s="176"/>
      <c r="L11" s="175"/>
      <c r="M11" s="79"/>
      <c r="N11" s="79"/>
      <c r="P11" s="203"/>
      <c r="Q11" s="203"/>
      <c r="R11" s="204"/>
    </row>
    <row r="12" spans="1:18" ht="16.5" customHeight="1" x14ac:dyDescent="0.25">
      <c r="A12" s="107"/>
      <c r="B12" s="89"/>
      <c r="C12" s="90"/>
      <c r="D12" s="89"/>
      <c r="E12" s="91"/>
      <c r="F12" s="92"/>
      <c r="G12" s="93"/>
      <c r="H12" s="94"/>
      <c r="I12" s="94"/>
      <c r="J12" s="147"/>
      <c r="K12" s="123"/>
      <c r="L12" s="96"/>
      <c r="M12" s="97"/>
      <c r="N12" s="97"/>
      <c r="P12" s="205" t="s">
        <v>143</v>
      </c>
      <c r="Q12" s="205"/>
      <c r="R12" s="204">
        <f>SUM(I7:I999)</f>
        <v>600000</v>
      </c>
    </row>
    <row r="13" spans="1:18" ht="22.5" customHeight="1" x14ac:dyDescent="0.25">
      <c r="A13" s="201" t="s">
        <v>118</v>
      </c>
      <c r="B13" s="64">
        <v>1</v>
      </c>
      <c r="C13" s="77" t="s">
        <v>40</v>
      </c>
      <c r="D13" s="66" t="s">
        <v>8</v>
      </c>
      <c r="E13" s="67">
        <v>38096003688</v>
      </c>
      <c r="F13" s="66" t="s">
        <v>13</v>
      </c>
      <c r="G13" s="66" t="s">
        <v>14</v>
      </c>
      <c r="H13" s="68"/>
      <c r="I13" s="68">
        <f>IF(H13="",0,IF(H13&gt;=1700000,H13*Q$19,H13*Q$18))</f>
        <v>0</v>
      </c>
      <c r="J13" s="68"/>
      <c r="K13" s="68">
        <f t="shared" ref="K13:K26" si="3">I13-J13</f>
        <v>0</v>
      </c>
      <c r="L13" s="82" t="s">
        <v>72</v>
      </c>
      <c r="M13" s="76"/>
      <c r="N13" s="76"/>
      <c r="P13" s="205"/>
      <c r="Q13" s="205"/>
      <c r="R13" s="204"/>
    </row>
    <row r="14" spans="1:18" ht="16.5" customHeight="1" x14ac:dyDescent="0.25">
      <c r="A14" s="202"/>
      <c r="B14" s="64">
        <f>B13+1</f>
        <v>2</v>
      </c>
      <c r="C14" s="78" t="s">
        <v>67</v>
      </c>
      <c r="D14" s="73" t="s">
        <v>11</v>
      </c>
      <c r="E14" s="72">
        <v>89099008054</v>
      </c>
      <c r="F14" s="73" t="s">
        <v>18</v>
      </c>
      <c r="G14" s="73" t="s">
        <v>48</v>
      </c>
      <c r="H14" s="74"/>
      <c r="I14" s="68">
        <f t="shared" ref="I14:I20" si="4">IF(H14="",0,IF(H14&gt;=1700000,H14*Q$19,H14*Q$18))</f>
        <v>0</v>
      </c>
      <c r="J14" s="74"/>
      <c r="K14" s="68">
        <f t="shared" si="3"/>
        <v>0</v>
      </c>
      <c r="L14" s="82" t="s">
        <v>72</v>
      </c>
      <c r="M14" s="79"/>
      <c r="N14" s="79"/>
      <c r="P14" s="205"/>
      <c r="Q14" s="205"/>
      <c r="R14" s="204"/>
    </row>
    <row r="15" spans="1:18" ht="22.5" customHeight="1" x14ac:dyDescent="0.3">
      <c r="A15" s="202"/>
      <c r="B15" s="64">
        <f t="shared" ref="B15:B30" si="5">B14+1</f>
        <v>3</v>
      </c>
      <c r="C15" s="77" t="s">
        <v>43</v>
      </c>
      <c r="D15" s="75" t="s">
        <v>23</v>
      </c>
      <c r="E15" s="75">
        <v>42088019031</v>
      </c>
      <c r="F15" s="75" t="s">
        <v>21</v>
      </c>
      <c r="G15" s="75" t="s">
        <v>22</v>
      </c>
      <c r="H15" s="68"/>
      <c r="I15" s="68">
        <f t="shared" si="4"/>
        <v>0</v>
      </c>
      <c r="J15" s="74"/>
      <c r="K15" s="68">
        <f t="shared" si="3"/>
        <v>0</v>
      </c>
      <c r="L15" s="82" t="s">
        <v>72</v>
      </c>
      <c r="M15" s="76"/>
      <c r="N15" s="85"/>
      <c r="P15" s="206" t="s">
        <v>117</v>
      </c>
      <c r="Q15" s="206"/>
      <c r="R15" s="160">
        <f>SUM(J7:J98)</f>
        <v>500000</v>
      </c>
    </row>
    <row r="16" spans="1:18" ht="16.5" customHeight="1" x14ac:dyDescent="0.25">
      <c r="A16" s="202"/>
      <c r="B16" s="64">
        <f t="shared" si="5"/>
        <v>4</v>
      </c>
      <c r="C16" s="77"/>
      <c r="D16" s="75"/>
      <c r="E16" s="75"/>
      <c r="F16" s="75"/>
      <c r="G16" s="75"/>
      <c r="H16" s="68"/>
      <c r="I16" s="68">
        <f>IF(H16="",0,IF(H16&gt;=1700000,H16*Q$19,H16*Q$18))</f>
        <v>0</v>
      </c>
      <c r="J16" s="68"/>
      <c r="K16" s="68">
        <f t="shared" si="3"/>
        <v>0</v>
      </c>
      <c r="L16" s="69"/>
      <c r="M16" s="76"/>
      <c r="N16" s="76"/>
    </row>
    <row r="17" spans="1:19" ht="16.5" customHeight="1" x14ac:dyDescent="0.25">
      <c r="A17" s="202"/>
      <c r="B17" s="64">
        <f t="shared" si="5"/>
        <v>5</v>
      </c>
      <c r="C17" s="77" t="s">
        <v>79</v>
      </c>
      <c r="D17" s="75" t="s">
        <v>61</v>
      </c>
      <c r="E17" s="75">
        <v>95095009661</v>
      </c>
      <c r="F17" s="75" t="s">
        <v>62</v>
      </c>
      <c r="G17" s="75" t="s">
        <v>27</v>
      </c>
      <c r="H17" s="68"/>
      <c r="I17" s="68">
        <f t="shared" si="4"/>
        <v>0</v>
      </c>
      <c r="J17" s="74"/>
      <c r="K17" s="68">
        <f t="shared" si="3"/>
        <v>0</v>
      </c>
      <c r="L17" s="82" t="s">
        <v>72</v>
      </c>
      <c r="M17" s="80"/>
      <c r="N17" s="85"/>
    </row>
    <row r="18" spans="1:19" ht="16.5" customHeight="1" x14ac:dyDescent="0.3">
      <c r="A18" s="202"/>
      <c r="B18" s="64">
        <f t="shared" si="5"/>
        <v>6</v>
      </c>
      <c r="C18" s="77"/>
      <c r="D18" s="75" t="s">
        <v>63</v>
      </c>
      <c r="E18" s="81">
        <v>91085001515</v>
      </c>
      <c r="F18" s="66" t="s">
        <v>18</v>
      </c>
      <c r="G18" s="75" t="s">
        <v>57</v>
      </c>
      <c r="H18" s="68"/>
      <c r="I18" s="68">
        <f>IF(H18="",0,IF(H18&gt;=1700000,H18*Q$19,H18*Q$18))</f>
        <v>0</v>
      </c>
      <c r="J18" s="74"/>
      <c r="K18" s="68">
        <f t="shared" si="3"/>
        <v>0</v>
      </c>
      <c r="L18" s="131"/>
      <c r="M18" s="76"/>
      <c r="N18" s="76"/>
      <c r="P18" s="157" t="s">
        <v>65</v>
      </c>
      <c r="Q18" s="162">
        <v>0.6</v>
      </c>
      <c r="S18" s="164" t="s">
        <v>177</v>
      </c>
    </row>
    <row r="19" spans="1:19" ht="16.5" customHeight="1" x14ac:dyDescent="0.3">
      <c r="A19" s="202"/>
      <c r="B19" s="64">
        <f t="shared" si="5"/>
        <v>7</v>
      </c>
      <c r="C19" s="77" t="s">
        <v>52</v>
      </c>
      <c r="D19" s="64" t="s">
        <v>54</v>
      </c>
      <c r="E19" s="64" t="s">
        <v>94</v>
      </c>
      <c r="F19" s="64" t="s">
        <v>53</v>
      </c>
      <c r="G19" s="64" t="s">
        <v>35</v>
      </c>
      <c r="H19" s="68"/>
      <c r="I19" s="68">
        <f t="shared" si="4"/>
        <v>0</v>
      </c>
      <c r="J19" s="68"/>
      <c r="K19" s="68">
        <f t="shared" si="3"/>
        <v>0</v>
      </c>
      <c r="L19" s="82" t="s">
        <v>72</v>
      </c>
      <c r="M19" s="76"/>
      <c r="N19" s="76"/>
      <c r="P19" s="157" t="s">
        <v>65</v>
      </c>
      <c r="Q19" s="163">
        <v>0.5</v>
      </c>
      <c r="S19" s="164" t="s">
        <v>178</v>
      </c>
    </row>
    <row r="20" spans="1:19" ht="16.5" customHeight="1" x14ac:dyDescent="0.25">
      <c r="A20" s="202"/>
      <c r="B20" s="64">
        <f t="shared" si="5"/>
        <v>8</v>
      </c>
      <c r="C20" s="78" t="s">
        <v>92</v>
      </c>
      <c r="D20" s="70" t="s">
        <v>88</v>
      </c>
      <c r="E20" s="70" t="s">
        <v>89</v>
      </c>
      <c r="F20" s="70" t="s">
        <v>90</v>
      </c>
      <c r="G20" s="64" t="s">
        <v>137</v>
      </c>
      <c r="H20" s="74"/>
      <c r="I20" s="68">
        <f t="shared" si="4"/>
        <v>0</v>
      </c>
      <c r="J20" s="68"/>
      <c r="K20" s="68">
        <f t="shared" si="3"/>
        <v>0</v>
      </c>
      <c r="L20" s="82" t="s">
        <v>72</v>
      </c>
      <c r="M20" s="79"/>
      <c r="N20" s="76"/>
    </row>
    <row r="21" spans="1:19" ht="16.5" customHeight="1" x14ac:dyDescent="0.25">
      <c r="A21" s="202"/>
      <c r="B21" s="64">
        <f t="shared" si="5"/>
        <v>9</v>
      </c>
      <c r="C21" s="78" t="s">
        <v>131</v>
      </c>
      <c r="D21" s="177"/>
      <c r="E21" s="177"/>
      <c r="F21" s="177"/>
      <c r="G21" s="122" t="s">
        <v>93</v>
      </c>
      <c r="H21" s="74"/>
      <c r="I21" s="68">
        <f>IF(H21="",0,IF(H21&gt;=1700000,H21*Q$19,H21*Q$18))</f>
        <v>0</v>
      </c>
      <c r="J21" s="74"/>
      <c r="K21" s="68">
        <f t="shared" si="3"/>
        <v>0</v>
      </c>
      <c r="L21" s="82" t="s">
        <v>72</v>
      </c>
      <c r="M21" s="173"/>
      <c r="N21" s="76"/>
    </row>
    <row r="22" spans="1:19" ht="16.5" customHeight="1" x14ac:dyDescent="0.25">
      <c r="A22" s="202"/>
      <c r="B22" s="64">
        <f t="shared" si="5"/>
        <v>10</v>
      </c>
      <c r="C22" s="177"/>
      <c r="D22" s="177"/>
      <c r="E22" s="177"/>
      <c r="F22" s="177"/>
      <c r="G22" s="177"/>
      <c r="H22" s="177"/>
      <c r="I22" s="68">
        <f>IF(H22="",0,IF(H22&gt;=1700000,H22*Q$19,H22*Q$18))</f>
        <v>0</v>
      </c>
      <c r="J22" s="177"/>
      <c r="K22" s="68">
        <f t="shared" si="3"/>
        <v>0</v>
      </c>
      <c r="L22" s="177"/>
      <c r="M22" s="105"/>
      <c r="N22" s="105"/>
    </row>
    <row r="23" spans="1:19" ht="16.5" customHeight="1" x14ac:dyDescent="0.25">
      <c r="A23" s="202"/>
      <c r="B23" s="64">
        <f t="shared" si="5"/>
        <v>11</v>
      </c>
      <c r="C23" s="65" t="s">
        <v>139</v>
      </c>
      <c r="D23" s="66"/>
      <c r="E23" s="66"/>
      <c r="F23" s="66"/>
      <c r="G23" s="75" t="s">
        <v>25</v>
      </c>
      <c r="H23" s="133"/>
      <c r="I23" s="68">
        <f t="shared" ref="I23:I26" si="6">IF(H23="",0,IF(H23&gt;=1700000,H23*Q$19,H23*Q$18))</f>
        <v>0</v>
      </c>
      <c r="J23" s="132"/>
      <c r="K23" s="68">
        <v>0</v>
      </c>
      <c r="L23" s="82" t="s">
        <v>72</v>
      </c>
      <c r="M23" s="105"/>
      <c r="N23" s="79"/>
    </row>
    <row r="24" spans="1:19" ht="16.5" customHeight="1" x14ac:dyDescent="0.25">
      <c r="A24" s="202"/>
      <c r="B24" s="64">
        <f t="shared" si="5"/>
        <v>12</v>
      </c>
      <c r="C24" s="65"/>
      <c r="D24" s="75"/>
      <c r="E24" s="75"/>
      <c r="F24" s="75"/>
      <c r="G24" s="64" t="s">
        <v>19</v>
      </c>
      <c r="H24" s="133"/>
      <c r="I24" s="68">
        <f t="shared" si="6"/>
        <v>0</v>
      </c>
      <c r="J24" s="133"/>
      <c r="K24" s="68">
        <f>I24-J24</f>
        <v>0</v>
      </c>
      <c r="L24" s="69"/>
      <c r="M24" s="105"/>
      <c r="N24" s="105"/>
    </row>
    <row r="25" spans="1:19" ht="16.5" x14ac:dyDescent="0.25">
      <c r="A25" s="202"/>
      <c r="B25" s="64">
        <f t="shared" si="5"/>
        <v>13</v>
      </c>
      <c r="C25" s="65" t="s">
        <v>148</v>
      </c>
      <c r="D25" s="73"/>
      <c r="E25" s="178"/>
      <c r="F25" s="178"/>
      <c r="G25" s="75" t="s">
        <v>56</v>
      </c>
      <c r="H25" s="68"/>
      <c r="I25" s="68">
        <f>IF(H25="",0,IF(H25&gt;=1700000,H25*Q$19,H25*Q$18))</f>
        <v>0</v>
      </c>
      <c r="J25" s="68"/>
      <c r="K25" s="68">
        <f t="shared" si="3"/>
        <v>0</v>
      </c>
      <c r="L25" s="82" t="s">
        <v>72</v>
      </c>
      <c r="M25" s="105"/>
      <c r="N25" s="105"/>
    </row>
    <row r="26" spans="1:19" ht="22.15" customHeight="1" x14ac:dyDescent="0.25">
      <c r="A26" s="202"/>
      <c r="B26" s="64">
        <f t="shared" si="5"/>
        <v>14</v>
      </c>
      <c r="C26" s="77" t="s">
        <v>41</v>
      </c>
      <c r="D26" s="66" t="s">
        <v>10</v>
      </c>
      <c r="E26" s="67">
        <v>89078016404</v>
      </c>
      <c r="F26" s="66" t="s">
        <v>18</v>
      </c>
      <c r="G26" s="66" t="s">
        <v>17</v>
      </c>
      <c r="H26" s="179"/>
      <c r="I26" s="68">
        <f t="shared" si="6"/>
        <v>0</v>
      </c>
      <c r="J26" s="133"/>
      <c r="K26" s="68">
        <f t="shared" si="3"/>
        <v>0</v>
      </c>
      <c r="L26" s="82" t="s">
        <v>72</v>
      </c>
      <c r="M26" s="136"/>
      <c r="N26" s="76"/>
    </row>
    <row r="27" spans="1:19" ht="20.45" customHeight="1" x14ac:dyDescent="0.25">
      <c r="A27" s="202"/>
      <c r="B27" s="64">
        <f t="shared" si="5"/>
        <v>15</v>
      </c>
      <c r="C27" s="177"/>
      <c r="D27" s="177"/>
      <c r="E27" s="177"/>
      <c r="F27" s="177"/>
      <c r="G27" s="75" t="s">
        <v>168</v>
      </c>
      <c r="H27" s="177"/>
      <c r="I27" s="68">
        <f>IF(H27="",0,IF(H27&gt;=1700000,H27*Q$19,H27*Q$18))</f>
        <v>0</v>
      </c>
      <c r="J27" s="177"/>
      <c r="K27" s="177"/>
      <c r="L27" s="177"/>
      <c r="M27" s="136"/>
      <c r="N27" s="76"/>
    </row>
    <row r="28" spans="1:19" ht="16.5" customHeight="1" x14ac:dyDescent="0.25">
      <c r="A28" s="202"/>
      <c r="B28" s="64">
        <f t="shared" si="5"/>
        <v>16</v>
      </c>
      <c r="C28" s="105"/>
      <c r="D28" s="105"/>
      <c r="E28" s="105"/>
      <c r="F28" s="105"/>
      <c r="G28" s="105"/>
      <c r="H28" s="105"/>
      <c r="I28" s="105"/>
      <c r="J28" s="105"/>
      <c r="K28" s="105"/>
      <c r="L28" s="105"/>
      <c r="M28" s="115"/>
      <c r="N28" s="79"/>
    </row>
    <row r="29" spans="1:19" ht="16.5" customHeight="1" x14ac:dyDescent="0.25">
      <c r="A29" s="202"/>
      <c r="B29" s="64">
        <f t="shared" si="5"/>
        <v>17</v>
      </c>
      <c r="C29" s="105"/>
      <c r="D29" s="105"/>
      <c r="E29" s="105"/>
      <c r="F29" s="105"/>
      <c r="G29" s="105"/>
      <c r="H29" s="105"/>
      <c r="I29" s="105"/>
      <c r="J29" s="105"/>
      <c r="K29" s="105"/>
      <c r="L29" s="105"/>
      <c r="M29" s="76"/>
      <c r="N29" s="76"/>
    </row>
    <row r="30" spans="1:19" ht="16.5" customHeight="1" x14ac:dyDescent="0.25">
      <c r="A30" s="202"/>
      <c r="B30" s="64">
        <f t="shared" si="5"/>
        <v>18</v>
      </c>
      <c r="C30" s="71"/>
      <c r="D30" s="73"/>
      <c r="E30" s="73"/>
      <c r="F30" s="73"/>
      <c r="G30" s="73"/>
      <c r="H30" s="135"/>
      <c r="I30" s="132"/>
      <c r="J30" s="133"/>
      <c r="K30" s="132"/>
      <c r="L30" s="131"/>
      <c r="M30" s="79"/>
      <c r="N30" s="79"/>
    </row>
    <row r="31" spans="1:19" ht="15" customHeight="1" x14ac:dyDescent="0.25"/>
    <row r="32" spans="1:19" ht="15" customHeight="1" x14ac:dyDescent="0.25"/>
    <row r="39" spans="7:7" x14ac:dyDescent="0.25">
      <c r="G39" s="25"/>
    </row>
  </sheetData>
  <mergeCells count="8">
    <mergeCell ref="B3:K3"/>
    <mergeCell ref="A7:A11"/>
    <mergeCell ref="P10:Q11"/>
    <mergeCell ref="R10:R11"/>
    <mergeCell ref="P12:Q14"/>
    <mergeCell ref="R12:R14"/>
    <mergeCell ref="A13:A30"/>
    <mergeCell ref="P15:Q1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biển số xe</vt:lpstr>
      <vt:lpstr>01-01</vt:lpstr>
      <vt:lpstr>02-01</vt:lpstr>
      <vt:lpstr>03-01</vt:lpstr>
      <vt:lpstr>04-01</vt:lpstr>
      <vt:lpstr>05-01</vt:lpstr>
      <vt:lpstr>06-01</vt:lpstr>
      <vt:lpstr>07-01</vt:lpstr>
      <vt:lpstr>08-01</vt:lpstr>
      <vt:lpstr>09-01</vt:lpstr>
      <vt:lpstr>10-01</vt:lpstr>
      <vt:lpstr>10-01 (1)</vt:lpstr>
      <vt:lpstr>11-01 </vt:lpstr>
      <vt:lpstr>12-01</vt:lpstr>
      <vt:lpstr>13-01</vt:lpstr>
      <vt:lpstr>14-01</vt:lpstr>
      <vt:lpstr>15-01</vt:lpstr>
      <vt:lpstr>16-01</vt:lpstr>
      <vt:lpstr>17-01</vt:lpstr>
      <vt:lpstr>18-01</vt:lpstr>
      <vt:lpstr>19-01</vt:lpstr>
      <vt:lpstr>20-01</vt:lpstr>
      <vt:lpstr>21-01</vt:lpstr>
      <vt:lpstr>22-01</vt:lpstr>
      <vt:lpstr>23-01</vt:lpstr>
      <vt:lpstr>24-01</vt:lpstr>
      <vt:lpstr>25-01</vt:lpstr>
      <vt:lpstr>26-01</vt:lpstr>
      <vt:lpstr>27-01</vt:lpstr>
      <vt:lpstr>28-01</vt:lpstr>
      <vt:lpstr>29-01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NDC</dc:creator>
  <cp:lastModifiedBy>nguyenducanh12a10@gmail.com</cp:lastModifiedBy>
  <dcterms:created xsi:type="dcterms:W3CDTF">2015-06-05T18:17:20Z</dcterms:created>
  <dcterms:modified xsi:type="dcterms:W3CDTF">2026-01-29T15:56:36Z</dcterms:modified>
</cp:coreProperties>
</file>