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drawings/drawing4.xml" ContentType="application/vnd.openxmlformats-officedocument.drawing+xml"/>
  <Override PartName="/xl/tables/table5.xml" ContentType="application/vnd.openxmlformats-officedocument.spreadsheetml.table+xml"/>
  <Override PartName="/xl/drawings/drawing5.xml" ContentType="application/vnd.openxmlformats-officedocument.drawing+xml"/>
  <Override PartName="/xl/tables/table6.xml" ContentType="application/vnd.openxmlformats-officedocument.spreadsheetml.table+xml"/>
  <Override PartName="/xl/drawings/drawing6.xml" ContentType="application/vnd.openxmlformats-officedocument.drawing+xml"/>
  <Override PartName="/xl/tables/table7.xml" ContentType="application/vnd.openxmlformats-officedocument.spreadsheetml.table+xml"/>
  <Override PartName="/xl/drawings/drawing7.xml" ContentType="application/vnd.openxmlformats-officedocument.drawing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D:\Duc Anh\Theo dõi\"/>
    </mc:Choice>
  </mc:AlternateContent>
  <xr:revisionPtr revIDLastSave="0" documentId="13_ncr:1_{AF870B79-E4FD-4327-A28E-8BAF405ED486}" xr6:coauthVersionLast="47" xr6:coauthVersionMax="47" xr10:uidLastSave="{00000000-0000-0000-0000-000000000000}"/>
  <bookViews>
    <workbookView xWindow="-120" yWindow="-120" windowWidth="29040" windowHeight="15840" tabRatio="439" activeTab="7" xr2:uid="{00000000-000D-0000-FFFF-FFFF00000000}"/>
  </bookViews>
  <sheets>
    <sheet name="01-01" sheetId="5" r:id="rId1"/>
    <sheet name="02-01" sheetId="6" r:id="rId2"/>
    <sheet name="03-01" sheetId="7" r:id="rId3"/>
    <sheet name="04-01" sheetId="8" r:id="rId4"/>
    <sheet name="05-01" sheetId="9" r:id="rId5"/>
    <sheet name="06-01" sheetId="10" r:id="rId6"/>
    <sheet name="07-01" sheetId="11" r:id="rId7"/>
    <sheet name="08-01" sheetId="12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8" i="12" l="1"/>
  <c r="I9" i="12"/>
  <c r="I10" i="12"/>
  <c r="I11" i="12"/>
  <c r="I12" i="12"/>
  <c r="I13" i="12"/>
  <c r="I14" i="12"/>
  <c r="I15" i="12"/>
  <c r="I16" i="12"/>
  <c r="I18" i="12"/>
  <c r="I19" i="12"/>
  <c r="I21" i="12"/>
  <c r="I22" i="12"/>
  <c r="I23" i="12"/>
  <c r="J26" i="12"/>
  <c r="B8" i="12"/>
  <c r="B9" i="12" s="1"/>
  <c r="B10" i="12" s="1"/>
  <c r="B11" i="12" s="1"/>
  <c r="B12" i="12" s="1"/>
  <c r="B13" i="12" s="1"/>
  <c r="B14" i="12" s="1"/>
  <c r="B15" i="12" s="1"/>
  <c r="B16" i="12" s="1"/>
  <c r="B17" i="12" s="1"/>
  <c r="B18" i="12" s="1"/>
  <c r="B19" i="12" s="1"/>
  <c r="B20" i="12" s="1"/>
  <c r="B21" i="12" s="1"/>
  <c r="B22" i="12" s="1"/>
  <c r="B23" i="12" s="1"/>
  <c r="I19" i="11"/>
  <c r="I8" i="11"/>
  <c r="I9" i="11"/>
  <c r="I10" i="11"/>
  <c r="I11" i="11"/>
  <c r="I12" i="11"/>
  <c r="I13" i="11"/>
  <c r="I14" i="11"/>
  <c r="I15" i="11"/>
  <c r="I16" i="11"/>
  <c r="I17" i="11"/>
  <c r="I18" i="11"/>
  <c r="I21" i="11"/>
  <c r="I22" i="11"/>
  <c r="I7" i="11"/>
  <c r="I7" i="10" s="1"/>
  <c r="J26" i="11"/>
  <c r="B10" i="11"/>
  <c r="B11" i="11" s="1"/>
  <c r="B12" i="11" s="1"/>
  <c r="B13" i="11" s="1"/>
  <c r="B14" i="11" s="1"/>
  <c r="B15" i="11" s="1"/>
  <c r="B16" i="11" s="1"/>
  <c r="B17" i="11" s="1"/>
  <c r="B18" i="11" s="1"/>
  <c r="B19" i="11" s="1"/>
  <c r="B20" i="11" s="1"/>
  <c r="B21" i="11" s="1"/>
  <c r="B22" i="11" s="1"/>
  <c r="B23" i="11" s="1"/>
  <c r="B9" i="11"/>
  <c r="B8" i="11"/>
  <c r="I21" i="10"/>
  <c r="I18" i="10"/>
  <c r="I16" i="10"/>
  <c r="I8" i="10"/>
  <c r="I9" i="10"/>
  <c r="I10" i="10"/>
  <c r="I11" i="10"/>
  <c r="I12" i="10"/>
  <c r="I13" i="10"/>
  <c r="I14" i="10"/>
  <c r="I15" i="10"/>
  <c r="I7" i="8"/>
  <c r="I17" i="9"/>
  <c r="J26" i="10"/>
  <c r="B11" i="10"/>
  <c r="B12" i="10" s="1"/>
  <c r="B13" i="10" s="1"/>
  <c r="B14" i="10" s="1"/>
  <c r="B15" i="10" s="1"/>
  <c r="B16" i="10" s="1"/>
  <c r="B17" i="10" s="1"/>
  <c r="B18" i="10" s="1"/>
  <c r="B19" i="10" s="1"/>
  <c r="B20" i="10" s="1"/>
  <c r="B21" i="10" s="1"/>
  <c r="B22" i="10" s="1"/>
  <c r="B23" i="10" s="1"/>
  <c r="B10" i="10"/>
  <c r="B9" i="10"/>
  <c r="B8" i="10"/>
  <c r="J26" i="9"/>
  <c r="I8" i="9"/>
  <c r="I10" i="9"/>
  <c r="I11" i="9"/>
  <c r="I12" i="9"/>
  <c r="I14" i="9"/>
  <c r="I15" i="9"/>
  <c r="I21" i="9"/>
  <c r="I8" i="8"/>
  <c r="I11" i="8"/>
  <c r="I12" i="8"/>
  <c r="I13" i="8"/>
  <c r="I14" i="8"/>
  <c r="I15" i="8"/>
  <c r="I16" i="8"/>
  <c r="I17" i="8"/>
  <c r="I18" i="8"/>
  <c r="I19" i="8"/>
  <c r="I10" i="7"/>
  <c r="J26" i="8"/>
  <c r="B8" i="8"/>
  <c r="B9" i="8" s="1"/>
  <c r="B10" i="8" s="1"/>
  <c r="B11" i="8" s="1"/>
  <c r="B12" i="8" s="1"/>
  <c r="B13" i="8" s="1"/>
  <c r="B14" i="8" s="1"/>
  <c r="B15" i="8" s="1"/>
  <c r="B16" i="8" s="1"/>
  <c r="B17" i="8" s="1"/>
  <c r="B18" i="8" s="1"/>
  <c r="B19" i="8" s="1"/>
  <c r="B20" i="8" s="1"/>
  <c r="B21" i="8" s="1"/>
  <c r="B22" i="8" s="1"/>
  <c r="B23" i="8" s="1"/>
  <c r="I11" i="7"/>
  <c r="I12" i="7"/>
  <c r="I13" i="7"/>
  <c r="I15" i="7"/>
  <c r="I16" i="7"/>
  <c r="I17" i="7"/>
  <c r="I8" i="6"/>
  <c r="J26" i="7"/>
  <c r="B8" i="7"/>
  <c r="B9" i="7" s="1"/>
  <c r="B10" i="7" s="1"/>
  <c r="B11" i="7" s="1"/>
  <c r="B12" i="7" s="1"/>
  <c r="B13" i="7" s="1"/>
  <c r="B14" i="7" s="1"/>
  <c r="B15" i="7" s="1"/>
  <c r="B16" i="7" s="1"/>
  <c r="B17" i="7" s="1"/>
  <c r="B18" i="7" s="1"/>
  <c r="B19" i="7" s="1"/>
  <c r="B20" i="7" s="1"/>
  <c r="B21" i="7" s="1"/>
  <c r="B22" i="7" s="1"/>
  <c r="B23" i="7" s="1"/>
  <c r="B24" i="7" s="1"/>
  <c r="J25" i="5"/>
  <c r="I23" i="5"/>
  <c r="I22" i="5"/>
  <c r="I19" i="5"/>
  <c r="I18" i="5"/>
  <c r="I17" i="5"/>
  <c r="I16" i="5"/>
  <c r="I15" i="5"/>
  <c r="I14" i="5"/>
  <c r="I12" i="5"/>
  <c r="I11" i="5"/>
  <c r="I10" i="5"/>
  <c r="I9" i="5"/>
  <c r="J26" i="5" s="1"/>
  <c r="B8" i="5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I21" i="6"/>
  <c r="I10" i="6"/>
  <c r="I11" i="6"/>
  <c r="I12" i="6"/>
  <c r="I13" i="6"/>
  <c r="I14" i="6"/>
  <c r="I15" i="6"/>
  <c r="I16" i="6"/>
  <c r="J26" i="6"/>
  <c r="B8" i="6"/>
  <c r="B9" i="6" s="1"/>
  <c r="B10" i="6" s="1"/>
  <c r="B11" i="6" s="1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J27" i="12" l="1"/>
  <c r="J27" i="11"/>
  <c r="J27" i="10"/>
  <c r="J27" i="9"/>
  <c r="J27" i="8"/>
  <c r="J27" i="7"/>
  <c r="J27" i="6"/>
  <c r="B8" i="9" l="1"/>
  <c r="B9" i="9" s="1"/>
  <c r="B10" i="9" s="1"/>
  <c r="B11" i="9" s="1"/>
  <c r="B12" i="9" s="1"/>
  <c r="B13" i="9" s="1"/>
  <c r="B14" i="9" s="1"/>
  <c r="B15" i="9" s="1"/>
  <c r="B16" i="9" s="1"/>
  <c r="B17" i="9" s="1"/>
  <c r="B18" i="9" s="1"/>
  <c r="B19" i="9" s="1"/>
  <c r="B20" i="9" s="1"/>
  <c r="B21" i="9" s="1"/>
  <c r="B22" i="9" s="1"/>
  <c r="B23" i="9" s="1"/>
</calcChain>
</file>

<file path=xl/sharedStrings.xml><?xml version="1.0" encoding="utf-8"?>
<sst xmlns="http://schemas.openxmlformats.org/spreadsheetml/2006/main" count="1036" uniqueCount="109">
  <si>
    <t>STT</t>
  </si>
  <si>
    <t>HỌ TÊN</t>
  </si>
  <si>
    <t>CCCD</t>
  </si>
  <si>
    <t>ĐỊA CHỈ</t>
  </si>
  <si>
    <t>DOANH THU</t>
  </si>
  <si>
    <t>BILL</t>
  </si>
  <si>
    <t>NULL</t>
  </si>
  <si>
    <t>HÌNH THỨC</t>
  </si>
  <si>
    <t>0975 734 763</t>
  </si>
  <si>
    <t>0915 192 340</t>
  </si>
  <si>
    <t>0974 650 440</t>
  </si>
  <si>
    <t>0969 010 942</t>
  </si>
  <si>
    <t>0945 414 842</t>
  </si>
  <si>
    <t>THANH HÓA</t>
  </si>
  <si>
    <t>68HC 001.92</t>
  </si>
  <si>
    <t>KIÊN GIANG</t>
  </si>
  <si>
    <t>68HC 001.84</t>
  </si>
  <si>
    <t>68HC 001.81</t>
  </si>
  <si>
    <t>AN GIANG</t>
  </si>
  <si>
    <t xml:space="preserve">68HC 001.89 </t>
  </si>
  <si>
    <t>THỰC LÃNH</t>
  </si>
  <si>
    <t>HÀ TĨNH</t>
  </si>
  <si>
    <t>68HC 001.63</t>
  </si>
  <si>
    <t>0989 272 425</t>
  </si>
  <si>
    <t>0832 565 558</t>
  </si>
  <si>
    <t>68HC 001.71</t>
  </si>
  <si>
    <t>TM</t>
  </si>
  <si>
    <t>68HC 001.33</t>
  </si>
  <si>
    <t>0784 617 223</t>
  </si>
  <si>
    <t>TỔNG DOANH THU</t>
  </si>
  <si>
    <t>TỔNG THỰC LÃNH</t>
  </si>
  <si>
    <t>CÔNG TY TNHH MTV VẬN TẢI VÀ DU LỊCH MINH HẢI</t>
  </si>
  <si>
    <t xml:space="preserve">68HC 001.78 </t>
  </si>
  <si>
    <t>0369 922 571</t>
  </si>
  <si>
    <t>NOTE</t>
  </si>
  <si>
    <t xml:space="preserve">68HC 001.70 </t>
  </si>
  <si>
    <t>68HC 001.98</t>
  </si>
  <si>
    <t>QUANG HÀ (VIN)</t>
  </si>
  <si>
    <t>TRƯƠNG VŨ CA (VŨ LINH) (Vin)</t>
  </si>
  <si>
    <t>NGUYỄN CHÍ BÌNH (Vin)</t>
  </si>
  <si>
    <t>LÊ VĂN TÙNG (Sun)</t>
  </si>
  <si>
    <t>ĐỖ VĂN CHUNG (Sun)</t>
  </si>
  <si>
    <t>NAM DO (Sun)</t>
  </si>
  <si>
    <t>NGUYỄN QUỐC NAM (Sun)</t>
  </si>
  <si>
    <t>NHẤT (Sun)</t>
  </si>
  <si>
    <t>TRẦN THIỆN (Sun)</t>
  </si>
  <si>
    <t>THANH  (Sun)</t>
  </si>
  <si>
    <t>VĂN HẠNH (Sun)</t>
  </si>
  <si>
    <t xml:space="preserve">68HC 001.93 </t>
  </si>
  <si>
    <t>BIỂN SỐ</t>
  </si>
  <si>
    <t>SDT</t>
  </si>
  <si>
    <t>TIME</t>
  </si>
  <si>
    <t>TRẦN VIẾT HÙNG (Sun)</t>
  </si>
  <si>
    <t>NINH BÌNH</t>
  </si>
  <si>
    <t>0917 387 279</t>
  </si>
  <si>
    <t>DOANH THU 01/01/2026</t>
  </si>
  <si>
    <t>68HC 001.34</t>
  </si>
  <si>
    <t>68HC 001.36</t>
  </si>
  <si>
    <t>Biển số</t>
  </si>
  <si>
    <t>0972 789 389</t>
  </si>
  <si>
    <t>HẬU GIANG</t>
  </si>
  <si>
    <t>0911 181 895</t>
  </si>
  <si>
    <t>BẠC LIÊU</t>
  </si>
  <si>
    <t>0981 436 488</t>
  </si>
  <si>
    <t>LONG AN</t>
  </si>
  <si>
    <t xml:space="preserve">Tỉ lệ: </t>
  </si>
  <si>
    <t>6;4</t>
  </si>
  <si>
    <t xml:space="preserve">LÊ THÀNH LẬP (Hiếu) (Sun) </t>
  </si>
  <si>
    <t xml:space="preserve"> </t>
  </si>
  <si>
    <t>CK</t>
  </si>
  <si>
    <t>Elly nợ 500k</t>
  </si>
  <si>
    <t xml:space="preserve">Người mới </t>
  </si>
  <si>
    <t>Chưa TT</t>
  </si>
  <si>
    <t>68HC 001.86</t>
  </si>
  <si>
    <t>chưa được cấp</t>
  </si>
  <si>
    <t>0912 285 485</t>
  </si>
  <si>
    <t>0589 198 189</t>
  </si>
  <si>
    <t>DOANH THU 02/01/2026</t>
  </si>
  <si>
    <t>Lê Văn Tùng 12k*</t>
  </si>
  <si>
    <t>TRẦN THANH THANH  (Sun)</t>
  </si>
  <si>
    <t>LÊ VĨNH NHÂM (Vin)</t>
  </si>
  <si>
    <t>HUỲNH HOÀNG VŨ</t>
  </si>
  <si>
    <t>68HC 001.91</t>
  </si>
  <si>
    <t>68HC 001.68</t>
  </si>
  <si>
    <t>xe chưa có biển</t>
  </si>
  <si>
    <t>DOANH THU 03/01/2026</t>
  </si>
  <si>
    <t>Chưa chuyển</t>
  </si>
  <si>
    <t>DOANH THU 04/01/2026</t>
  </si>
  <si>
    <t>0329 461 991</t>
  </si>
  <si>
    <t>01091004110</t>
  </si>
  <si>
    <t>HÀ NỘI</t>
  </si>
  <si>
    <t>`</t>
  </si>
  <si>
    <t>NGUYỄN VĂN THÁI (Sun)</t>
  </si>
  <si>
    <t>đang làm biển</t>
  </si>
  <si>
    <t>đang cấp</t>
  </si>
  <si>
    <t>DOANH THU 05/01/2026</t>
  </si>
  <si>
    <t>Sau 6-1 nghỉ luôn</t>
  </si>
  <si>
    <t>DOANH THU 06/01/2026</t>
  </si>
  <si>
    <t>THỪA ĐỖ (Sun)</t>
  </si>
  <si>
    <t>DOANH THU 07/01/2026</t>
  </si>
  <si>
    <t>ĐẠT</t>
  </si>
  <si>
    <t>BÁC THAO</t>
  </si>
  <si>
    <t>DOANH THU 08/01/2026</t>
  </si>
  <si>
    <t>0926 066 166</t>
  </si>
  <si>
    <t>BÌNH DƯƠNG</t>
  </si>
  <si>
    <t>MAI BÁ ĐẠT (Vin)</t>
  </si>
  <si>
    <t>NGUYỄN VĂN THẠO (Vin)</t>
  </si>
  <si>
    <t>GIA LAI</t>
  </si>
  <si>
    <t>0975 617 376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</si>
</sst>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##,000"/>
  </numFmts>
  <fonts count="27" x14ac:knownFonts="1">
    <font>
      <sz val="11"/>
      <color theme="1"/>
      <name val="Calibri"/>
      <family val="2"/>
      <scheme val="minor"/>
    </font>
    <font>
      <sz val="13"/>
      <color rgb="FF9C0006"/>
      <name val="Times New Roman"/>
      <family val="2"/>
    </font>
    <font>
      <b/>
      <sz val="13"/>
      <color rgb="FF3F3F3F"/>
      <name val="Times New Roman"/>
      <family val="2"/>
    </font>
    <font>
      <b/>
      <sz val="13"/>
      <color rgb="FFFA7D00"/>
      <name val="Times New Roman"/>
      <family val="2"/>
    </font>
    <font>
      <sz val="11"/>
      <color theme="1"/>
      <name val="Times New Roman"/>
      <family val="1"/>
    </font>
    <font>
      <sz val="13"/>
      <color theme="1"/>
      <name val="Times New Roman"/>
      <family val="1"/>
    </font>
    <font>
      <sz val="16"/>
      <color rgb="FF9C0006"/>
      <name val="Times New Roman"/>
      <family val="2"/>
    </font>
    <font>
      <sz val="22"/>
      <color theme="1"/>
      <name val="Times New Roman"/>
      <family val="1"/>
    </font>
    <font>
      <sz val="24"/>
      <color theme="1"/>
      <name val="Times New Roman"/>
      <family val="1"/>
    </font>
    <font>
      <b/>
      <sz val="24"/>
      <color theme="1"/>
      <name val="Times New Roman"/>
      <family val="1"/>
    </font>
    <font>
      <sz val="13"/>
      <name val="Times New Roman"/>
      <family val="1"/>
    </font>
    <font>
      <sz val="13"/>
      <color rgb="FFFF0000"/>
      <name val="Times New Roman"/>
      <family val="1"/>
    </font>
    <font>
      <b/>
      <sz val="18"/>
      <color rgb="FFFA7D00"/>
      <name val="Times New Roman"/>
      <family val="2"/>
    </font>
    <font>
      <b/>
      <sz val="18"/>
      <color rgb="FF3F3F3F"/>
      <name val="Times New Roman"/>
      <family val="2"/>
    </font>
    <font>
      <b/>
      <sz val="13"/>
      <color theme="1"/>
      <name val="Times New Roman"/>
      <family val="1"/>
    </font>
    <font>
      <b/>
      <sz val="13"/>
      <color rgb="FF081B3A"/>
      <name val="Times New Roman"/>
      <family val="1"/>
    </font>
    <font>
      <b/>
      <sz val="11"/>
      <color theme="1"/>
      <name val="Times New Roman"/>
      <family val="1"/>
    </font>
    <font>
      <b/>
      <sz val="11"/>
      <color rgb="FFFF0000"/>
      <name val="Times New Roman"/>
      <family val="1"/>
    </font>
    <font>
      <b/>
      <sz val="11"/>
      <color rgb="FFFF0000"/>
      <name val="Calibri"/>
      <family val="2"/>
      <scheme val="minor"/>
    </font>
    <font>
      <b/>
      <sz val="11"/>
      <color rgb="FFFFFF00"/>
      <name val="Calibri"/>
      <family val="2"/>
      <scheme val="minor"/>
    </font>
    <font>
      <b/>
      <sz val="13"/>
      <color rgb="FFFF0000"/>
      <name val="Times New Roman"/>
      <family val="1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3"/>
      <name val="Times New Roman"/>
      <family val="1"/>
    </font>
    <font>
      <b/>
      <sz val="13"/>
      <color rgb="FFFFFF00"/>
      <name val="Times New Roman"/>
      <family val="1"/>
    </font>
    <font>
      <b/>
      <sz val="11"/>
      <name val="Times New Roman"/>
      <family val="1"/>
    </font>
    <font>
      <sz val="13"/>
      <color rgb="FF101828"/>
      <name val="Times New Roman"/>
      <family val="1"/>
    </font>
  </fonts>
  <fills count="10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rgb="FFF2F2F2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CCCC"/>
        <bgColor indexed="64"/>
      </patternFill>
    </fill>
  </fills>
  <borders count="6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8" tint="0.39997558519241921"/>
      </top>
      <bottom style="thin">
        <color theme="8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ck">
        <color rgb="FF5B9BD5"/>
      </bottom>
      <diagonal/>
    </border>
  </borders>
  <cellStyleXfs count="4">
    <xf numFmtId="0" fontId="0" fillId="0" borderId="0"/>
    <xf numFmtId="0" fontId="1" fillId="2" borderId="0" applyNumberFormat="0" applyBorder="0" applyAlignment="0" applyProtection="0"/>
    <xf numFmtId="0" fontId="2" fillId="3" borderId="2" applyNumberFormat="0" applyAlignment="0" applyProtection="0"/>
    <xf numFmtId="0" fontId="3" fillId="3" borderId="1" applyNumberFormat="0" applyAlignment="0" applyProtection="0"/>
  </cellStyleXfs>
  <cellXfs count="55">
    <xf numFmtId="0" fontId="0" fillId="0" borderId="0" xfId="0"/>
    <xf numFmtId="0" fontId="4" fillId="0" borderId="0" xfId="0" applyFont="1"/>
    <xf numFmtId="0" fontId="0" fillId="0" borderId="0" xfId="0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center"/>
    </xf>
    <xf numFmtId="0" fontId="6" fillId="2" borderId="0" xfId="1" applyFont="1" applyAlignment="1">
      <alignment horizontal="center"/>
    </xf>
    <xf numFmtId="3" fontId="5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3" fontId="13" fillId="3" borderId="2" xfId="2" applyNumberFormat="1" applyFont="1"/>
    <xf numFmtId="3" fontId="14" fillId="0" borderId="0" xfId="0" applyNumberFormat="1" applyFont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4" fillId="0" borderId="0" xfId="0" applyFont="1" applyAlignment="1">
      <alignment horizontal="center" vertical="center"/>
    </xf>
    <xf numFmtId="20" fontId="4" fillId="0" borderId="0" xfId="0" applyNumberFormat="1" applyFont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15" fillId="0" borderId="0" xfId="0" applyFont="1"/>
    <xf numFmtId="0" fontId="14" fillId="0" borderId="0" xfId="0" applyFont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0" fillId="4" borderId="4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12" fillId="3" borderId="1" xfId="3" applyFont="1"/>
    <xf numFmtId="0" fontId="2" fillId="3" borderId="2" xfId="2"/>
    <xf numFmtId="20" fontId="16" fillId="0" borderId="0" xfId="0" applyNumberFormat="1" applyFont="1" applyAlignment="1">
      <alignment horizontal="right"/>
    </xf>
    <xf numFmtId="3" fontId="4" fillId="0" borderId="0" xfId="0" applyNumberFormat="1" applyFont="1"/>
    <xf numFmtId="0" fontId="0" fillId="0" borderId="0" xfId="0" applyAlignment="1">
      <alignment horizontal="center" vertical="center" wrapText="1"/>
    </xf>
    <xf numFmtId="164" fontId="14" fillId="0" borderId="0" xfId="0" applyNumberFormat="1" applyFont="1" applyAlignment="1">
      <alignment horizontal="center" vertical="center"/>
    </xf>
    <xf numFmtId="0" fontId="14" fillId="5" borderId="0" xfId="0" applyFont="1" applyFill="1" applyAlignment="1">
      <alignment horizontal="center" vertical="center"/>
    </xf>
    <xf numFmtId="0" fontId="17" fillId="6" borderId="0" xfId="0" applyFont="1" applyFill="1" applyAlignment="1">
      <alignment horizontal="center"/>
    </xf>
    <xf numFmtId="0" fontId="5" fillId="6" borderId="0" xfId="0" applyFont="1" applyFill="1" applyAlignment="1">
      <alignment horizontal="center" vertical="center"/>
    </xf>
    <xf numFmtId="0" fontId="18" fillId="0" borderId="0" xfId="0" applyFont="1" applyAlignment="1">
      <alignment horizontal="center" vertical="center" wrapText="1"/>
    </xf>
    <xf numFmtId="0" fontId="19" fillId="7" borderId="0" xfId="0" applyFont="1" applyFill="1" applyAlignment="1">
      <alignment horizontal="center" vertical="center" wrapText="1"/>
    </xf>
    <xf numFmtId="0" fontId="16" fillId="5" borderId="0" xfId="0" applyFont="1" applyFill="1"/>
    <xf numFmtId="0" fontId="19" fillId="0" borderId="0" xfId="0" applyFont="1" applyAlignment="1">
      <alignment horizontal="center" vertical="center" wrapText="1"/>
    </xf>
    <xf numFmtId="0" fontId="14" fillId="6" borderId="0" xfId="0" applyFont="1" applyFill="1" applyAlignment="1">
      <alignment horizontal="left" vertical="center"/>
    </xf>
    <xf numFmtId="0" fontId="20" fillId="0" borderId="0" xfId="0" applyFont="1" applyAlignment="1">
      <alignment horizontal="center" vertical="center"/>
    </xf>
    <xf numFmtId="0" fontId="21" fillId="8" borderId="0" xfId="0" applyFont="1" applyFill="1" applyAlignment="1">
      <alignment horizontal="center" vertical="center"/>
    </xf>
    <xf numFmtId="0" fontId="23" fillId="5" borderId="0" xfId="0" applyFont="1" applyFill="1" applyAlignment="1">
      <alignment horizontal="center" vertical="center" wrapText="1"/>
    </xf>
    <xf numFmtId="0" fontId="17" fillId="0" borderId="0" xfId="0" applyFont="1" applyAlignment="1">
      <alignment horizontal="center"/>
    </xf>
    <xf numFmtId="0" fontId="24" fillId="7" borderId="0" xfId="0" applyFont="1" applyFill="1" applyAlignment="1">
      <alignment horizontal="center" vertical="center"/>
    </xf>
    <xf numFmtId="0" fontId="23" fillId="5" borderId="0" xfId="0" applyFont="1" applyFill="1" applyAlignment="1">
      <alignment horizontal="center" vertical="center"/>
    </xf>
    <xf numFmtId="0" fontId="24" fillId="0" borderId="0" xfId="0" applyFont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  <xf numFmtId="0" fontId="24" fillId="7" borderId="4" xfId="0" applyFont="1" applyFill="1" applyBorder="1" applyAlignment="1">
      <alignment horizontal="center" vertical="center"/>
    </xf>
    <xf numFmtId="0" fontId="25" fillId="9" borderId="0" xfId="0" applyFont="1" applyFill="1" applyAlignment="1">
      <alignment horizontal="center" vertical="center"/>
    </xf>
    <xf numFmtId="0" fontId="14" fillId="5" borderId="4" xfId="0" applyFont="1" applyFill="1" applyBorder="1" applyAlignment="1">
      <alignment horizontal="center" vertical="center"/>
    </xf>
    <xf numFmtId="0" fontId="14" fillId="4" borderId="4" xfId="0" applyFont="1" applyFill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12" fillId="3" borderId="1" xfId="3" applyFont="1" applyAlignment="1">
      <alignment horizontal="center"/>
    </xf>
    <xf numFmtId="0" fontId="26" fillId="0" borderId="0" xfId="0" applyFont="1" applyAlignment="1">
      <alignment horizontal="center" vertical="center"/>
    </xf>
  </cellXfs>
  <cellStyles count="4">
    <cellStyle name="Bad" xfId="1" builtinId="27"/>
    <cellStyle name="Calculation" xfId="3" builtinId="22"/>
    <cellStyle name="Normal" xfId="0" builtinId="0"/>
    <cellStyle name="Output" xfId="2" builtinId="21"/>
  </cellStyles>
  <dxfs count="120"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185939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371F77C-764B-C8C5-D5A0-A7373A8457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7628" y="8757671"/>
          <a:ext cx="2648502" cy="573233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185939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B6E2731-B975-463C-8074-9B80D50936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6463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185939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AB65FA9-4DC0-49E7-9DAA-8D40719E55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6463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185939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1650C50-0832-4E2E-A26D-7193DFCF62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64635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185939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0974F8E-CDA7-4E6D-A8B4-2AD416152B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64635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185939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BFD11D-6C15-48BF-A22F-AF308A14FD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64635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118704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D2A9CBF-BD05-4005-9C59-0DBBCC2D19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64635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259D2E9-CBBA-448C-8826-9D32D86A1C8E}" name="Table1453" displayName="Table1453" ref="B6:M23" totalsRowShown="0" headerRowDxfId="119" dataDxfId="118" tableBorderDxfId="117" headerRowCellStyle="Bad" dataCellStyle="Normal">
  <autoFilter ref="B6:M23" xr:uid="{8259D2E9-CBBA-448C-8826-9D32D86A1C8E}"/>
  <tableColumns count="12">
    <tableColumn id="1" xr3:uid="{E4641425-2A19-4B49-9673-70283C00A0C9}" name="STT" dataDxfId="116" dataCellStyle="Normal"/>
    <tableColumn id="2" xr3:uid="{025A0EEF-1CDF-4C0C-B939-08C1DD0A727D}" name="HỌ TÊN" dataDxfId="115" dataCellStyle="Normal"/>
    <tableColumn id="3" xr3:uid="{6BCA469E-875E-4DB8-B8F1-4CEF36B099CF}" name="SDT" dataDxfId="114" dataCellStyle="Normal"/>
    <tableColumn id="4" xr3:uid="{D9F1E73A-B9F0-40EF-AFAA-8EA36E51E6E5}" name="CCCD" dataDxfId="113" dataCellStyle="Normal"/>
    <tableColumn id="5" xr3:uid="{14CA9924-9789-4C5A-9CF8-07EBE7D52A04}" name="ĐỊA CHỈ" dataDxfId="112" dataCellStyle="Normal"/>
    <tableColumn id="6" xr3:uid="{6C450420-5538-4DFE-9199-B536E9A8E96F}" name="BIỂN SỐ" dataDxfId="111" dataCellStyle="Normal"/>
    <tableColumn id="7" xr3:uid="{AC3D7AF1-8B94-4F38-AB66-E23F1838615A}" name="DOANH THU" dataDxfId="110" dataCellStyle="Normal"/>
    <tableColumn id="8" xr3:uid="{EFCE95F7-84BE-4DDC-8F47-D72FEE60EEAF}" name="THỰC LÃNH" dataDxfId="109" dataCellStyle="Normal"/>
    <tableColumn id="9" xr3:uid="{8C4F1F4F-862F-4F19-89BC-03E1A18529D1}" name="HÌNH THỨC" dataDxfId="108" dataCellStyle="Normal"/>
    <tableColumn id="10" xr3:uid="{C632D7F3-C2D1-4A7E-8E44-63D7A4528237}" name="BILL" dataDxfId="107" dataCellStyle="Normal"/>
    <tableColumn id="12" xr3:uid="{41EE3F26-FB65-4525-BED8-40D96AC73E16}" name="NOTE" dataDxfId="106" dataCellStyle="Normal"/>
    <tableColumn id="11" xr3:uid="{95690A3D-EBB8-4295-8DD1-172792A9523E}" name="TIME" dataDxfId="105" dataCellStyle="Norma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0BE112E-9FFD-4DE3-AB43-DC2522DF0F97}" name="Table1452" displayName="Table1452" ref="B6:M24" totalsRowShown="0" headerRowDxfId="104" dataDxfId="103" tableBorderDxfId="102" headerRowCellStyle="Bad" dataCellStyle="Normal">
  <autoFilter ref="B6:M24" xr:uid="{D102E08B-F339-41A7-8779-8E498408C686}"/>
  <tableColumns count="12">
    <tableColumn id="1" xr3:uid="{A0647350-C5C2-4A5A-9CE6-9C91A4BF1448}" name="STT" dataDxfId="101" dataCellStyle="Normal"/>
    <tableColumn id="2" xr3:uid="{E5CB0A83-0EE8-4763-BEA5-F47D20895CEB}" name="HỌ TÊN" dataDxfId="100" dataCellStyle="Normal"/>
    <tableColumn id="3" xr3:uid="{55163D38-55AB-49C5-AFDB-11106B1FB5EA}" name="SDT" dataDxfId="99" dataCellStyle="Normal"/>
    <tableColumn id="4" xr3:uid="{9DEEAE65-0EE6-4FDE-B947-A5EF76C2BD87}" name="CCCD" dataDxfId="98" dataCellStyle="Normal"/>
    <tableColumn id="5" xr3:uid="{5AFA717A-7A2A-4331-928B-98CBBDCDA0A2}" name="ĐỊA CHỈ" dataDxfId="97" dataCellStyle="Normal"/>
    <tableColumn id="6" xr3:uid="{F2FCA384-1F8E-40F4-BB65-79B0B14C2A89}" name="BIỂN SỐ" dataDxfId="96" dataCellStyle="Normal"/>
    <tableColumn id="7" xr3:uid="{FAE54719-B24E-4B85-BE9E-FBF95DD0E092}" name="DOANH THU" dataDxfId="95" dataCellStyle="Normal"/>
    <tableColumn id="8" xr3:uid="{36C3D2A6-4BF9-4A93-AD0A-18E2598162BA}" name="THỰC LÃNH" dataDxfId="94" dataCellStyle="Normal"/>
    <tableColumn id="9" xr3:uid="{BE0DF11B-4989-41AA-BEA3-81D6A56606B1}" name="HÌNH THỨC" dataDxfId="93" dataCellStyle="Normal"/>
    <tableColumn id="10" xr3:uid="{E428066A-6A33-430A-95DD-8E25B28D626C}" name="BILL" dataDxfId="92" dataCellStyle="Normal"/>
    <tableColumn id="12" xr3:uid="{928FFCBD-7074-4A5E-93E9-512B6CDBAC46}" name="NOTE" dataDxfId="91" dataCellStyle="Normal"/>
    <tableColumn id="11" xr3:uid="{054F524A-B0EB-4441-9D2F-48D3D98CB664}" name="TIME" dataDxfId="90" dataCellStyle="Normal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11EE2EE-55E9-4D50-8E60-6BD69129A816}" name="Table14524" displayName="Table14524" ref="B6:M24" totalsRowShown="0" headerRowDxfId="89" dataDxfId="88" tableBorderDxfId="87" headerRowCellStyle="Bad" dataCellStyle="Normal">
  <autoFilter ref="B6:M24" xr:uid="{D102E08B-F339-41A7-8779-8E498408C686}"/>
  <tableColumns count="12">
    <tableColumn id="1" xr3:uid="{984C32DA-9CD0-4E13-B865-6EAED834D984}" name="STT" dataDxfId="86" dataCellStyle="Normal"/>
    <tableColumn id="2" xr3:uid="{F1DCB155-1D62-4027-A3DA-A9FBDBBDFC4D}" name="HỌ TÊN" dataDxfId="85" dataCellStyle="Normal"/>
    <tableColumn id="3" xr3:uid="{5C330DB0-1E19-466E-AB2C-E562D46DC243}" name="SDT" dataDxfId="84" dataCellStyle="Normal"/>
    <tableColumn id="4" xr3:uid="{AB7FBF00-4E37-4D6D-A82A-571965487148}" name="CCCD" dataDxfId="83" dataCellStyle="Normal"/>
    <tableColumn id="5" xr3:uid="{25AD663F-C9DC-45FA-87E3-EC98289C695D}" name="ĐỊA CHỈ" dataDxfId="82" dataCellStyle="Normal"/>
    <tableColumn id="6" xr3:uid="{0C05E7D7-64B8-43E4-BC46-95EB52EF87B4}" name="BIỂN SỐ" dataDxfId="81" dataCellStyle="Normal"/>
    <tableColumn id="7" xr3:uid="{DCE2CCF7-5F06-4F7F-8168-BF276332F656}" name="DOANH THU" dataDxfId="80" dataCellStyle="Normal"/>
    <tableColumn id="8" xr3:uid="{D07BFE34-76E9-4F19-A23E-07516BD1AFC9}" name="THỰC LÃNH" dataDxfId="79" dataCellStyle="Normal"/>
    <tableColumn id="9" xr3:uid="{F536DCC4-4F00-4248-B00E-1B801BDDEBBD}" name="HÌNH THỨC" dataDxfId="78" dataCellStyle="Normal"/>
    <tableColumn id="10" xr3:uid="{E474DC06-F263-48D8-BAD2-21F369101CD6}" name="BILL" dataDxfId="77" dataCellStyle="Normal"/>
    <tableColumn id="12" xr3:uid="{569676A8-F060-4B81-9319-D9A824EB8B46}" name="NOTE" dataDxfId="76" dataCellStyle="Normal"/>
    <tableColumn id="11" xr3:uid="{4C9FE953-00AF-4D77-B446-CBEC0FFE32D6}" name="TIME" dataDxfId="75" dataCellStyle="Normal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9B02BE1-C610-460C-B461-D64E7BB29649}" name="Table145245" displayName="Table145245" ref="B6:M24" totalsRowShown="0" headerRowDxfId="74" dataDxfId="73" tableBorderDxfId="72" headerRowCellStyle="Bad" dataCellStyle="Normal">
  <autoFilter ref="B6:M24" xr:uid="{D102E08B-F339-41A7-8779-8E498408C686}"/>
  <tableColumns count="12">
    <tableColumn id="1" xr3:uid="{DF404508-0107-419A-8FEC-EFB55BF001F1}" name="STT" dataDxfId="71" dataCellStyle="Normal"/>
    <tableColumn id="2" xr3:uid="{2D3FD697-D6D5-47C8-8441-D73D89975778}" name="HỌ TÊN" dataDxfId="70" dataCellStyle="Normal"/>
    <tableColumn id="3" xr3:uid="{E973C6FC-7D49-4C09-A7B8-491118C8F7ED}" name="SDT" dataDxfId="69" dataCellStyle="Normal"/>
    <tableColumn id="4" xr3:uid="{99802D82-09B1-4FB0-9F42-DB0D0E4E1880}" name="CCCD" dataDxfId="68" dataCellStyle="Normal"/>
    <tableColumn id="5" xr3:uid="{545E75FC-89EF-4EBD-8E8A-E21A7C5DD983}" name="ĐỊA CHỈ" dataDxfId="67" dataCellStyle="Normal"/>
    <tableColumn id="6" xr3:uid="{C61AD627-F01B-49BC-BE72-C4BA72782E0C}" name="BIỂN SỐ" dataDxfId="66" dataCellStyle="Normal"/>
    <tableColumn id="7" xr3:uid="{F71F42D2-0017-499B-BD73-6CA3452798B2}" name="DOANH THU" dataDxfId="65" dataCellStyle="Normal"/>
    <tableColumn id="8" xr3:uid="{17E776BC-FFDB-49A9-BA7F-F74CA3FA1E79}" name="THỰC LÃNH" dataDxfId="64" dataCellStyle="Normal"/>
    <tableColumn id="9" xr3:uid="{83DA542A-3997-424B-A7B2-D25B6B1B1F4A}" name="HÌNH THỨC" dataDxfId="63" dataCellStyle="Normal"/>
    <tableColumn id="10" xr3:uid="{94F40CAA-EBD9-440E-B930-2150A3120D38}" name="BILL" dataDxfId="62" dataCellStyle="Normal"/>
    <tableColumn id="12" xr3:uid="{6AB0CF3E-D0A0-4DAB-B8CE-54B1CB07881A}" name="NOTE" dataDxfId="61" dataCellStyle="Normal"/>
    <tableColumn id="11" xr3:uid="{2C692775-6E51-48EE-92EB-4FB2B57D99B9}" name="TIME" dataDxfId="60" dataCellStyle="Normal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6D51770-D13F-4F99-B376-86240AE4A636}" name="Table1452456" displayName="Table1452456" ref="B6:M24" totalsRowShown="0" headerRowDxfId="59" dataDxfId="58" tableBorderDxfId="57" headerRowCellStyle="Bad" dataCellStyle="Normal">
  <autoFilter ref="B6:M24" xr:uid="{D102E08B-F339-41A7-8779-8E498408C686}"/>
  <tableColumns count="12">
    <tableColumn id="1" xr3:uid="{021C7381-52B0-487C-BDC0-1BFAE6723B42}" name="STT" dataDxfId="56" dataCellStyle="Normal"/>
    <tableColumn id="2" xr3:uid="{FCC93C85-2562-4DEC-8FE4-78554E01B098}" name="HỌ TÊN" dataDxfId="55" dataCellStyle="Normal"/>
    <tableColumn id="3" xr3:uid="{CBAF7620-956C-46F1-B90E-FF881C020840}" name="SDT" dataDxfId="54" dataCellStyle="Normal"/>
    <tableColumn id="4" xr3:uid="{5AA80C72-14CD-4ECA-B274-7E6DB4C710F0}" name="CCCD" dataDxfId="53" dataCellStyle="Normal"/>
    <tableColumn id="5" xr3:uid="{BBDC8231-A509-4F67-9641-21E894B6F3BB}" name="ĐỊA CHỈ" dataDxfId="52" dataCellStyle="Normal"/>
    <tableColumn id="6" xr3:uid="{4E5C67CA-7F62-46A7-B67B-D1F0D77BC2D0}" name="BIỂN SỐ" dataDxfId="51" dataCellStyle="Normal"/>
    <tableColumn id="7" xr3:uid="{7828CFFD-4ACF-4B8C-87C1-9BA98BDD2B3B}" name="DOANH THU" dataDxfId="50" dataCellStyle="Normal"/>
    <tableColumn id="8" xr3:uid="{C4C0E649-5B5C-4262-A054-DC4554985799}" name="THỰC LÃNH" dataDxfId="49" dataCellStyle="Normal"/>
    <tableColumn id="9" xr3:uid="{246DAA9C-7CDE-43CE-A7E0-A306769DE0F8}" name="HÌNH THỨC" dataDxfId="48" dataCellStyle="Normal"/>
    <tableColumn id="10" xr3:uid="{FEAFBFBE-1AF4-43B8-891C-A417A9898E29}" name="BILL" dataDxfId="47" dataCellStyle="Normal"/>
    <tableColumn id="12" xr3:uid="{74D4B397-CBE7-4110-8F80-F23CDA73BBFE}" name="NOTE" dataDxfId="46" dataCellStyle="Normal"/>
    <tableColumn id="11" xr3:uid="{BF91805E-61E6-49C9-9C35-3B13279CADD4}" name="TIME" dataDxfId="45" dataCellStyle="Normal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04C3A58-D406-453F-8AC1-A5B4A47BB0C4}" name="Table14524567" displayName="Table14524567" ref="B6:M24" totalsRowShown="0" headerRowDxfId="44" dataDxfId="43" tableBorderDxfId="42" headerRowCellStyle="Bad" dataCellStyle="Normal">
  <autoFilter ref="B6:M24" xr:uid="{D102E08B-F339-41A7-8779-8E498408C686}"/>
  <tableColumns count="12">
    <tableColumn id="1" xr3:uid="{395E0AEF-65DD-4F52-8E14-3F35D9FC3368}" name="STT" dataDxfId="41" dataCellStyle="Normal"/>
    <tableColumn id="2" xr3:uid="{9AE4DC19-F9B6-43F0-A90F-B4F19B4ECECB}" name="HỌ TÊN" dataDxfId="40" dataCellStyle="Normal"/>
    <tableColumn id="3" xr3:uid="{F2807F19-50E8-43E8-AAA8-2736AB34EA40}" name="SDT" dataDxfId="39" dataCellStyle="Normal"/>
    <tableColumn id="4" xr3:uid="{A9CAB30F-7177-438D-BC24-B95AE3E4F2E1}" name="CCCD" dataDxfId="38" dataCellStyle="Normal"/>
    <tableColumn id="5" xr3:uid="{79CCA633-E92E-4399-8A6F-9187CFA8C624}" name="ĐỊA CHỈ" dataDxfId="37" dataCellStyle="Normal"/>
    <tableColumn id="6" xr3:uid="{920798EF-484E-41FD-B789-6C522DE8129F}" name="BIỂN SỐ" dataDxfId="36" dataCellStyle="Normal"/>
    <tableColumn id="7" xr3:uid="{E1C353DD-B746-4FDC-8D04-BDA2D046D60D}" name="DOANH THU" dataDxfId="35" dataCellStyle="Normal"/>
    <tableColumn id="8" xr3:uid="{9C97F9DB-7299-4176-861A-6A82D87978B7}" name="THỰC LÃNH" dataDxfId="34" dataCellStyle="Normal"/>
    <tableColumn id="9" xr3:uid="{DE161CA4-4F2C-42F2-ACFF-92650F7DAAEB}" name="HÌNH THỨC" dataDxfId="33" dataCellStyle="Normal"/>
    <tableColumn id="10" xr3:uid="{96EECF95-D222-4AB7-920D-12768887EF5B}" name="BILL" dataDxfId="32" dataCellStyle="Normal"/>
    <tableColumn id="12" xr3:uid="{39B7E33C-421D-41BB-9FB6-ECF9EB938AB4}" name="NOTE" dataDxfId="31" dataCellStyle="Normal"/>
    <tableColumn id="11" xr3:uid="{83A24DE4-F137-463F-9772-3D3919BAE1E9}" name="TIME" dataDxfId="30" dataCellStyle="Normal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500679E0-EE2D-4EE0-8D49-BD93EAE287BF}" name="Table145245678" displayName="Table145245678" ref="B6:M24" totalsRowShown="0" headerRowDxfId="29" dataDxfId="28" tableBorderDxfId="27" headerRowCellStyle="Bad" dataCellStyle="Normal">
  <autoFilter ref="B6:M24" xr:uid="{D102E08B-F339-41A7-8779-8E498408C686}"/>
  <tableColumns count="12">
    <tableColumn id="1" xr3:uid="{FE5E9CEF-58C1-4672-8B6E-C5046C4F970F}" name="STT" dataDxfId="26" dataCellStyle="Normal"/>
    <tableColumn id="2" xr3:uid="{A2DA5362-86C1-4D95-969F-62FCF30900C9}" name="HỌ TÊN" dataDxfId="25" dataCellStyle="Normal"/>
    <tableColumn id="3" xr3:uid="{8B1983FB-CAD9-4F22-8DE7-E134AE6A9F70}" name="SDT" dataDxfId="24" dataCellStyle="Normal"/>
    <tableColumn id="4" xr3:uid="{498B51D9-B2C9-4D7B-BBBD-082B2067379C}" name="CCCD" dataDxfId="23" dataCellStyle="Normal"/>
    <tableColumn id="5" xr3:uid="{C63756CC-CCDE-4370-8B2E-B494A7DC813D}" name="ĐỊA CHỈ" dataDxfId="22" dataCellStyle="Normal"/>
    <tableColumn id="6" xr3:uid="{6B166947-75EF-4D67-92F8-79B3BFFB2F5E}" name="BIỂN SỐ" dataDxfId="21" dataCellStyle="Normal"/>
    <tableColumn id="7" xr3:uid="{133865C5-3727-420D-8494-5560F77B5277}" name="DOANH THU" dataDxfId="20" dataCellStyle="Normal"/>
    <tableColumn id="8" xr3:uid="{2270A241-369C-4D02-A8E4-2AAB5F44362E}" name="THỰC LÃNH" dataDxfId="19" dataCellStyle="Normal"/>
    <tableColumn id="9" xr3:uid="{45C5A9A4-B5C2-4DE5-B6E1-557D6B332D47}" name="HÌNH THỨC" dataDxfId="18" dataCellStyle="Normal"/>
    <tableColumn id="10" xr3:uid="{8CB9BE29-AE4B-4972-B577-50C9BE6F5188}" name="BILL" dataDxfId="17" dataCellStyle="Normal"/>
    <tableColumn id="12" xr3:uid="{D6FC356D-48E7-4DA9-B7CD-69A2C3E105E5}" name="NOTE" dataDxfId="16" dataCellStyle="Normal"/>
    <tableColumn id="11" xr3:uid="{EC0104D6-C23A-4791-8BD0-03B669770D6D}" name="TIME" dataDxfId="15" dataCellStyle="Normal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6B294FA-FBE8-4560-9B90-DC686FD21438}" name="Table1452456789" displayName="Table1452456789" ref="B6:M24" totalsRowShown="0" headerRowDxfId="14" dataDxfId="13" tableBorderDxfId="12" headerRowCellStyle="Bad" dataCellStyle="Normal">
  <autoFilter ref="B6:M24" xr:uid="{D102E08B-F339-41A7-8779-8E498408C686}"/>
  <tableColumns count="12">
    <tableColumn id="1" xr3:uid="{AF0208C4-E4FE-4DFD-BAF4-BF1165EEA465}" name="STT" dataDxfId="11" dataCellStyle="Normal"/>
    <tableColumn id="2" xr3:uid="{CDE784D9-BEC1-45FE-9CFA-FBFFA9772F9D}" name="HỌ TÊN" dataDxfId="10" dataCellStyle="Normal"/>
    <tableColumn id="3" xr3:uid="{3F06EBB4-066C-4D70-BCDB-6385DD5521D0}" name="SDT" dataDxfId="9" dataCellStyle="Normal"/>
    <tableColumn id="4" xr3:uid="{6716FF64-CBA6-41E2-AC66-8E6674578FB1}" name="CCCD" dataDxfId="8" dataCellStyle="Normal"/>
    <tableColumn id="5" xr3:uid="{E9AF3165-7AF3-4802-8A2B-C4778B4E6C54}" name="ĐỊA CHỈ" dataDxfId="7" dataCellStyle="Normal"/>
    <tableColumn id="6" xr3:uid="{68CEAC9B-947C-49B6-A2BB-6DE884DDEBFB}" name="BIỂN SỐ" dataDxfId="6" dataCellStyle="Normal"/>
    <tableColumn id="7" xr3:uid="{4F868D74-6BC9-4BE1-B4C6-159BCF2EDA47}" name="DOANH THU" dataDxfId="5" dataCellStyle="Normal"/>
    <tableColumn id="8" xr3:uid="{D5E9904F-827E-445C-B51C-F330CC45F31E}" name="THỰC LÃNH" dataDxfId="4" dataCellStyle="Normal"/>
    <tableColumn id="9" xr3:uid="{11E0E58A-8F57-4240-A051-39E671386B4D}" name="HÌNH THỨC" dataDxfId="3" dataCellStyle="Normal"/>
    <tableColumn id="10" xr3:uid="{1CB6152F-EB83-4348-AC14-5DFBE58A8396}" name="BILL" dataDxfId="2" dataCellStyle="Normal"/>
    <tableColumn id="12" xr3:uid="{94A817A4-0B58-40F9-974C-34BF9DC3FEC2}" name="NOTE" dataDxfId="1" dataCellStyle="Normal"/>
    <tableColumn id="11" xr3:uid="{31980D75-0507-4AF0-9CE2-8238A4185BB5}" name="TIME" dataDxfId="0" dataCellStyle="Norma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FD608-160F-4BF1-86F8-D9455234BF27}">
  <sheetPr codeName="Sheet4"/>
  <dimension ref="B2:M55"/>
  <sheetViews>
    <sheetView zoomScaleNormal="100" workbookViewId="0">
      <selection activeCell="I17" sqref="I17"/>
    </sheetView>
  </sheetViews>
  <sheetFormatPr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6384" width="9.140625" style="1"/>
  </cols>
  <sheetData>
    <row r="2" spans="2:13" ht="60.75" customHeight="1" x14ac:dyDescent="0.25">
      <c r="B2" s="50" t="s">
        <v>31</v>
      </c>
      <c r="C2" s="50"/>
      <c r="D2" s="50"/>
      <c r="E2" s="50"/>
      <c r="F2" s="50"/>
      <c r="G2" s="50"/>
      <c r="H2" s="50"/>
      <c r="I2" s="50"/>
      <c r="J2" s="50"/>
      <c r="K2" s="50"/>
    </row>
    <row r="3" spans="2:13" ht="30.75" x14ac:dyDescent="0.25">
      <c r="B3" s="51" t="s">
        <v>55</v>
      </c>
      <c r="C3" s="52"/>
      <c r="D3" s="52"/>
      <c r="E3" s="52"/>
      <c r="F3" s="52"/>
      <c r="G3" s="52"/>
      <c r="H3" s="52"/>
      <c r="I3" s="52"/>
      <c r="J3" s="52"/>
      <c r="K3" s="52"/>
    </row>
    <row r="4" spans="2:13" x14ac:dyDescent="0.25">
      <c r="J4" s="26"/>
    </row>
    <row r="6" spans="2:13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1940000</v>
      </c>
      <c r="I7" s="28">
        <v>660000</v>
      </c>
      <c r="J7" s="3" t="s">
        <v>69</v>
      </c>
      <c r="K7" s="2"/>
      <c r="L7" s="38" t="s">
        <v>70</v>
      </c>
      <c r="M7" s="12"/>
    </row>
    <row r="8" spans="2:13" ht="16.5" x14ac:dyDescent="0.25">
      <c r="B8" s="3">
        <f t="shared" ref="B8:B23" si="0"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1960000</v>
      </c>
      <c r="I8" s="10">
        <v>1180000</v>
      </c>
      <c r="J8" s="29" t="s">
        <v>26</v>
      </c>
      <c r="K8" s="2"/>
      <c r="L8" s="27"/>
      <c r="M8" s="12"/>
    </row>
    <row r="9" spans="2:13" ht="16.5" x14ac:dyDescent="0.25">
      <c r="B9" s="3">
        <f t="shared" si="0"/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1450000</v>
      </c>
      <c r="I9" s="10">
        <f>H9*$E$25</f>
        <v>870000</v>
      </c>
      <c r="J9" s="3" t="s">
        <v>69</v>
      </c>
      <c r="K9" s="2"/>
      <c r="L9" s="2"/>
      <c r="M9" s="12"/>
    </row>
    <row r="10" spans="2:13" ht="16.5" x14ac:dyDescent="0.25">
      <c r="B10" s="3">
        <f t="shared" si="0"/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1700000</v>
      </c>
      <c r="I10" s="10">
        <f>H10*$E$25</f>
        <v>1020000</v>
      </c>
      <c r="J10" s="3" t="s">
        <v>69</v>
      </c>
      <c r="K10" s="2"/>
      <c r="L10" s="2"/>
      <c r="M10" s="12"/>
    </row>
    <row r="11" spans="2:13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1950000</v>
      </c>
      <c r="I11" s="10">
        <f>H11*$E$25</f>
        <v>1170000</v>
      </c>
      <c r="J11" s="29" t="s">
        <v>26</v>
      </c>
      <c r="K11" s="2"/>
      <c r="L11" s="2"/>
      <c r="M11" s="12"/>
    </row>
    <row r="12" spans="2:13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1955000</v>
      </c>
      <c r="I12" s="10">
        <f>H12*$E$25</f>
        <v>1173000</v>
      </c>
      <c r="J12" s="3" t="s">
        <v>69</v>
      </c>
      <c r="K12" s="2"/>
      <c r="L12" s="2"/>
      <c r="M12" s="13"/>
    </row>
    <row r="13" spans="2:13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1720000</v>
      </c>
      <c r="I13" s="10">
        <v>1030000</v>
      </c>
      <c r="J13" s="3" t="s">
        <v>69</v>
      </c>
      <c r="K13" s="2"/>
      <c r="L13" s="2"/>
      <c r="M13" s="12"/>
    </row>
    <row r="14" spans="2:13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1750000</v>
      </c>
      <c r="I14" s="10">
        <f t="shared" ref="I14:I19" si="1">H14*$E$25</f>
        <v>1050000</v>
      </c>
      <c r="J14" s="3" t="s">
        <v>69</v>
      </c>
      <c r="K14" s="2"/>
      <c r="L14" s="2"/>
      <c r="M14" s="13"/>
    </row>
    <row r="15" spans="2:13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1750000</v>
      </c>
      <c r="I15" s="10">
        <f t="shared" si="1"/>
        <v>1050000</v>
      </c>
      <c r="J15" s="3" t="s">
        <v>69</v>
      </c>
      <c r="K15" s="2"/>
      <c r="L15" s="2"/>
      <c r="M15" s="12"/>
    </row>
    <row r="16" spans="2:13" ht="16.5" x14ac:dyDescent="0.25">
      <c r="B16" s="3">
        <f t="shared" si="0"/>
        <v>10</v>
      </c>
      <c r="C16" s="11" t="s">
        <v>46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1710000</v>
      </c>
      <c r="I16" s="10">
        <f t="shared" si="1"/>
        <v>1026000</v>
      </c>
      <c r="J16" s="3" t="s">
        <v>69</v>
      </c>
      <c r="K16" s="2"/>
      <c r="L16" s="2"/>
      <c r="M16" s="12"/>
    </row>
    <row r="17" spans="2:13" ht="16.5" x14ac:dyDescent="0.25">
      <c r="B17" s="3">
        <f t="shared" si="0"/>
        <v>11</v>
      </c>
      <c r="C17" s="11" t="s">
        <v>47</v>
      </c>
      <c r="D17" s="8" t="s">
        <v>63</v>
      </c>
      <c r="E17" s="8">
        <v>80083017871</v>
      </c>
      <c r="F17" s="8" t="s">
        <v>64</v>
      </c>
      <c r="G17" s="8" t="s">
        <v>57</v>
      </c>
      <c r="H17" s="10">
        <v>1760000</v>
      </c>
      <c r="I17" s="10">
        <f t="shared" si="1"/>
        <v>1056000</v>
      </c>
      <c r="J17" s="3" t="s">
        <v>69</v>
      </c>
      <c r="K17" s="2"/>
      <c r="L17" s="2"/>
      <c r="M17" s="12"/>
    </row>
    <row r="18" spans="2:13" ht="16.5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1940000</v>
      </c>
      <c r="I18" s="10">
        <f t="shared" si="1"/>
        <v>1164000</v>
      </c>
      <c r="J18" s="29" t="s">
        <v>26</v>
      </c>
      <c r="K18" s="2"/>
      <c r="L18" s="2"/>
      <c r="M18" s="12"/>
    </row>
    <row r="19" spans="2:13" ht="16.5" x14ac:dyDescent="0.25">
      <c r="B19" s="3">
        <f t="shared" si="0"/>
        <v>13</v>
      </c>
      <c r="C19" s="15" t="s">
        <v>52</v>
      </c>
      <c r="D19" s="8" t="s">
        <v>54</v>
      </c>
      <c r="E19" s="37" t="s">
        <v>74</v>
      </c>
      <c r="F19" s="8" t="s">
        <v>53</v>
      </c>
      <c r="G19" s="14" t="s">
        <v>35</v>
      </c>
      <c r="H19" s="10">
        <v>3235000</v>
      </c>
      <c r="I19" s="10">
        <f t="shared" si="1"/>
        <v>1941000</v>
      </c>
      <c r="J19" s="3" t="s">
        <v>69</v>
      </c>
      <c r="K19" s="2"/>
      <c r="L19" s="32"/>
      <c r="M19" s="12"/>
    </row>
    <row r="20" spans="2:13" ht="16.5" x14ac:dyDescent="0.25">
      <c r="B20" s="3">
        <f t="shared" si="0"/>
        <v>14</v>
      </c>
      <c r="C20" s="11"/>
      <c r="D20" s="7"/>
      <c r="E20" s="7"/>
      <c r="F20" s="7"/>
      <c r="G20" s="7"/>
      <c r="H20" s="10"/>
      <c r="I20" s="10"/>
      <c r="J20" s="3"/>
      <c r="K20" s="2"/>
      <c r="L20" s="2"/>
      <c r="M20" s="12"/>
    </row>
    <row r="21" spans="2:13" ht="16.5" x14ac:dyDescent="0.25">
      <c r="B21" s="3">
        <f t="shared" si="0"/>
        <v>15</v>
      </c>
      <c r="C21" s="16"/>
      <c r="D21" s="3"/>
      <c r="E21" s="3"/>
      <c r="F21" s="3"/>
      <c r="G21" s="3"/>
      <c r="H21" s="3"/>
      <c r="I21" s="10"/>
      <c r="J21" s="3"/>
      <c r="K21" s="2"/>
      <c r="L21" s="2"/>
      <c r="M21" s="12"/>
    </row>
    <row r="22" spans="2:13" ht="16.5" x14ac:dyDescent="0.25">
      <c r="B22" s="3">
        <f t="shared" si="0"/>
        <v>16</v>
      </c>
      <c r="C22" s="3" t="s">
        <v>68</v>
      </c>
      <c r="D22" s="3"/>
      <c r="E22" s="3"/>
      <c r="F22" s="3"/>
      <c r="G22" s="3"/>
      <c r="H22" s="3"/>
      <c r="I22" s="6" t="str">
        <f>IF(ISNUMBER(H22),H22/2,"")</f>
        <v/>
      </c>
      <c r="J22" s="3"/>
      <c r="K22" s="2"/>
      <c r="L22" s="2"/>
      <c r="M22" s="12"/>
    </row>
    <row r="23" spans="2:13" ht="16.5" x14ac:dyDescent="0.25">
      <c r="B23" s="3">
        <f t="shared" si="0"/>
        <v>17</v>
      </c>
      <c r="C23" s="3" t="s">
        <v>6</v>
      </c>
      <c r="D23" s="3"/>
      <c r="E23" s="3"/>
      <c r="F23" s="3"/>
      <c r="G23" s="3"/>
      <c r="H23" s="3"/>
      <c r="I23" s="6" t="str">
        <f>IF(ISNUMBER(H23),H23/2,"")</f>
        <v/>
      </c>
      <c r="J23" s="3"/>
      <c r="K23" s="2"/>
      <c r="L23" s="2"/>
      <c r="M23" s="12"/>
    </row>
    <row r="25" spans="2:13" ht="22.5" x14ac:dyDescent="0.3">
      <c r="D25" s="23" t="s">
        <v>65</v>
      </c>
      <c r="E25" s="24">
        <v>0.6</v>
      </c>
      <c r="F25" s="25" t="s">
        <v>66</v>
      </c>
      <c r="H25" s="53" t="s">
        <v>29</v>
      </c>
      <c r="I25" s="53"/>
      <c r="J25" s="9">
        <f>SUM(H7:H1000)</f>
        <v>24820000</v>
      </c>
    </row>
    <row r="26" spans="2:13" ht="22.5" x14ac:dyDescent="0.3">
      <c r="H26" s="53" t="s">
        <v>30</v>
      </c>
      <c r="I26" s="53"/>
      <c r="J26" s="9">
        <f>SUM(I7:I1000)</f>
        <v>14390000</v>
      </c>
    </row>
    <row r="42" spans="2:2" x14ac:dyDescent="0.25">
      <c r="B42" s="22" t="s">
        <v>58</v>
      </c>
    </row>
    <row r="43" spans="2:2" ht="16.5" x14ac:dyDescent="0.25">
      <c r="B43" s="17" t="s">
        <v>14</v>
      </c>
    </row>
    <row r="44" spans="2:2" ht="16.5" x14ac:dyDescent="0.25">
      <c r="B44" s="18" t="s">
        <v>16</v>
      </c>
    </row>
    <row r="45" spans="2:2" ht="16.5" x14ac:dyDescent="0.25">
      <c r="B45" s="17" t="s">
        <v>17</v>
      </c>
    </row>
    <row r="46" spans="2:2" ht="16.5" x14ac:dyDescent="0.25">
      <c r="B46" s="18" t="s">
        <v>48</v>
      </c>
    </row>
    <row r="47" spans="2:2" ht="16.5" x14ac:dyDescent="0.25">
      <c r="B47" s="17" t="s">
        <v>19</v>
      </c>
    </row>
    <row r="48" spans="2:2" ht="16.5" x14ac:dyDescent="0.25">
      <c r="B48" s="19" t="s">
        <v>56</v>
      </c>
    </row>
    <row r="49" spans="2:2" ht="16.5" x14ac:dyDescent="0.25">
      <c r="B49" s="20" t="s">
        <v>22</v>
      </c>
    </row>
    <row r="50" spans="2:2" ht="16.5" x14ac:dyDescent="0.25">
      <c r="B50" s="19" t="s">
        <v>32</v>
      </c>
    </row>
    <row r="51" spans="2:2" ht="16.5" x14ac:dyDescent="0.25">
      <c r="B51" s="20" t="s">
        <v>25</v>
      </c>
    </row>
    <row r="52" spans="2:2" ht="16.5" x14ac:dyDescent="0.25">
      <c r="B52" s="19" t="s">
        <v>27</v>
      </c>
    </row>
    <row r="53" spans="2:2" ht="16.5" x14ac:dyDescent="0.25">
      <c r="B53" s="20" t="s">
        <v>57</v>
      </c>
    </row>
    <row r="54" spans="2:2" ht="16.5" x14ac:dyDescent="0.25">
      <c r="B54" s="19" t="s">
        <v>36</v>
      </c>
    </row>
    <row r="55" spans="2:2" ht="16.5" x14ac:dyDescent="0.25">
      <c r="B55" s="21" t="s">
        <v>35</v>
      </c>
    </row>
  </sheetData>
  <sheetProtection sheet="1" objects="1" scenarios="1"/>
  <mergeCells count="4">
    <mergeCell ref="B2:K2"/>
    <mergeCell ref="B3:K3"/>
    <mergeCell ref="H25:I25"/>
    <mergeCell ref="H26:I26"/>
  </mergeCells>
  <phoneticPr fontId="22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EA5E95-9A1F-428C-A980-7358A9B2F390}">
  <sheetPr codeName="Sheet5"/>
  <dimension ref="A2:M56"/>
  <sheetViews>
    <sheetView zoomScale="85" zoomScaleNormal="85" workbookViewId="0">
      <selection activeCell="I17" sqref="I17"/>
    </sheetView>
  </sheetViews>
  <sheetFormatPr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6384" width="9.140625" style="1"/>
  </cols>
  <sheetData>
    <row r="2" spans="2:13" ht="60.75" customHeight="1" x14ac:dyDescent="0.25">
      <c r="B2" s="50" t="s">
        <v>31</v>
      </c>
      <c r="C2" s="50"/>
      <c r="D2" s="50"/>
      <c r="E2" s="50"/>
      <c r="F2" s="50"/>
      <c r="G2" s="50"/>
      <c r="H2" s="50"/>
      <c r="I2" s="50"/>
      <c r="J2" s="50"/>
      <c r="K2" s="50"/>
    </row>
    <row r="3" spans="2:13" ht="30.75" x14ac:dyDescent="0.25">
      <c r="B3" s="51" t="s">
        <v>77</v>
      </c>
      <c r="C3" s="52"/>
      <c r="D3" s="52"/>
      <c r="E3" s="52"/>
      <c r="F3" s="52"/>
      <c r="G3" s="52"/>
      <c r="H3" s="52"/>
      <c r="I3" s="52"/>
      <c r="J3" s="52"/>
      <c r="K3" s="52"/>
    </row>
    <row r="4" spans="2:13" x14ac:dyDescent="0.25">
      <c r="J4" s="26"/>
    </row>
    <row r="6" spans="2:13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1720000</v>
      </c>
      <c r="I7" s="10">
        <v>1020000</v>
      </c>
      <c r="J7" s="16" t="s">
        <v>69</v>
      </c>
      <c r="K7" s="2"/>
      <c r="L7" s="2"/>
      <c r="M7" s="12"/>
    </row>
    <row r="8" spans="2:13" ht="16.5" x14ac:dyDescent="0.25">
      <c r="B8" s="3">
        <f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2500000</v>
      </c>
      <c r="I8" s="10">
        <f>H8*$E$26</f>
        <v>1500000</v>
      </c>
      <c r="J8" s="39" t="s">
        <v>26</v>
      </c>
      <c r="K8" s="33" t="s">
        <v>72</v>
      </c>
      <c r="L8" s="35"/>
      <c r="M8" s="12"/>
    </row>
    <row r="9" spans="2:13" ht="16.5" x14ac:dyDescent="0.25">
      <c r="B9" s="3">
        <f>B8 +1</f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2080000</v>
      </c>
      <c r="I9" s="10">
        <v>1250000</v>
      </c>
      <c r="J9" s="16" t="s">
        <v>69</v>
      </c>
      <c r="K9" s="2"/>
      <c r="L9" s="2"/>
      <c r="M9" s="12"/>
    </row>
    <row r="10" spans="2:13" ht="16.5" x14ac:dyDescent="0.25">
      <c r="B10" s="3">
        <f t="shared" ref="B10:B24" si="0">B9 +1</f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1760000</v>
      </c>
      <c r="I10" s="10">
        <f t="shared" ref="I10:I21" si="1">H10*$E$26</f>
        <v>1056000</v>
      </c>
      <c r="J10" s="16" t="s">
        <v>69</v>
      </c>
      <c r="K10" s="2"/>
      <c r="L10" s="16"/>
      <c r="M10" s="12"/>
    </row>
    <row r="11" spans="2:13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1950000</v>
      </c>
      <c r="I11" s="10">
        <f t="shared" si="1"/>
        <v>1170000</v>
      </c>
      <c r="J11" s="39" t="s">
        <v>26</v>
      </c>
      <c r="K11" s="33" t="s">
        <v>72</v>
      </c>
      <c r="L11" s="35"/>
      <c r="M11" s="12"/>
    </row>
    <row r="12" spans="2:13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1975000</v>
      </c>
      <c r="I12" s="10">
        <f t="shared" si="1"/>
        <v>1185000</v>
      </c>
      <c r="J12" s="16" t="s">
        <v>69</v>
      </c>
      <c r="K12" s="2"/>
      <c r="L12" s="2"/>
      <c r="M12" s="13"/>
    </row>
    <row r="13" spans="2:13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2050000</v>
      </c>
      <c r="I13" s="10">
        <f t="shared" si="1"/>
        <v>1230000</v>
      </c>
      <c r="J13" s="16" t="s">
        <v>69</v>
      </c>
      <c r="K13" s="33" t="s">
        <v>72</v>
      </c>
      <c r="L13" s="35"/>
      <c r="M13" s="12"/>
    </row>
    <row r="14" spans="2:13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2200000</v>
      </c>
      <c r="I14" s="10">
        <f t="shared" si="1"/>
        <v>1320000</v>
      </c>
      <c r="J14" s="16" t="s">
        <v>69</v>
      </c>
      <c r="K14" s="2"/>
      <c r="L14" s="2"/>
      <c r="M14" s="13"/>
    </row>
    <row r="15" spans="2:13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1870000</v>
      </c>
      <c r="I15" s="10">
        <f t="shared" si="1"/>
        <v>1122000</v>
      </c>
      <c r="J15" s="16" t="s">
        <v>69</v>
      </c>
      <c r="K15" s="2"/>
      <c r="L15" s="2"/>
      <c r="M15" s="12"/>
    </row>
    <row r="16" spans="2:13" ht="16.5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2130000</v>
      </c>
      <c r="I16" s="10">
        <f t="shared" si="1"/>
        <v>1278000</v>
      </c>
      <c r="J16" s="16" t="s">
        <v>69</v>
      </c>
      <c r="K16" s="2"/>
      <c r="L16" s="35"/>
      <c r="M16" s="12"/>
    </row>
    <row r="17" spans="1:13" ht="16.5" x14ac:dyDescent="0.25">
      <c r="B17" s="3">
        <f t="shared" si="0"/>
        <v>11</v>
      </c>
      <c r="C17" s="11" t="s">
        <v>47</v>
      </c>
      <c r="D17" s="8" t="s">
        <v>63</v>
      </c>
      <c r="E17" s="8">
        <v>80083017871</v>
      </c>
      <c r="F17" s="8" t="s">
        <v>64</v>
      </c>
      <c r="G17" s="8" t="s">
        <v>57</v>
      </c>
      <c r="H17" s="10">
        <v>1730000</v>
      </c>
      <c r="I17" s="10">
        <v>1080000</v>
      </c>
      <c r="J17" s="16" t="s">
        <v>69</v>
      </c>
      <c r="K17" s="2"/>
      <c r="L17" s="2"/>
      <c r="M17" s="12"/>
    </row>
    <row r="18" spans="1:13" ht="16.5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2190000</v>
      </c>
      <c r="I18" s="10">
        <v>1315000</v>
      </c>
      <c r="J18" s="39" t="s">
        <v>26</v>
      </c>
      <c r="K18" s="33" t="s">
        <v>72</v>
      </c>
      <c r="L18" s="35"/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7" t="s">
        <v>74</v>
      </c>
      <c r="F19" s="8" t="s">
        <v>53</v>
      </c>
      <c r="G19" s="14" t="s">
        <v>35</v>
      </c>
      <c r="H19" s="10">
        <v>2080000</v>
      </c>
      <c r="I19" s="10">
        <v>1250000</v>
      </c>
      <c r="J19" s="16" t="s">
        <v>69</v>
      </c>
      <c r="K19" s="2"/>
      <c r="L19" s="2"/>
      <c r="M19" s="12"/>
    </row>
    <row r="20" spans="1:13" ht="16.5" x14ac:dyDescent="0.25">
      <c r="A20" s="30" t="s">
        <v>71</v>
      </c>
      <c r="B20" s="31">
        <f t="shared" si="0"/>
        <v>14</v>
      </c>
      <c r="C20" s="36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1750000</v>
      </c>
      <c r="I20" s="10">
        <v>880000</v>
      </c>
      <c r="J20" s="39" t="s">
        <v>26</v>
      </c>
      <c r="K20" s="35"/>
      <c r="L20" s="35"/>
      <c r="M20" s="12"/>
    </row>
    <row r="21" spans="1:13" ht="16.5" x14ac:dyDescent="0.25">
      <c r="A21" s="30" t="s">
        <v>71</v>
      </c>
      <c r="B21" s="31">
        <f>B20 +1</f>
        <v>15</v>
      </c>
      <c r="C21" s="36" t="s">
        <v>81</v>
      </c>
      <c r="D21" s="3" t="s">
        <v>76</v>
      </c>
      <c r="E21" s="3">
        <v>89201007075</v>
      </c>
      <c r="F21" s="3" t="s">
        <v>18</v>
      </c>
      <c r="G21" s="37" t="s">
        <v>84</v>
      </c>
      <c r="H21" s="10">
        <v>1150000</v>
      </c>
      <c r="I21" s="10">
        <f t="shared" si="1"/>
        <v>690000</v>
      </c>
      <c r="J21" s="16" t="s">
        <v>69</v>
      </c>
      <c r="K21" s="2"/>
      <c r="L21" s="35"/>
      <c r="M21" s="12"/>
    </row>
    <row r="22" spans="1:13" ht="16.5" x14ac:dyDescent="0.25">
      <c r="B22" s="3">
        <f t="shared" si="0"/>
        <v>16</v>
      </c>
      <c r="C22" s="3" t="s">
        <v>6</v>
      </c>
      <c r="D22" s="3" t="s">
        <v>6</v>
      </c>
      <c r="E22" s="3" t="s">
        <v>6</v>
      </c>
      <c r="F22" s="3" t="s">
        <v>6</v>
      </c>
      <c r="G22" s="14" t="s">
        <v>82</v>
      </c>
      <c r="H22" s="3" t="s">
        <v>6</v>
      </c>
      <c r="I22" s="3" t="s">
        <v>6</v>
      </c>
      <c r="J22" s="3" t="s">
        <v>6</v>
      </c>
      <c r="K22" s="2"/>
      <c r="L22" s="2"/>
      <c r="M22" s="12"/>
    </row>
    <row r="23" spans="1:13" ht="16.5" x14ac:dyDescent="0.25">
      <c r="B23" s="3">
        <f t="shared" si="0"/>
        <v>17</v>
      </c>
      <c r="C23" s="3" t="s">
        <v>6</v>
      </c>
      <c r="D23" s="3" t="s">
        <v>6</v>
      </c>
      <c r="E23" s="3" t="s">
        <v>6</v>
      </c>
      <c r="F23" s="3" t="s">
        <v>6</v>
      </c>
      <c r="G23" s="3" t="s">
        <v>83</v>
      </c>
      <c r="H23" s="3" t="s">
        <v>6</v>
      </c>
      <c r="I23" s="3" t="s">
        <v>6</v>
      </c>
      <c r="J23" s="3" t="s">
        <v>6</v>
      </c>
      <c r="K23" s="2"/>
      <c r="L23" s="2"/>
      <c r="M23" s="12"/>
    </row>
    <row r="24" spans="1:13" ht="16.5" x14ac:dyDescent="0.25">
      <c r="B24" s="3">
        <f t="shared" si="0"/>
        <v>18</v>
      </c>
      <c r="C24" s="3" t="s">
        <v>6</v>
      </c>
      <c r="D24" s="3" t="s">
        <v>6</v>
      </c>
      <c r="E24" s="3" t="s">
        <v>6</v>
      </c>
      <c r="F24" s="3" t="s">
        <v>6</v>
      </c>
      <c r="G24" s="3" t="s">
        <v>73</v>
      </c>
      <c r="H24" s="3" t="s">
        <v>6</v>
      </c>
      <c r="I24" s="3" t="s">
        <v>6</v>
      </c>
      <c r="J24" s="3" t="s">
        <v>6</v>
      </c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53" t="s">
        <v>29</v>
      </c>
      <c r="I26" s="53"/>
      <c r="J26" s="9">
        <f>SUM(H7:H1001)</f>
        <v>29135000</v>
      </c>
    </row>
    <row r="27" spans="1:13" ht="22.5" x14ac:dyDescent="0.3">
      <c r="H27" s="53" t="s">
        <v>30</v>
      </c>
      <c r="I27" s="53"/>
      <c r="J27" s="9">
        <f>SUM(I7:I1001)</f>
        <v>17346000</v>
      </c>
    </row>
    <row r="40" spans="2:3" x14ac:dyDescent="0.25">
      <c r="C40" s="34" t="s">
        <v>78</v>
      </c>
    </row>
    <row r="43" spans="2:3" x14ac:dyDescent="0.25">
      <c r="B43" s="22" t="s">
        <v>58</v>
      </c>
    </row>
    <row r="44" spans="2:3" ht="16.5" x14ac:dyDescent="0.25">
      <c r="B44" s="17" t="s">
        <v>14</v>
      </c>
    </row>
    <row r="45" spans="2:3" ht="16.5" x14ac:dyDescent="0.25">
      <c r="B45" s="18" t="s">
        <v>16</v>
      </c>
    </row>
    <row r="46" spans="2:3" ht="16.5" x14ac:dyDescent="0.25">
      <c r="B46" s="17" t="s">
        <v>17</v>
      </c>
    </row>
    <row r="47" spans="2:3" ht="16.5" x14ac:dyDescent="0.25">
      <c r="B47" s="18" t="s">
        <v>48</v>
      </c>
    </row>
    <row r="48" spans="2:3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</sheetData>
  <mergeCells count="4">
    <mergeCell ref="B2:K2"/>
    <mergeCell ref="B3:K3"/>
    <mergeCell ref="H26:I26"/>
    <mergeCell ref="H27:I27"/>
  </mergeCells>
  <phoneticPr fontId="22" type="noConversion"/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2816DB-42BB-432B-9938-04B7FA91672A}">
  <sheetPr codeName="Sheet1"/>
  <dimension ref="A2:M56"/>
  <sheetViews>
    <sheetView zoomScale="85" zoomScaleNormal="85" workbookViewId="0">
      <selection activeCell="I17" sqref="I17"/>
    </sheetView>
  </sheetViews>
  <sheetFormatPr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6384" width="9.140625" style="1"/>
  </cols>
  <sheetData>
    <row r="2" spans="2:13" ht="60.75" customHeight="1" x14ac:dyDescent="0.25">
      <c r="B2" s="50" t="s">
        <v>31</v>
      </c>
      <c r="C2" s="50"/>
      <c r="D2" s="50"/>
      <c r="E2" s="50"/>
      <c r="F2" s="50"/>
      <c r="G2" s="50"/>
      <c r="H2" s="50"/>
      <c r="I2" s="50"/>
      <c r="J2" s="50"/>
      <c r="K2" s="50"/>
    </row>
    <row r="3" spans="2:13" ht="30.75" x14ac:dyDescent="0.25">
      <c r="B3" s="51" t="s">
        <v>85</v>
      </c>
      <c r="C3" s="52"/>
      <c r="D3" s="52"/>
      <c r="E3" s="52"/>
      <c r="F3" s="52"/>
      <c r="G3" s="52"/>
      <c r="H3" s="52"/>
      <c r="I3" s="52"/>
      <c r="J3" s="52"/>
      <c r="K3" s="52"/>
    </row>
    <row r="4" spans="2:13" x14ac:dyDescent="0.25">
      <c r="J4" s="26"/>
    </row>
    <row r="6" spans="2:13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2420000</v>
      </c>
      <c r="I7" s="10">
        <v>1390000</v>
      </c>
      <c r="J7" s="16" t="s">
        <v>69</v>
      </c>
      <c r="K7" s="2"/>
      <c r="L7" s="2"/>
      <c r="M7" s="12"/>
    </row>
    <row r="8" spans="2:13" ht="16.5" x14ac:dyDescent="0.25">
      <c r="B8" s="3">
        <f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2610000</v>
      </c>
      <c r="I8" s="10">
        <v>1570000</v>
      </c>
      <c r="J8" s="42" t="s">
        <v>26</v>
      </c>
      <c r="K8" s="33" t="s">
        <v>72</v>
      </c>
      <c r="L8" s="12"/>
      <c r="M8" s="12"/>
    </row>
    <row r="9" spans="2:13" ht="16.5" x14ac:dyDescent="0.25">
      <c r="B9" s="3">
        <f>B8 +1</f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2080000</v>
      </c>
      <c r="I9" s="10">
        <v>1250000</v>
      </c>
      <c r="J9" s="16" t="s">
        <v>69</v>
      </c>
      <c r="K9" s="2"/>
      <c r="L9" s="2"/>
      <c r="M9" s="12"/>
    </row>
    <row r="10" spans="2:13" ht="16.5" x14ac:dyDescent="0.25">
      <c r="B10" s="3">
        <f t="shared" ref="B10:B24" si="0">B9 +1</f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1850000</v>
      </c>
      <c r="I10" s="10">
        <f t="shared" ref="I10:I17" si="1">H10*$E$26</f>
        <v>1110000</v>
      </c>
      <c r="J10" s="16" t="s">
        <v>69</v>
      </c>
      <c r="K10" s="41" t="s">
        <v>86</v>
      </c>
      <c r="L10" s="12"/>
      <c r="M10" s="12"/>
    </row>
    <row r="11" spans="2:13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2500000</v>
      </c>
      <c r="I11" s="10">
        <f t="shared" si="1"/>
        <v>1500000</v>
      </c>
      <c r="J11" s="42" t="s">
        <v>26</v>
      </c>
      <c r="K11" s="33" t="s">
        <v>72</v>
      </c>
      <c r="L11" s="12"/>
      <c r="M11" s="12"/>
    </row>
    <row r="12" spans="2:13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2220000</v>
      </c>
      <c r="I12" s="10">
        <f t="shared" si="1"/>
        <v>1332000</v>
      </c>
      <c r="J12" s="16" t="s">
        <v>69</v>
      </c>
      <c r="K12" s="2"/>
      <c r="L12" s="2"/>
      <c r="M12" s="13"/>
    </row>
    <row r="13" spans="2:13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1880000</v>
      </c>
      <c r="I13" s="10">
        <f t="shared" si="1"/>
        <v>1128000</v>
      </c>
      <c r="J13" s="16" t="s">
        <v>69</v>
      </c>
      <c r="K13" s="33" t="s">
        <v>72</v>
      </c>
      <c r="L13" s="35"/>
      <c r="M13" s="12"/>
    </row>
    <row r="14" spans="2:13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2245000</v>
      </c>
      <c r="I14" s="10">
        <v>1392000</v>
      </c>
      <c r="J14" s="16" t="s">
        <v>69</v>
      </c>
      <c r="K14" s="2"/>
      <c r="L14" s="2"/>
      <c r="M14" s="13"/>
    </row>
    <row r="15" spans="2:13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1780000</v>
      </c>
      <c r="I15" s="10">
        <f t="shared" si="1"/>
        <v>1068000</v>
      </c>
      <c r="J15" s="16" t="s">
        <v>69</v>
      </c>
      <c r="K15" s="2"/>
      <c r="L15" s="2"/>
      <c r="M15" s="12"/>
    </row>
    <row r="16" spans="2:13" ht="16.5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2130000</v>
      </c>
      <c r="I16" s="10">
        <f t="shared" si="1"/>
        <v>1278000</v>
      </c>
      <c r="J16" s="16" t="s">
        <v>69</v>
      </c>
      <c r="K16" s="2"/>
      <c r="L16" s="35"/>
      <c r="M16" s="12"/>
    </row>
    <row r="17" spans="1:13" ht="16.5" x14ac:dyDescent="0.25">
      <c r="B17" s="3">
        <f t="shared" si="0"/>
        <v>11</v>
      </c>
      <c r="C17" s="11" t="s">
        <v>47</v>
      </c>
      <c r="D17" s="8" t="s">
        <v>63</v>
      </c>
      <c r="E17" s="8">
        <v>80083017871</v>
      </c>
      <c r="F17" s="8" t="s">
        <v>64</v>
      </c>
      <c r="G17" s="8" t="s">
        <v>57</v>
      </c>
      <c r="H17" s="10">
        <v>2245000</v>
      </c>
      <c r="I17" s="10">
        <f t="shared" si="1"/>
        <v>1347000</v>
      </c>
      <c r="J17" s="16" t="s">
        <v>69</v>
      </c>
      <c r="K17" s="2"/>
      <c r="L17" s="2"/>
      <c r="M17" s="12"/>
    </row>
    <row r="18" spans="1:13" ht="16.5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2520000</v>
      </c>
      <c r="I18" s="10">
        <v>1510000</v>
      </c>
      <c r="J18" s="42" t="s">
        <v>26</v>
      </c>
      <c r="K18" s="33" t="s">
        <v>72</v>
      </c>
      <c r="L18" s="12"/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7" t="s">
        <v>74</v>
      </c>
      <c r="F19" s="8" t="s">
        <v>53</v>
      </c>
      <c r="G19" s="14" t="s">
        <v>35</v>
      </c>
      <c r="H19" s="10">
        <v>1880000</v>
      </c>
      <c r="I19" s="10">
        <v>1130000</v>
      </c>
      <c r="J19" s="16" t="s">
        <v>69</v>
      </c>
      <c r="K19" s="2"/>
      <c r="L19" s="2"/>
      <c r="M19" s="12"/>
    </row>
    <row r="20" spans="1:13" ht="16.5" x14ac:dyDescent="0.25">
      <c r="A20" s="40"/>
      <c r="B20" s="3">
        <f t="shared" si="0"/>
        <v>14</v>
      </c>
      <c r="C20" s="11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2100000</v>
      </c>
      <c r="I20" s="10">
        <v>1050000</v>
      </c>
      <c r="J20" s="42" t="s">
        <v>26</v>
      </c>
      <c r="K20" s="35"/>
      <c r="L20" s="43"/>
      <c r="M20" s="12"/>
    </row>
    <row r="21" spans="1:13" ht="16.5" x14ac:dyDescent="0.25">
      <c r="A21" s="40"/>
      <c r="B21" s="3">
        <f>B20 +1</f>
        <v>15</v>
      </c>
      <c r="C21" s="11" t="s">
        <v>81</v>
      </c>
      <c r="D21" s="3" t="s">
        <v>76</v>
      </c>
      <c r="E21" s="3">
        <v>89201007075</v>
      </c>
      <c r="F21" s="3" t="s">
        <v>18</v>
      </c>
      <c r="G21" s="37" t="s">
        <v>84</v>
      </c>
      <c r="H21" s="10">
        <v>1710000</v>
      </c>
      <c r="I21" s="10">
        <v>1020000</v>
      </c>
      <c r="J21" s="16" t="s">
        <v>69</v>
      </c>
      <c r="K21" s="2"/>
      <c r="L21" s="2"/>
      <c r="M21" s="12"/>
    </row>
    <row r="22" spans="1:13" ht="16.5" x14ac:dyDescent="0.25">
      <c r="B22" s="3">
        <f t="shared" si="0"/>
        <v>16</v>
      </c>
      <c r="C22" s="3" t="s">
        <v>6</v>
      </c>
      <c r="D22" s="3" t="s">
        <v>6</v>
      </c>
      <c r="E22" s="3" t="s">
        <v>6</v>
      </c>
      <c r="F22" s="3" t="s">
        <v>6</v>
      </c>
      <c r="G22" s="14" t="s">
        <v>82</v>
      </c>
      <c r="H22" s="3" t="s">
        <v>6</v>
      </c>
      <c r="I22" s="3" t="s">
        <v>6</v>
      </c>
      <c r="J22" s="3" t="s">
        <v>6</v>
      </c>
      <c r="K22" s="2"/>
      <c r="L22" s="2"/>
      <c r="M22" s="12"/>
    </row>
    <row r="23" spans="1:13" ht="16.5" x14ac:dyDescent="0.25">
      <c r="B23" s="3">
        <f t="shared" si="0"/>
        <v>17</v>
      </c>
      <c r="C23" s="3" t="s">
        <v>6</v>
      </c>
      <c r="D23" s="3" t="s">
        <v>6</v>
      </c>
      <c r="E23" s="3" t="s">
        <v>6</v>
      </c>
      <c r="F23" s="3" t="s">
        <v>6</v>
      </c>
      <c r="G23" s="3" t="s">
        <v>83</v>
      </c>
      <c r="H23" s="3" t="s">
        <v>6</v>
      </c>
      <c r="I23" s="3" t="s">
        <v>6</v>
      </c>
      <c r="J23" s="3" t="s">
        <v>6</v>
      </c>
      <c r="K23" s="2"/>
      <c r="L23" s="2"/>
      <c r="M23" s="12"/>
    </row>
    <row r="24" spans="1:13" ht="16.5" x14ac:dyDescent="0.25">
      <c r="B24" s="3">
        <f t="shared" si="0"/>
        <v>18</v>
      </c>
      <c r="C24" s="3" t="s">
        <v>6</v>
      </c>
      <c r="D24" s="3" t="s">
        <v>6</v>
      </c>
      <c r="E24" s="3" t="s">
        <v>6</v>
      </c>
      <c r="F24" s="3" t="s">
        <v>6</v>
      </c>
      <c r="G24" s="3" t="s">
        <v>73</v>
      </c>
      <c r="H24" s="3" t="s">
        <v>6</v>
      </c>
      <c r="I24" s="3" t="s">
        <v>6</v>
      </c>
      <c r="J24" s="3" t="s">
        <v>6</v>
      </c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53" t="s">
        <v>29</v>
      </c>
      <c r="I26" s="53"/>
      <c r="J26" s="9">
        <f>SUM(H7:H1001)</f>
        <v>32170000</v>
      </c>
    </row>
    <row r="27" spans="1:13" ht="22.5" x14ac:dyDescent="0.3">
      <c r="H27" s="53" t="s">
        <v>30</v>
      </c>
      <c r="I27" s="53"/>
      <c r="J27" s="9">
        <f>SUM(I7:I1001)</f>
        <v>19075000</v>
      </c>
    </row>
    <row r="40" spans="2:3" x14ac:dyDescent="0.25">
      <c r="C40" s="34" t="s">
        <v>78</v>
      </c>
    </row>
    <row r="43" spans="2:3" x14ac:dyDescent="0.25">
      <c r="B43" s="22" t="s">
        <v>58</v>
      </c>
    </row>
    <row r="44" spans="2:3" ht="16.5" x14ac:dyDescent="0.25">
      <c r="B44" s="17" t="s">
        <v>14</v>
      </c>
    </row>
    <row r="45" spans="2:3" ht="16.5" x14ac:dyDescent="0.25">
      <c r="B45" s="18" t="s">
        <v>16</v>
      </c>
    </row>
    <row r="46" spans="2:3" ht="16.5" x14ac:dyDescent="0.25">
      <c r="B46" s="17" t="s">
        <v>17</v>
      </c>
    </row>
    <row r="47" spans="2:3" ht="16.5" x14ac:dyDescent="0.25">
      <c r="B47" s="18" t="s">
        <v>48</v>
      </c>
    </row>
    <row r="48" spans="2:3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</sheetData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ED9B6-886A-446F-AED9-2F677C1B01AE}">
  <sheetPr codeName="Sheet2"/>
  <dimension ref="A2:M56"/>
  <sheetViews>
    <sheetView zoomScale="85" zoomScaleNormal="85" workbookViewId="0">
      <selection activeCell="I7" sqref="I7"/>
    </sheetView>
  </sheetViews>
  <sheetFormatPr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6384" width="9.140625" style="1"/>
  </cols>
  <sheetData>
    <row r="2" spans="2:13" ht="60.75" customHeight="1" x14ac:dyDescent="0.25">
      <c r="B2" s="50" t="s">
        <v>31</v>
      </c>
      <c r="C2" s="50"/>
      <c r="D2" s="50"/>
      <c r="E2" s="50"/>
      <c r="F2" s="50"/>
      <c r="G2" s="50"/>
      <c r="H2" s="50"/>
      <c r="I2" s="50"/>
      <c r="J2" s="50"/>
      <c r="K2" s="50"/>
    </row>
    <row r="3" spans="2:13" ht="30.75" x14ac:dyDescent="0.25">
      <c r="B3" s="51" t="s">
        <v>87</v>
      </c>
      <c r="C3" s="52"/>
      <c r="D3" s="52"/>
      <c r="E3" s="52"/>
      <c r="F3" s="52"/>
      <c r="G3" s="52"/>
      <c r="H3" s="52"/>
      <c r="I3" s="52"/>
      <c r="J3" s="52"/>
      <c r="K3" s="52"/>
    </row>
    <row r="4" spans="2:13" x14ac:dyDescent="0.25">
      <c r="J4" s="26"/>
    </row>
    <row r="6" spans="2:13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2600000</v>
      </c>
      <c r="I7" s="10">
        <f>H7*$E$26</f>
        <v>1560000</v>
      </c>
      <c r="J7" s="16" t="s">
        <v>69</v>
      </c>
      <c r="K7" s="2"/>
      <c r="L7" s="12"/>
      <c r="M7" s="12"/>
    </row>
    <row r="8" spans="2:13" ht="16.5" x14ac:dyDescent="0.25">
      <c r="B8" s="3">
        <f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2550000</v>
      </c>
      <c r="I8" s="10">
        <f>H8*$E$26</f>
        <v>1530000</v>
      </c>
      <c r="J8" s="29" t="s">
        <v>26</v>
      </c>
      <c r="K8" s="33" t="s">
        <v>72</v>
      </c>
      <c r="L8" s="12"/>
      <c r="M8" s="12"/>
    </row>
    <row r="9" spans="2:13" ht="16.5" x14ac:dyDescent="0.25">
      <c r="B9" s="3">
        <f>B8 +1</f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1790000</v>
      </c>
      <c r="I9" s="10">
        <v>1075000</v>
      </c>
      <c r="J9" s="16" t="s">
        <v>69</v>
      </c>
      <c r="K9" s="2"/>
      <c r="L9" s="2"/>
      <c r="M9" s="12"/>
    </row>
    <row r="10" spans="2:13" ht="16.5" x14ac:dyDescent="0.25">
      <c r="B10" s="3">
        <f t="shared" ref="B10:B23" si="0">B9 +1</f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1270000</v>
      </c>
      <c r="I10" s="10">
        <v>850000</v>
      </c>
      <c r="J10" s="16" t="s">
        <v>69</v>
      </c>
      <c r="K10" s="41" t="s">
        <v>86</v>
      </c>
      <c r="L10" s="12"/>
      <c r="M10" s="12"/>
    </row>
    <row r="11" spans="2:13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1400000</v>
      </c>
      <c r="I11" s="10">
        <f t="shared" ref="I11:I19" si="1">H11*$E$26</f>
        <v>840000</v>
      </c>
      <c r="J11" s="29" t="s">
        <v>26</v>
      </c>
      <c r="K11" s="33" t="s">
        <v>72</v>
      </c>
      <c r="L11" s="12"/>
      <c r="M11" s="12"/>
    </row>
    <row r="12" spans="2:13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2090000</v>
      </c>
      <c r="I12" s="10">
        <f t="shared" si="1"/>
        <v>1254000</v>
      </c>
      <c r="J12" s="16" t="s">
        <v>69</v>
      </c>
      <c r="K12" s="2"/>
      <c r="L12" s="2"/>
      <c r="M12" s="13"/>
    </row>
    <row r="13" spans="2:13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1900000</v>
      </c>
      <c r="I13" s="10">
        <f t="shared" si="1"/>
        <v>1140000</v>
      </c>
      <c r="J13" s="16" t="s">
        <v>69</v>
      </c>
      <c r="K13" s="33" t="s">
        <v>72</v>
      </c>
      <c r="L13" s="12"/>
      <c r="M13" s="12"/>
    </row>
    <row r="14" spans="2:13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2230000</v>
      </c>
      <c r="I14" s="10">
        <f t="shared" si="1"/>
        <v>1338000</v>
      </c>
      <c r="J14" s="16" t="s">
        <v>69</v>
      </c>
      <c r="K14" s="2"/>
      <c r="L14" s="2"/>
      <c r="M14" s="13"/>
    </row>
    <row r="15" spans="2:13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2410000</v>
      </c>
      <c r="I15" s="10">
        <f t="shared" si="1"/>
        <v>1446000</v>
      </c>
      <c r="J15" s="16" t="s">
        <v>69</v>
      </c>
      <c r="K15" s="2"/>
      <c r="L15" s="12"/>
      <c r="M15" s="12"/>
    </row>
    <row r="16" spans="2:13" ht="16.5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1790000</v>
      </c>
      <c r="I16" s="10">
        <f t="shared" si="1"/>
        <v>1074000</v>
      </c>
      <c r="J16" s="16" t="s">
        <v>69</v>
      </c>
      <c r="K16" s="2"/>
      <c r="L16" s="35"/>
      <c r="M16" s="12"/>
    </row>
    <row r="17" spans="1:13" ht="16.5" x14ac:dyDescent="0.25">
      <c r="B17" s="3">
        <f t="shared" si="0"/>
        <v>11</v>
      </c>
      <c r="C17" s="11" t="s">
        <v>47</v>
      </c>
      <c r="D17" s="8" t="s">
        <v>63</v>
      </c>
      <c r="E17" s="8">
        <v>80083017871</v>
      </c>
      <c r="F17" s="8" t="s">
        <v>64</v>
      </c>
      <c r="G17" s="8" t="s">
        <v>57</v>
      </c>
      <c r="H17" s="10">
        <v>1760000</v>
      </c>
      <c r="I17" s="10">
        <f t="shared" si="1"/>
        <v>1056000</v>
      </c>
      <c r="J17" s="16" t="s">
        <v>69</v>
      </c>
      <c r="K17" s="2"/>
      <c r="L17" s="2"/>
      <c r="M17" s="12"/>
    </row>
    <row r="18" spans="1:13" ht="16.5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1820000</v>
      </c>
      <c r="I18" s="10">
        <f t="shared" si="1"/>
        <v>1092000</v>
      </c>
      <c r="J18" s="29" t="s">
        <v>26</v>
      </c>
      <c r="K18" s="33" t="s">
        <v>72</v>
      </c>
      <c r="L18" s="12" t="s">
        <v>91</v>
      </c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37" t="s">
        <v>94</v>
      </c>
      <c r="F19" s="8" t="s">
        <v>53</v>
      </c>
      <c r="G19" s="14" t="s">
        <v>35</v>
      </c>
      <c r="H19" s="10">
        <v>1920000</v>
      </c>
      <c r="I19" s="10">
        <f t="shared" si="1"/>
        <v>1152000</v>
      </c>
      <c r="J19" s="16" t="s">
        <v>69</v>
      </c>
      <c r="K19" s="12"/>
      <c r="L19" s="2"/>
      <c r="M19" s="12"/>
    </row>
    <row r="20" spans="1:13" ht="16.5" x14ac:dyDescent="0.25">
      <c r="A20" s="40"/>
      <c r="B20" s="3">
        <f t="shared" si="0"/>
        <v>14</v>
      </c>
      <c r="C20" s="11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2300000</v>
      </c>
      <c r="I20" s="10">
        <v>1150000</v>
      </c>
      <c r="J20" s="29" t="s">
        <v>26</v>
      </c>
      <c r="K20" s="35"/>
      <c r="L20" s="12"/>
      <c r="M20" s="12"/>
    </row>
    <row r="21" spans="1:13" ht="16.5" x14ac:dyDescent="0.25">
      <c r="A21" s="40"/>
      <c r="B21" s="3">
        <f>B20 +1</f>
        <v>15</v>
      </c>
      <c r="C21" s="11" t="s">
        <v>92</v>
      </c>
      <c r="D21" s="3" t="s">
        <v>88</v>
      </c>
      <c r="E21" s="44" t="s">
        <v>89</v>
      </c>
      <c r="F21" s="3" t="s">
        <v>90</v>
      </c>
      <c r="G21" s="37" t="s">
        <v>93</v>
      </c>
      <c r="H21" s="10">
        <v>2976000</v>
      </c>
      <c r="I21" s="10">
        <v>1785000</v>
      </c>
      <c r="J21" s="16" t="s">
        <v>69</v>
      </c>
      <c r="K21" s="2"/>
      <c r="L21" s="2"/>
      <c r="M21" s="12"/>
    </row>
    <row r="22" spans="1:13" ht="16.5" x14ac:dyDescent="0.25">
      <c r="B22" s="3">
        <f t="shared" si="0"/>
        <v>16</v>
      </c>
      <c r="C22" s="3" t="s">
        <v>6</v>
      </c>
      <c r="D22" s="3" t="s">
        <v>6</v>
      </c>
      <c r="E22" s="3" t="s">
        <v>6</v>
      </c>
      <c r="F22" s="3" t="s">
        <v>6</v>
      </c>
      <c r="G22" s="14" t="s">
        <v>82</v>
      </c>
      <c r="H22" s="3" t="s">
        <v>6</v>
      </c>
      <c r="I22" s="3" t="s">
        <v>6</v>
      </c>
      <c r="J22" s="3" t="s">
        <v>6</v>
      </c>
      <c r="K22" s="2"/>
      <c r="L22" s="2"/>
      <c r="M22" s="12"/>
    </row>
    <row r="23" spans="1:13" ht="16.5" x14ac:dyDescent="0.25">
      <c r="B23" s="3">
        <f t="shared" si="0"/>
        <v>17</v>
      </c>
      <c r="C23" s="3" t="s">
        <v>6</v>
      </c>
      <c r="D23" s="3" t="s">
        <v>6</v>
      </c>
      <c r="E23" s="3" t="s">
        <v>6</v>
      </c>
      <c r="F23" s="3" t="s">
        <v>6</v>
      </c>
      <c r="G23" s="3" t="s">
        <v>83</v>
      </c>
      <c r="H23" s="3" t="s">
        <v>6</v>
      </c>
      <c r="I23" s="3" t="s">
        <v>6</v>
      </c>
      <c r="J23" s="3" t="s">
        <v>6</v>
      </c>
      <c r="K23" s="2"/>
      <c r="L23" s="2"/>
      <c r="M23" s="12"/>
    </row>
    <row r="24" spans="1:13" ht="16.5" x14ac:dyDescent="0.25">
      <c r="B24" s="3"/>
      <c r="C24" s="3"/>
      <c r="D24" s="3"/>
      <c r="E24" s="3"/>
      <c r="F24" s="3"/>
      <c r="G24" s="3"/>
      <c r="H24" s="3"/>
      <c r="I24" s="3"/>
      <c r="J24" s="3"/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53" t="s">
        <v>29</v>
      </c>
      <c r="I26" s="53"/>
      <c r="J26" s="9">
        <f>SUM(H7:H1001)</f>
        <v>30806000</v>
      </c>
    </row>
    <row r="27" spans="1:13" ht="22.5" x14ac:dyDescent="0.3">
      <c r="H27" s="53" t="s">
        <v>30</v>
      </c>
      <c r="I27" s="53"/>
      <c r="J27" s="9">
        <f>SUM(I7:I1001)</f>
        <v>18342000</v>
      </c>
    </row>
    <row r="40" spans="2:3" x14ac:dyDescent="0.25">
      <c r="C40" s="34" t="s">
        <v>78</v>
      </c>
    </row>
    <row r="43" spans="2:3" x14ac:dyDescent="0.25">
      <c r="B43" s="22" t="s">
        <v>58</v>
      </c>
    </row>
    <row r="44" spans="2:3" ht="16.5" x14ac:dyDescent="0.25">
      <c r="B44" s="17" t="s">
        <v>14</v>
      </c>
    </row>
    <row r="45" spans="2:3" ht="16.5" x14ac:dyDescent="0.25">
      <c r="B45" s="18" t="s">
        <v>16</v>
      </c>
    </row>
    <row r="46" spans="2:3" ht="16.5" x14ac:dyDescent="0.25">
      <c r="B46" s="17" t="s">
        <v>17</v>
      </c>
    </row>
    <row r="47" spans="2:3" ht="16.5" x14ac:dyDescent="0.25">
      <c r="B47" s="18" t="s">
        <v>48</v>
      </c>
    </row>
    <row r="48" spans="2:3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</sheetData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A04F0-1D44-4ECB-B773-039638A18A7D}">
  <sheetPr codeName="Sheet3"/>
  <dimension ref="A2:M56"/>
  <sheetViews>
    <sheetView topLeftCell="D1" zoomScale="85" zoomScaleNormal="85" workbookViewId="0">
      <selection activeCell="D47" sqref="D47"/>
    </sheetView>
  </sheetViews>
  <sheetFormatPr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6384" width="9.140625" style="1"/>
  </cols>
  <sheetData>
    <row r="2" spans="2:13" ht="60.75" customHeight="1" x14ac:dyDescent="0.25">
      <c r="B2" s="50" t="s">
        <v>31</v>
      </c>
      <c r="C2" s="50"/>
      <c r="D2" s="50"/>
      <c r="E2" s="50"/>
      <c r="F2" s="50"/>
      <c r="G2" s="50"/>
      <c r="H2" s="50"/>
      <c r="I2" s="50"/>
      <c r="J2" s="50"/>
      <c r="K2" s="50"/>
    </row>
    <row r="3" spans="2:13" ht="30.75" x14ac:dyDescent="0.25">
      <c r="B3" s="51" t="s">
        <v>95</v>
      </c>
      <c r="C3" s="52"/>
      <c r="D3" s="52"/>
      <c r="E3" s="52"/>
      <c r="F3" s="52"/>
      <c r="G3" s="52"/>
      <c r="H3" s="52"/>
      <c r="I3" s="52"/>
      <c r="J3" s="52"/>
      <c r="K3" s="52"/>
    </row>
    <row r="4" spans="2:13" x14ac:dyDescent="0.25">
      <c r="J4" s="26"/>
    </row>
    <row r="6" spans="2:13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2420000</v>
      </c>
      <c r="I7" s="10">
        <v>1450000</v>
      </c>
      <c r="J7" s="16" t="s">
        <v>69</v>
      </c>
      <c r="K7" s="2"/>
      <c r="L7" s="12"/>
      <c r="M7" s="12"/>
    </row>
    <row r="8" spans="2:13" ht="16.5" x14ac:dyDescent="0.25">
      <c r="B8" s="3">
        <f t="shared" ref="B8:B23" si="0"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1950000</v>
      </c>
      <c r="I8" s="10">
        <f>H8*$E$26</f>
        <v>1170000</v>
      </c>
      <c r="J8" s="29" t="s">
        <v>26</v>
      </c>
      <c r="K8" s="33" t="s">
        <v>72</v>
      </c>
      <c r="L8" s="12"/>
      <c r="M8" s="12"/>
    </row>
    <row r="9" spans="2:13" ht="16.5" x14ac:dyDescent="0.25">
      <c r="B9" s="3">
        <f t="shared" si="0"/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1760000</v>
      </c>
      <c r="I9" s="10">
        <v>1060000</v>
      </c>
      <c r="J9" s="16" t="s">
        <v>69</v>
      </c>
      <c r="K9" s="2"/>
      <c r="L9" s="12"/>
      <c r="M9" s="12"/>
    </row>
    <row r="10" spans="2:13" ht="16.5" x14ac:dyDescent="0.25">
      <c r="B10" s="3">
        <f t="shared" si="0"/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2090000</v>
      </c>
      <c r="I10" s="10">
        <f>H10*$E$26</f>
        <v>1254000</v>
      </c>
      <c r="J10" s="16" t="s">
        <v>69</v>
      </c>
      <c r="K10" s="41" t="s">
        <v>86</v>
      </c>
      <c r="L10" s="12"/>
      <c r="M10" s="12"/>
    </row>
    <row r="11" spans="2:13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1850000</v>
      </c>
      <c r="I11" s="10">
        <f>H11*$E$26</f>
        <v>1110000</v>
      </c>
      <c r="J11" s="29" t="s">
        <v>26</v>
      </c>
      <c r="K11" s="33" t="s">
        <v>72</v>
      </c>
      <c r="L11" s="12"/>
      <c r="M11" s="12"/>
    </row>
    <row r="12" spans="2:13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2100000</v>
      </c>
      <c r="I12" s="10">
        <f>H12*$E$26</f>
        <v>1260000</v>
      </c>
      <c r="J12" s="16" t="s">
        <v>69</v>
      </c>
      <c r="K12" s="2"/>
      <c r="L12" s="2"/>
      <c r="M12" s="13"/>
    </row>
    <row r="13" spans="2:13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1960000</v>
      </c>
      <c r="I13" s="10">
        <v>1180000</v>
      </c>
      <c r="J13" s="16" t="s">
        <v>69</v>
      </c>
      <c r="K13" s="33" t="s">
        <v>72</v>
      </c>
      <c r="L13" s="12"/>
      <c r="M13" s="12"/>
    </row>
    <row r="14" spans="2:13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2120000</v>
      </c>
      <c r="I14" s="10">
        <f>H14*$E$26</f>
        <v>1272000</v>
      </c>
      <c r="J14" s="16" t="s">
        <v>69</v>
      </c>
      <c r="K14" s="2"/>
      <c r="L14" s="2"/>
      <c r="M14" s="13"/>
    </row>
    <row r="15" spans="2:13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1900000</v>
      </c>
      <c r="I15" s="10">
        <f>H15*$E$26</f>
        <v>1140000</v>
      </c>
      <c r="J15" s="16" t="s">
        <v>69</v>
      </c>
      <c r="K15" s="2"/>
      <c r="L15" s="12"/>
      <c r="M15" s="12"/>
    </row>
    <row r="16" spans="2:13" ht="16.5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2002000</v>
      </c>
      <c r="I16" s="10">
        <v>1202000</v>
      </c>
      <c r="J16" s="16" t="s">
        <v>69</v>
      </c>
      <c r="K16" s="2"/>
      <c r="L16" s="35"/>
      <c r="M16" s="12"/>
    </row>
    <row r="17" spans="1:13" ht="16.5" x14ac:dyDescent="0.25">
      <c r="B17" s="3">
        <f t="shared" si="0"/>
        <v>11</v>
      </c>
      <c r="C17" s="11" t="s">
        <v>47</v>
      </c>
      <c r="D17" s="8" t="s">
        <v>63</v>
      </c>
      <c r="E17" s="8">
        <v>80083017871</v>
      </c>
      <c r="F17" s="8" t="s">
        <v>64</v>
      </c>
      <c r="G17" s="8" t="s">
        <v>57</v>
      </c>
      <c r="H17" s="10">
        <v>2080000</v>
      </c>
      <c r="I17" s="10">
        <f>H17*$E$26</f>
        <v>1248000</v>
      </c>
      <c r="J17" s="16" t="s">
        <v>69</v>
      </c>
      <c r="K17" s="2"/>
      <c r="L17" s="12"/>
      <c r="M17" s="12"/>
    </row>
    <row r="18" spans="1:13" ht="16.5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2070000</v>
      </c>
      <c r="I18" s="10">
        <v>1244000</v>
      </c>
      <c r="J18" s="29" t="s">
        <v>26</v>
      </c>
      <c r="K18" s="33" t="s">
        <v>72</v>
      </c>
      <c r="L18" s="12"/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37" t="s">
        <v>94</v>
      </c>
      <c r="F19" s="8" t="s">
        <v>53</v>
      </c>
      <c r="G19" s="14" t="s">
        <v>35</v>
      </c>
      <c r="H19" s="10">
        <v>2410000</v>
      </c>
      <c r="I19" s="10">
        <v>1440000</v>
      </c>
      <c r="J19" s="16" t="s">
        <v>69</v>
      </c>
      <c r="K19" s="12"/>
      <c r="L19" s="12"/>
      <c r="M19" s="12"/>
    </row>
    <row r="20" spans="1:13" ht="16.5" x14ac:dyDescent="0.25">
      <c r="A20" s="40"/>
      <c r="B20" s="3">
        <f t="shared" si="0"/>
        <v>14</v>
      </c>
      <c r="C20" s="11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1800000</v>
      </c>
      <c r="I20" s="10">
        <v>900000</v>
      </c>
      <c r="J20" s="29" t="s">
        <v>26</v>
      </c>
      <c r="K20" s="35"/>
      <c r="L20" s="12"/>
      <c r="M20" s="12"/>
    </row>
    <row r="21" spans="1:13" ht="16.5" x14ac:dyDescent="0.25">
      <c r="A21" s="40"/>
      <c r="B21" s="3">
        <f t="shared" si="0"/>
        <v>15</v>
      </c>
      <c r="C21" s="11" t="s">
        <v>92</v>
      </c>
      <c r="D21" s="3" t="s">
        <v>88</v>
      </c>
      <c r="E21" s="44" t="s">
        <v>89</v>
      </c>
      <c r="F21" s="3" t="s">
        <v>90</v>
      </c>
      <c r="G21" s="37" t="s">
        <v>93</v>
      </c>
      <c r="H21" s="10">
        <v>2250000</v>
      </c>
      <c r="I21" s="10">
        <f>H21*$E$26</f>
        <v>1350000</v>
      </c>
      <c r="J21" s="16" t="s">
        <v>69</v>
      </c>
      <c r="K21" s="2"/>
      <c r="L21" s="2"/>
      <c r="M21" s="12"/>
    </row>
    <row r="22" spans="1:13" ht="16.5" x14ac:dyDescent="0.25">
      <c r="B22" s="3">
        <f t="shared" si="0"/>
        <v>16</v>
      </c>
      <c r="C22" s="3" t="s">
        <v>6</v>
      </c>
      <c r="D22" s="3" t="s">
        <v>6</v>
      </c>
      <c r="E22" s="3" t="s">
        <v>6</v>
      </c>
      <c r="F22" s="3" t="s">
        <v>6</v>
      </c>
      <c r="G22" s="14" t="s">
        <v>82</v>
      </c>
      <c r="H22" s="3" t="s">
        <v>6</v>
      </c>
      <c r="I22" s="3" t="s">
        <v>6</v>
      </c>
      <c r="J22" s="3" t="s">
        <v>6</v>
      </c>
      <c r="K22" s="2"/>
      <c r="L22" s="2"/>
      <c r="M22" s="12"/>
    </row>
    <row r="23" spans="1:13" ht="16.5" x14ac:dyDescent="0.25">
      <c r="B23" s="3">
        <f t="shared" si="0"/>
        <v>17</v>
      </c>
      <c r="C23" s="3" t="s">
        <v>6</v>
      </c>
      <c r="D23" s="3" t="s">
        <v>6</v>
      </c>
      <c r="E23" s="3" t="s">
        <v>6</v>
      </c>
      <c r="F23" s="3" t="s">
        <v>6</v>
      </c>
      <c r="G23" s="3" t="s">
        <v>83</v>
      </c>
      <c r="H23" s="3" t="s">
        <v>6</v>
      </c>
      <c r="I23" s="3" t="s">
        <v>6</v>
      </c>
      <c r="J23" s="3" t="s">
        <v>6</v>
      </c>
      <c r="K23" s="2"/>
      <c r="L23" s="2"/>
      <c r="M23" s="12"/>
    </row>
    <row r="24" spans="1:13" ht="16.5" x14ac:dyDescent="0.25">
      <c r="B24" s="3"/>
      <c r="C24" s="3"/>
      <c r="D24" s="3"/>
      <c r="E24" s="3"/>
      <c r="F24" s="3"/>
      <c r="G24" s="3"/>
      <c r="H24" s="3"/>
      <c r="I24" s="3"/>
      <c r="J24" s="3"/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53" t="s">
        <v>29</v>
      </c>
      <c r="I26" s="53"/>
      <c r="J26" s="9">
        <f>SUM(H7:H1001)</f>
        <v>30762000</v>
      </c>
    </row>
    <row r="27" spans="1:13" ht="22.5" x14ac:dyDescent="0.3">
      <c r="H27" s="53" t="s">
        <v>30</v>
      </c>
      <c r="I27" s="53"/>
      <c r="J27" s="9">
        <f>SUM(I7:I1001)</f>
        <v>18280000</v>
      </c>
    </row>
    <row r="40" spans="2:4" x14ac:dyDescent="0.25">
      <c r="C40" s="34" t="s">
        <v>78</v>
      </c>
    </row>
    <row r="43" spans="2:4" x14ac:dyDescent="0.25">
      <c r="B43" s="22" t="s">
        <v>58</v>
      </c>
    </row>
    <row r="44" spans="2:4" ht="16.5" x14ac:dyDescent="0.25">
      <c r="B44" s="17" t="s">
        <v>14</v>
      </c>
    </row>
    <row r="45" spans="2:4" ht="16.5" x14ac:dyDescent="0.25">
      <c r="B45" s="18" t="s">
        <v>16</v>
      </c>
    </row>
    <row r="46" spans="2:4" ht="16.5" x14ac:dyDescent="0.25">
      <c r="B46" s="17" t="s">
        <v>17</v>
      </c>
    </row>
    <row r="47" spans="2:4" ht="16.5" x14ac:dyDescent="0.25">
      <c r="B47" s="18" t="s">
        <v>48</v>
      </c>
      <c r="D47" s="45" t="s">
        <v>72</v>
      </c>
    </row>
    <row r="48" spans="2:4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</sheetData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FAFB7-43B3-4827-82E2-B32EE531640B}">
  <sheetPr codeName="Sheet6"/>
  <dimension ref="A2:M56"/>
  <sheetViews>
    <sheetView zoomScale="85" zoomScaleNormal="85" workbookViewId="0">
      <selection activeCell="I7" sqref="I7:I21"/>
    </sheetView>
  </sheetViews>
  <sheetFormatPr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6384" width="9.140625" style="1"/>
  </cols>
  <sheetData>
    <row r="2" spans="2:13" ht="60.75" customHeight="1" x14ac:dyDescent="0.25">
      <c r="B2" s="50" t="s">
        <v>31</v>
      </c>
      <c r="C2" s="50"/>
      <c r="D2" s="50"/>
      <c r="E2" s="50"/>
      <c r="F2" s="50"/>
      <c r="G2" s="50"/>
      <c r="H2" s="50"/>
      <c r="I2" s="50"/>
      <c r="J2" s="50"/>
      <c r="K2" s="50"/>
    </row>
    <row r="3" spans="2:13" ht="30.75" x14ac:dyDescent="0.25">
      <c r="B3" s="51" t="s">
        <v>97</v>
      </c>
      <c r="C3" s="52"/>
      <c r="D3" s="52"/>
      <c r="E3" s="52"/>
      <c r="F3" s="52"/>
      <c r="G3" s="52"/>
      <c r="H3" s="52"/>
      <c r="I3" s="52"/>
      <c r="J3" s="52"/>
      <c r="K3" s="52"/>
    </row>
    <row r="4" spans="2:13" x14ac:dyDescent="0.25">
      <c r="J4" s="26"/>
    </row>
    <row r="6" spans="2:13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2600000</v>
      </c>
      <c r="I7" s="10">
        <f>Table145245678[[#This Row],[THỰC LÃNH]]</f>
        <v>1200000</v>
      </c>
      <c r="J7" s="16" t="s">
        <v>69</v>
      </c>
      <c r="K7" s="2"/>
      <c r="L7" s="12"/>
      <c r="M7" s="12"/>
    </row>
    <row r="8" spans="2:13" ht="16.5" x14ac:dyDescent="0.25">
      <c r="B8" s="3">
        <f t="shared" ref="B8:B23" si="0"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2000000</v>
      </c>
      <c r="I8" s="10">
        <f t="shared" ref="I8:I15" si="1">H8*$E$26</f>
        <v>1200000</v>
      </c>
      <c r="J8" s="47" t="s">
        <v>26</v>
      </c>
      <c r="K8" s="33" t="s">
        <v>72</v>
      </c>
      <c r="L8" s="12"/>
      <c r="M8" s="12"/>
    </row>
    <row r="9" spans="2:13" ht="16.5" x14ac:dyDescent="0.25">
      <c r="B9" s="3">
        <f t="shared" si="0"/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2270000</v>
      </c>
      <c r="I9" s="10">
        <f t="shared" si="1"/>
        <v>1362000</v>
      </c>
      <c r="J9" s="16" t="s">
        <v>69</v>
      </c>
      <c r="K9" s="2"/>
      <c r="L9" s="12"/>
      <c r="M9" s="12"/>
    </row>
    <row r="10" spans="2:13" ht="16.5" x14ac:dyDescent="0.25">
      <c r="B10" s="3">
        <f t="shared" si="0"/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1770000</v>
      </c>
      <c r="I10" s="10">
        <f t="shared" si="1"/>
        <v>1062000</v>
      </c>
      <c r="J10" s="16" t="s">
        <v>69</v>
      </c>
      <c r="K10" s="41" t="s">
        <v>86</v>
      </c>
      <c r="L10" s="12"/>
      <c r="M10" s="12"/>
    </row>
    <row r="11" spans="2:13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1800000</v>
      </c>
      <c r="I11" s="10">
        <f t="shared" si="1"/>
        <v>1080000</v>
      </c>
      <c r="J11" s="47" t="s">
        <v>26</v>
      </c>
      <c r="K11" s="33" t="s">
        <v>72</v>
      </c>
      <c r="L11" s="12"/>
      <c r="M11" s="12"/>
    </row>
    <row r="12" spans="2:13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2200000</v>
      </c>
      <c r="I12" s="10">
        <f t="shared" si="1"/>
        <v>1320000</v>
      </c>
      <c r="J12" s="16" t="s">
        <v>69</v>
      </c>
      <c r="K12" s="2"/>
      <c r="L12" s="2"/>
      <c r="M12" s="13"/>
    </row>
    <row r="13" spans="2:13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1830000</v>
      </c>
      <c r="I13" s="10">
        <f t="shared" si="1"/>
        <v>1098000</v>
      </c>
      <c r="J13" s="16" t="s">
        <v>69</v>
      </c>
      <c r="K13" s="33" t="s">
        <v>72</v>
      </c>
      <c r="L13" s="12"/>
      <c r="M13" s="12"/>
    </row>
    <row r="14" spans="2:13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1770000</v>
      </c>
      <c r="I14" s="10">
        <f t="shared" si="1"/>
        <v>1062000</v>
      </c>
      <c r="J14" s="16" t="s">
        <v>69</v>
      </c>
      <c r="K14" s="2"/>
      <c r="L14" s="2"/>
      <c r="M14" s="13"/>
    </row>
    <row r="15" spans="2:13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1720000</v>
      </c>
      <c r="I15" s="10">
        <f t="shared" si="1"/>
        <v>1032000</v>
      </c>
      <c r="J15" s="16" t="s">
        <v>69</v>
      </c>
      <c r="K15" s="2"/>
      <c r="L15" s="12"/>
      <c r="M15" s="12"/>
    </row>
    <row r="16" spans="2:13" ht="16.5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1720000</v>
      </c>
      <c r="I16" s="10">
        <f>H16*$E$26</f>
        <v>1032000</v>
      </c>
      <c r="J16" s="16" t="s">
        <v>69</v>
      </c>
      <c r="K16" s="2"/>
      <c r="L16" s="35"/>
      <c r="M16" s="12"/>
    </row>
    <row r="17" spans="1:13" ht="16.5" x14ac:dyDescent="0.25">
      <c r="B17" s="3">
        <f t="shared" si="0"/>
        <v>11</v>
      </c>
      <c r="C17" s="11" t="s">
        <v>47</v>
      </c>
      <c r="D17" s="8" t="s">
        <v>63</v>
      </c>
      <c r="E17" s="8">
        <v>80083017871</v>
      </c>
      <c r="F17" s="8" t="s">
        <v>64</v>
      </c>
      <c r="G17" s="8" t="s">
        <v>57</v>
      </c>
      <c r="H17" s="10">
        <v>1700000</v>
      </c>
      <c r="I17" s="10">
        <v>850000</v>
      </c>
      <c r="J17" s="16" t="s">
        <v>69</v>
      </c>
      <c r="K17" s="2"/>
      <c r="L17" s="46" t="s">
        <v>96</v>
      </c>
      <c r="M17" s="12"/>
    </row>
    <row r="18" spans="1:13" ht="16.5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2270000</v>
      </c>
      <c r="I18" s="10">
        <f>H18*$E$26</f>
        <v>1362000</v>
      </c>
      <c r="J18" s="47" t="s">
        <v>26</v>
      </c>
      <c r="K18" s="33" t="s">
        <v>72</v>
      </c>
      <c r="L18" s="12"/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37" t="s">
        <v>94</v>
      </c>
      <c r="F19" s="8" t="s">
        <v>53</v>
      </c>
      <c r="G19" s="14" t="s">
        <v>35</v>
      </c>
      <c r="H19" s="10">
        <v>3616000</v>
      </c>
      <c r="I19" s="10">
        <v>2160000</v>
      </c>
      <c r="J19" s="16" t="s">
        <v>69</v>
      </c>
      <c r="K19" s="12"/>
      <c r="L19" s="12"/>
      <c r="M19" s="12"/>
    </row>
    <row r="20" spans="1:13" ht="16.5" x14ac:dyDescent="0.25">
      <c r="A20" s="40"/>
      <c r="B20" s="3">
        <f t="shared" si="0"/>
        <v>14</v>
      </c>
      <c r="C20" s="11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2000000</v>
      </c>
      <c r="I20" s="10">
        <v>1000000</v>
      </c>
      <c r="J20" s="47" t="s">
        <v>26</v>
      </c>
      <c r="K20" s="35"/>
      <c r="L20" s="12"/>
      <c r="M20" s="12"/>
    </row>
    <row r="21" spans="1:13" ht="16.5" x14ac:dyDescent="0.25">
      <c r="A21" s="40"/>
      <c r="B21" s="3">
        <f t="shared" si="0"/>
        <v>15</v>
      </c>
      <c r="C21" s="11" t="s">
        <v>92</v>
      </c>
      <c r="D21" s="3" t="s">
        <v>88</v>
      </c>
      <c r="E21" s="44" t="s">
        <v>89</v>
      </c>
      <c r="F21" s="3" t="s">
        <v>90</v>
      </c>
      <c r="G21" s="37" t="s">
        <v>93</v>
      </c>
      <c r="H21" s="10">
        <v>2300000</v>
      </c>
      <c r="I21" s="10">
        <f t="shared" ref="I21" si="2">H21*$E$26</f>
        <v>1380000</v>
      </c>
      <c r="J21" s="16" t="s">
        <v>69</v>
      </c>
      <c r="K21" s="2"/>
      <c r="L21" s="12"/>
      <c r="M21" s="12"/>
    </row>
    <row r="22" spans="1:13" ht="16.5" x14ac:dyDescent="0.25">
      <c r="B22" s="3">
        <f t="shared" si="0"/>
        <v>16</v>
      </c>
      <c r="C22" s="3" t="s">
        <v>6</v>
      </c>
      <c r="D22" s="3" t="s">
        <v>6</v>
      </c>
      <c r="E22" s="3" t="s">
        <v>6</v>
      </c>
      <c r="F22" s="3" t="s">
        <v>6</v>
      </c>
      <c r="G22" s="14" t="s">
        <v>82</v>
      </c>
      <c r="H22" s="3" t="s">
        <v>6</v>
      </c>
      <c r="I22" s="3" t="s">
        <v>6</v>
      </c>
      <c r="J22" s="3" t="s">
        <v>6</v>
      </c>
      <c r="K22" s="2"/>
      <c r="L22" s="2"/>
      <c r="M22" s="12"/>
    </row>
    <row r="23" spans="1:13" ht="16.5" x14ac:dyDescent="0.25">
      <c r="B23" s="3">
        <f t="shared" si="0"/>
        <v>17</v>
      </c>
      <c r="C23" s="3" t="s">
        <v>6</v>
      </c>
      <c r="D23" s="3" t="s">
        <v>6</v>
      </c>
      <c r="E23" s="3" t="s">
        <v>6</v>
      </c>
      <c r="F23" s="3" t="s">
        <v>6</v>
      </c>
      <c r="G23" s="3" t="s">
        <v>83</v>
      </c>
      <c r="H23" s="3" t="s">
        <v>6</v>
      </c>
      <c r="I23" s="3" t="s">
        <v>6</v>
      </c>
      <c r="J23" s="3" t="s">
        <v>6</v>
      </c>
      <c r="K23" s="2"/>
      <c r="L23" s="2"/>
      <c r="M23" s="12"/>
    </row>
    <row r="24" spans="1:13" ht="16.5" x14ac:dyDescent="0.25">
      <c r="B24" s="3"/>
      <c r="C24" s="3"/>
      <c r="D24" s="3"/>
      <c r="E24" s="3"/>
      <c r="F24" s="3"/>
      <c r="G24" s="3"/>
      <c r="H24" s="3"/>
      <c r="I24" s="3"/>
      <c r="J24" s="3"/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53" t="s">
        <v>29</v>
      </c>
      <c r="I26" s="53"/>
      <c r="J26" s="9">
        <f>SUM(H7:H1001)</f>
        <v>31566000</v>
      </c>
    </row>
    <row r="27" spans="1:13" ht="22.5" x14ac:dyDescent="0.3">
      <c r="H27" s="53" t="s">
        <v>30</v>
      </c>
      <c r="I27" s="53"/>
      <c r="J27" s="9">
        <f>SUM(I7:I1001)</f>
        <v>18200000</v>
      </c>
    </row>
    <row r="40" spans="2:4" x14ac:dyDescent="0.25">
      <c r="C40" s="34" t="s">
        <v>78</v>
      </c>
    </row>
    <row r="43" spans="2:4" x14ac:dyDescent="0.25">
      <c r="B43" s="22" t="s">
        <v>58</v>
      </c>
    </row>
    <row r="44" spans="2:4" ht="16.5" x14ac:dyDescent="0.25">
      <c r="B44" s="17" t="s">
        <v>14</v>
      </c>
    </row>
    <row r="45" spans="2:4" ht="16.5" x14ac:dyDescent="0.25">
      <c r="B45" s="18" t="s">
        <v>16</v>
      </c>
    </row>
    <row r="46" spans="2:4" ht="16.5" x14ac:dyDescent="0.25">
      <c r="B46" s="17" t="s">
        <v>17</v>
      </c>
    </row>
    <row r="47" spans="2:4" ht="16.5" x14ac:dyDescent="0.25">
      <c r="B47" s="18" t="s">
        <v>48</v>
      </c>
      <c r="D47" s="45" t="s">
        <v>72</v>
      </c>
    </row>
    <row r="48" spans="2:4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</sheetData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846DE2-8720-468A-A331-5A4BA5FA2ECB}">
  <sheetPr codeName="Sheet7"/>
  <dimension ref="A2:M56"/>
  <sheetViews>
    <sheetView zoomScale="85" zoomScaleNormal="85" workbookViewId="0">
      <selection activeCell="I7" sqref="I7"/>
    </sheetView>
  </sheetViews>
  <sheetFormatPr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6384" width="9.140625" style="1"/>
  </cols>
  <sheetData>
    <row r="2" spans="2:13" ht="60.75" customHeight="1" x14ac:dyDescent="0.25">
      <c r="B2" s="50" t="s">
        <v>31</v>
      </c>
      <c r="C2" s="50"/>
      <c r="D2" s="50"/>
      <c r="E2" s="50"/>
      <c r="F2" s="50"/>
      <c r="G2" s="50"/>
      <c r="H2" s="50"/>
      <c r="I2" s="50"/>
      <c r="J2" s="50"/>
      <c r="K2" s="50"/>
    </row>
    <row r="3" spans="2:13" ht="30.75" x14ac:dyDescent="0.25">
      <c r="B3" s="51" t="s">
        <v>99</v>
      </c>
      <c r="C3" s="52"/>
      <c r="D3" s="52"/>
      <c r="E3" s="52"/>
      <c r="F3" s="52"/>
      <c r="G3" s="52"/>
      <c r="H3" s="52"/>
      <c r="I3" s="52"/>
      <c r="J3" s="52"/>
      <c r="K3" s="52"/>
    </row>
    <row r="4" spans="2:13" x14ac:dyDescent="0.25">
      <c r="J4" s="26"/>
    </row>
    <row r="6" spans="2:13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2000000</v>
      </c>
      <c r="I7" s="10">
        <f>H7*$E$26</f>
        <v>1200000</v>
      </c>
      <c r="J7" s="16" t="s">
        <v>69</v>
      </c>
      <c r="K7" s="2"/>
      <c r="L7" s="12"/>
      <c r="M7" s="12"/>
    </row>
    <row r="8" spans="2:13" ht="16.5" x14ac:dyDescent="0.25">
      <c r="B8" s="3">
        <f t="shared" ref="B8:B23" si="0"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2040000</v>
      </c>
      <c r="I8" s="10">
        <f t="shared" ref="I8:I22" si="1">H8*$E$26</f>
        <v>1224000</v>
      </c>
      <c r="J8" s="47" t="s">
        <v>26</v>
      </c>
      <c r="K8" s="33" t="s">
        <v>72</v>
      </c>
      <c r="L8" s="12"/>
      <c r="M8" s="12"/>
    </row>
    <row r="9" spans="2:13" ht="16.5" x14ac:dyDescent="0.25">
      <c r="B9" s="3">
        <f t="shared" si="0"/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1720000</v>
      </c>
      <c r="I9" s="10">
        <f t="shared" si="1"/>
        <v>1032000</v>
      </c>
      <c r="J9" s="16" t="s">
        <v>69</v>
      </c>
      <c r="K9" s="2"/>
      <c r="L9" s="12"/>
      <c r="M9" s="12"/>
    </row>
    <row r="10" spans="2:13" ht="16.5" x14ac:dyDescent="0.25">
      <c r="B10" s="3">
        <f t="shared" si="0"/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1800000</v>
      </c>
      <c r="I10" s="10">
        <f t="shared" si="1"/>
        <v>1080000</v>
      </c>
      <c r="J10" s="16" t="s">
        <v>69</v>
      </c>
      <c r="K10" s="41" t="s">
        <v>86</v>
      </c>
      <c r="L10" s="12"/>
      <c r="M10" s="12"/>
    </row>
    <row r="11" spans="2:13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1900000</v>
      </c>
      <c r="I11" s="10">
        <f t="shared" si="1"/>
        <v>1140000</v>
      </c>
      <c r="J11" s="47" t="s">
        <v>26</v>
      </c>
      <c r="K11" s="33" t="s">
        <v>72</v>
      </c>
      <c r="L11" s="12"/>
      <c r="M11" s="12"/>
    </row>
    <row r="12" spans="2:13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1760000</v>
      </c>
      <c r="I12" s="10">
        <f t="shared" si="1"/>
        <v>1056000</v>
      </c>
      <c r="J12" s="16" t="s">
        <v>69</v>
      </c>
      <c r="K12" s="2"/>
      <c r="L12" s="12"/>
      <c r="M12" s="13"/>
    </row>
    <row r="13" spans="2:13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2550000</v>
      </c>
      <c r="I13" s="10">
        <f t="shared" si="1"/>
        <v>1530000</v>
      </c>
      <c r="J13" s="16" t="s">
        <v>69</v>
      </c>
      <c r="K13" s="33" t="s">
        <v>72</v>
      </c>
      <c r="L13" s="12"/>
      <c r="M13" s="12"/>
    </row>
    <row r="14" spans="2:13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1930000</v>
      </c>
      <c r="I14" s="10">
        <f t="shared" si="1"/>
        <v>1158000</v>
      </c>
      <c r="J14" s="16" t="s">
        <v>69</v>
      </c>
      <c r="K14" s="2"/>
      <c r="L14" s="12"/>
      <c r="M14" s="13"/>
    </row>
    <row r="15" spans="2:13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2400000</v>
      </c>
      <c r="I15" s="10">
        <f t="shared" si="1"/>
        <v>1440000</v>
      </c>
      <c r="J15" s="16" t="s">
        <v>69</v>
      </c>
      <c r="K15" s="2"/>
      <c r="L15" s="12"/>
      <c r="M15" s="12"/>
    </row>
    <row r="16" spans="2:13" ht="16.5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1730000</v>
      </c>
      <c r="I16" s="10">
        <f t="shared" si="1"/>
        <v>1038000</v>
      </c>
      <c r="J16" s="16" t="s">
        <v>69</v>
      </c>
      <c r="K16" s="2"/>
      <c r="L16" s="12"/>
      <c r="M16" s="12"/>
    </row>
    <row r="17" spans="1:13" ht="16.5" x14ac:dyDescent="0.25">
      <c r="B17" s="3">
        <f t="shared" si="0"/>
        <v>11</v>
      </c>
      <c r="C17" s="11" t="s">
        <v>98</v>
      </c>
      <c r="D17" s="8" t="s">
        <v>63</v>
      </c>
      <c r="E17" s="37" t="s">
        <v>94</v>
      </c>
      <c r="F17" s="37"/>
      <c r="G17" s="8" t="s">
        <v>57</v>
      </c>
      <c r="H17" s="10">
        <v>1830000</v>
      </c>
      <c r="I17" s="10">
        <f t="shared" si="1"/>
        <v>1098000</v>
      </c>
      <c r="J17" s="16" t="s">
        <v>69</v>
      </c>
      <c r="K17" s="2"/>
      <c r="L17" s="12"/>
      <c r="M17" s="12"/>
    </row>
    <row r="18" spans="1:13" ht="16.5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2180000</v>
      </c>
      <c r="I18" s="10">
        <f t="shared" si="1"/>
        <v>1308000</v>
      </c>
      <c r="J18" s="47" t="s">
        <v>26</v>
      </c>
      <c r="K18" s="33" t="s">
        <v>72</v>
      </c>
      <c r="L18" s="12"/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37" t="s">
        <v>94</v>
      </c>
      <c r="F19" s="8" t="s">
        <v>53</v>
      </c>
      <c r="G19" s="14" t="s">
        <v>35</v>
      </c>
      <c r="H19" s="10">
        <v>2230000</v>
      </c>
      <c r="I19" s="10">
        <f t="shared" si="1"/>
        <v>1338000</v>
      </c>
      <c r="J19" s="16" t="s">
        <v>69</v>
      </c>
      <c r="K19" s="12"/>
      <c r="L19" s="12"/>
      <c r="M19" s="12"/>
    </row>
    <row r="20" spans="1:13" ht="16.5" x14ac:dyDescent="0.25">
      <c r="A20" s="40"/>
      <c r="B20" s="3">
        <f t="shared" si="0"/>
        <v>14</v>
      </c>
      <c r="C20" s="11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2700000</v>
      </c>
      <c r="I20" s="10">
        <v>1350000</v>
      </c>
      <c r="J20" s="47" t="s">
        <v>26</v>
      </c>
      <c r="K20" s="35"/>
      <c r="L20" s="12"/>
      <c r="M20" s="12"/>
    </row>
    <row r="21" spans="1:13" ht="16.5" x14ac:dyDescent="0.25">
      <c r="A21" s="40"/>
      <c r="B21" s="3">
        <f t="shared" si="0"/>
        <v>15</v>
      </c>
      <c r="C21" s="11" t="s">
        <v>92</v>
      </c>
      <c r="D21" s="3" t="s">
        <v>88</v>
      </c>
      <c r="E21" s="44" t="s">
        <v>89</v>
      </c>
      <c r="F21" s="3" t="s">
        <v>90</v>
      </c>
      <c r="G21" s="37" t="s">
        <v>93</v>
      </c>
      <c r="H21" s="10">
        <v>1800000</v>
      </c>
      <c r="I21" s="10">
        <f t="shared" si="1"/>
        <v>1080000</v>
      </c>
      <c r="J21" s="16" t="s">
        <v>69</v>
      </c>
      <c r="K21" s="2"/>
      <c r="L21" s="12"/>
      <c r="M21" s="12"/>
    </row>
    <row r="22" spans="1:13" ht="16.5" x14ac:dyDescent="0.25">
      <c r="B22" s="3">
        <f t="shared" si="0"/>
        <v>16</v>
      </c>
      <c r="C22" s="16" t="s">
        <v>100</v>
      </c>
      <c r="D22" s="3" t="s">
        <v>6</v>
      </c>
      <c r="E22" s="3" t="s">
        <v>6</v>
      </c>
      <c r="F22" s="3" t="s">
        <v>6</v>
      </c>
      <c r="G22" s="14" t="s">
        <v>82</v>
      </c>
      <c r="H22" s="10">
        <v>930000</v>
      </c>
      <c r="I22" s="10">
        <f t="shared" si="1"/>
        <v>558000</v>
      </c>
      <c r="J22" s="47" t="s">
        <v>26</v>
      </c>
      <c r="K22" s="2"/>
      <c r="L22" s="2"/>
      <c r="M22" s="12"/>
    </row>
    <row r="23" spans="1:13" ht="16.5" x14ac:dyDescent="0.25">
      <c r="B23" s="3">
        <f t="shared" si="0"/>
        <v>17</v>
      </c>
      <c r="C23" s="16" t="s">
        <v>101</v>
      </c>
      <c r="D23" s="3" t="s">
        <v>6</v>
      </c>
      <c r="E23" s="3" t="s">
        <v>6</v>
      </c>
      <c r="F23" s="3" t="s">
        <v>6</v>
      </c>
      <c r="G23" s="3" t="s">
        <v>83</v>
      </c>
      <c r="H23" s="3" t="s">
        <v>6</v>
      </c>
      <c r="I23" s="3" t="s">
        <v>6</v>
      </c>
      <c r="J23" s="3" t="s">
        <v>6</v>
      </c>
      <c r="K23" s="2"/>
      <c r="L23" s="2"/>
      <c r="M23" s="12"/>
    </row>
    <row r="24" spans="1:13" ht="16.5" x14ac:dyDescent="0.25">
      <c r="B24" s="3"/>
      <c r="C24" s="3"/>
      <c r="D24" s="3"/>
      <c r="E24" s="3"/>
      <c r="F24" s="3"/>
      <c r="G24" s="3"/>
      <c r="H24" s="3"/>
      <c r="I24" s="3"/>
      <c r="J24" s="3"/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53" t="s">
        <v>29</v>
      </c>
      <c r="I26" s="53"/>
      <c r="J26" s="9">
        <f>SUM(H7:H1001)</f>
        <v>31500000</v>
      </c>
    </row>
    <row r="27" spans="1:13" ht="22.5" x14ac:dyDescent="0.3">
      <c r="H27" s="53" t="s">
        <v>30</v>
      </c>
      <c r="I27" s="53"/>
      <c r="J27" s="9">
        <f>SUM(I7:I1001)</f>
        <v>18630000</v>
      </c>
    </row>
    <row r="40" spans="2:4" x14ac:dyDescent="0.25">
      <c r="C40" s="34" t="s">
        <v>78</v>
      </c>
    </row>
    <row r="43" spans="2:4" x14ac:dyDescent="0.25">
      <c r="B43" s="22" t="s">
        <v>58</v>
      </c>
    </row>
    <row r="44" spans="2:4" ht="16.5" x14ac:dyDescent="0.25">
      <c r="B44" s="17" t="s">
        <v>14</v>
      </c>
    </row>
    <row r="45" spans="2:4" ht="16.5" x14ac:dyDescent="0.25">
      <c r="B45" s="18" t="s">
        <v>16</v>
      </c>
    </row>
    <row r="46" spans="2:4" ht="16.5" x14ac:dyDescent="0.25">
      <c r="B46" s="17" t="s">
        <v>17</v>
      </c>
    </row>
    <row r="47" spans="2:4" ht="16.5" x14ac:dyDescent="0.25">
      <c r="B47" s="18" t="s">
        <v>48</v>
      </c>
      <c r="D47" s="45" t="s">
        <v>72</v>
      </c>
    </row>
    <row r="48" spans="2:4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</sheetData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12A8A-B885-4334-962B-CB7B56D25DB0}">
  <sheetPr codeName="Sheet8"/>
  <dimension ref="A2:P59"/>
  <sheetViews>
    <sheetView tabSelected="1" topLeftCell="A3" zoomScale="115" zoomScaleNormal="115" workbookViewId="0">
      <selection activeCell="E17" sqref="E17"/>
    </sheetView>
  </sheetViews>
  <sheetFormatPr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5" width="9.140625" style="1"/>
    <col min="16" max="16" width="16.85546875" style="1" customWidth="1"/>
    <col min="17" max="16384" width="9.140625" style="1"/>
  </cols>
  <sheetData>
    <row r="2" spans="2:16" ht="60.75" customHeight="1" x14ac:dyDescent="0.25">
      <c r="B2" s="50" t="s">
        <v>31</v>
      </c>
      <c r="C2" s="50"/>
      <c r="D2" s="50"/>
      <c r="E2" s="50"/>
      <c r="F2" s="50"/>
      <c r="G2" s="50"/>
      <c r="H2" s="50"/>
      <c r="I2" s="50"/>
      <c r="J2" s="50"/>
      <c r="K2" s="50"/>
    </row>
    <row r="3" spans="2:16" ht="30.75" x14ac:dyDescent="0.25">
      <c r="B3" s="51" t="s">
        <v>102</v>
      </c>
      <c r="C3" s="52"/>
      <c r="D3" s="52"/>
      <c r="E3" s="52"/>
      <c r="F3" s="52"/>
      <c r="G3" s="52"/>
      <c r="H3" s="52"/>
      <c r="I3" s="52"/>
      <c r="J3" s="52"/>
      <c r="K3" s="52"/>
    </row>
    <row r="4" spans="2:16" x14ac:dyDescent="0.25">
      <c r="J4" s="26"/>
    </row>
    <row r="6" spans="2:16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  <c r="P6" s="48" t="s">
        <v>69</v>
      </c>
    </row>
    <row r="7" spans="2:16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1710000</v>
      </c>
      <c r="I7" s="10">
        <v>1020000</v>
      </c>
      <c r="J7" s="16" t="s">
        <v>69</v>
      </c>
      <c r="K7" s="2"/>
      <c r="L7" s="12"/>
      <c r="M7" s="12"/>
      <c r="P7" s="47" t="s">
        <v>26</v>
      </c>
    </row>
    <row r="8" spans="2:16" ht="16.5" x14ac:dyDescent="0.25">
      <c r="B8" s="3">
        <f t="shared" ref="B8:B23" si="0"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2400000</v>
      </c>
      <c r="I8" s="10">
        <f t="shared" ref="I8:I23" si="1">H8*$E$26</f>
        <v>1440000</v>
      </c>
      <c r="J8" s="47" t="s">
        <v>26</v>
      </c>
      <c r="K8" s="33" t="s">
        <v>72</v>
      </c>
      <c r="L8" s="12"/>
      <c r="M8" s="12"/>
      <c r="P8" s="45" t="s">
        <v>72</v>
      </c>
    </row>
    <row r="9" spans="2:16" ht="16.5" x14ac:dyDescent="0.25">
      <c r="B9" s="3">
        <f t="shared" si="0"/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700000</v>
      </c>
      <c r="I9" s="10">
        <f t="shared" si="1"/>
        <v>420000</v>
      </c>
      <c r="J9" s="16" t="s">
        <v>69</v>
      </c>
      <c r="K9" s="2"/>
      <c r="L9" s="12"/>
      <c r="M9" s="12"/>
    </row>
    <row r="10" spans="2:16" ht="16.5" x14ac:dyDescent="0.25">
      <c r="B10" s="3">
        <f t="shared" si="0"/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1920000</v>
      </c>
      <c r="I10" s="10">
        <f t="shared" si="1"/>
        <v>1152000</v>
      </c>
      <c r="J10" s="16" t="s">
        <v>69</v>
      </c>
      <c r="K10" s="41" t="s">
        <v>86</v>
      </c>
      <c r="L10" s="12"/>
      <c r="M10" s="12"/>
    </row>
    <row r="11" spans="2:16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1850000</v>
      </c>
      <c r="I11" s="10">
        <f t="shared" si="1"/>
        <v>1110000</v>
      </c>
      <c r="J11" s="47" t="s">
        <v>26</v>
      </c>
      <c r="K11" s="33" t="s">
        <v>72</v>
      </c>
      <c r="L11" s="12"/>
      <c r="M11" s="12"/>
    </row>
    <row r="12" spans="2:16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2010000</v>
      </c>
      <c r="I12" s="10">
        <f t="shared" si="1"/>
        <v>1206000</v>
      </c>
      <c r="J12" s="16" t="s">
        <v>69</v>
      </c>
      <c r="K12" s="2"/>
      <c r="L12" s="12"/>
      <c r="M12" s="13"/>
    </row>
    <row r="13" spans="2:16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1720000</v>
      </c>
      <c r="I13" s="10">
        <f t="shared" si="1"/>
        <v>1032000</v>
      </c>
      <c r="J13" s="16" t="s">
        <v>69</v>
      </c>
      <c r="K13" s="33" t="s">
        <v>72</v>
      </c>
      <c r="L13" s="12"/>
      <c r="M13" s="12"/>
    </row>
    <row r="14" spans="2:16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2080000</v>
      </c>
      <c r="I14" s="10">
        <f t="shared" si="1"/>
        <v>1248000</v>
      </c>
      <c r="J14" s="16" t="s">
        <v>69</v>
      </c>
      <c r="K14" s="2"/>
      <c r="L14" s="12"/>
      <c r="M14" s="13"/>
    </row>
    <row r="15" spans="2:16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1750000</v>
      </c>
      <c r="I15" s="10">
        <f t="shared" si="1"/>
        <v>1050000</v>
      </c>
      <c r="J15" s="16" t="s">
        <v>69</v>
      </c>
      <c r="K15" s="2"/>
      <c r="L15" s="12"/>
      <c r="M15" s="12"/>
    </row>
    <row r="16" spans="2:16" ht="16.5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1830000</v>
      </c>
      <c r="I16" s="10">
        <f t="shared" si="1"/>
        <v>1098000</v>
      </c>
      <c r="J16" s="16" t="s">
        <v>69</v>
      </c>
      <c r="K16" s="2"/>
      <c r="L16" s="12"/>
      <c r="M16" s="12"/>
    </row>
    <row r="17" spans="1:13" ht="16.5" x14ac:dyDescent="0.25">
      <c r="B17" s="3">
        <f t="shared" si="0"/>
        <v>11</v>
      </c>
      <c r="C17" s="11" t="s">
        <v>98</v>
      </c>
      <c r="D17" s="8" t="s">
        <v>63</v>
      </c>
      <c r="E17" s="54">
        <v>91085001515</v>
      </c>
      <c r="F17" s="3" t="s">
        <v>18</v>
      </c>
      <c r="G17" s="8" t="s">
        <v>57</v>
      </c>
      <c r="H17" s="10">
        <v>1830000</v>
      </c>
      <c r="I17" s="10">
        <v>1116000</v>
      </c>
      <c r="J17" s="16" t="s">
        <v>69</v>
      </c>
      <c r="K17" s="2"/>
      <c r="L17" s="12"/>
      <c r="M17" s="12"/>
    </row>
    <row r="18" spans="1:13" ht="16.5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2340000</v>
      </c>
      <c r="I18" s="10">
        <f t="shared" si="1"/>
        <v>1404000</v>
      </c>
      <c r="J18" s="47" t="s">
        <v>26</v>
      </c>
      <c r="K18" s="33" t="s">
        <v>72</v>
      </c>
      <c r="L18" s="12"/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37" t="s">
        <v>94</v>
      </c>
      <c r="F19" s="8" t="s">
        <v>53</v>
      </c>
      <c r="G19" s="14" t="s">
        <v>35</v>
      </c>
      <c r="H19" s="10">
        <v>2380000</v>
      </c>
      <c r="I19" s="10">
        <f t="shared" si="1"/>
        <v>1428000</v>
      </c>
      <c r="J19" s="16" t="s">
        <v>69</v>
      </c>
      <c r="K19" s="12"/>
      <c r="L19" s="12"/>
      <c r="M19" s="12"/>
    </row>
    <row r="20" spans="1:13" ht="16.5" x14ac:dyDescent="0.25">
      <c r="A20" s="40"/>
      <c r="B20" s="3">
        <f t="shared" si="0"/>
        <v>14</v>
      </c>
      <c r="C20" s="11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1800000</v>
      </c>
      <c r="I20" s="10">
        <v>900000</v>
      </c>
      <c r="J20" s="47" t="s">
        <v>26</v>
      </c>
      <c r="K20" s="35"/>
      <c r="L20" s="12"/>
      <c r="M20" s="12"/>
    </row>
    <row r="21" spans="1:13" ht="16.5" x14ac:dyDescent="0.25">
      <c r="A21" s="40"/>
      <c r="B21" s="3">
        <f t="shared" si="0"/>
        <v>15</v>
      </c>
      <c r="C21" s="11" t="s">
        <v>92</v>
      </c>
      <c r="D21" s="3" t="s">
        <v>88</v>
      </c>
      <c r="E21" s="44" t="s">
        <v>89</v>
      </c>
      <c r="F21" s="3" t="s">
        <v>90</v>
      </c>
      <c r="G21" s="37" t="s">
        <v>93</v>
      </c>
      <c r="H21" s="10">
        <v>3810000</v>
      </c>
      <c r="I21" s="10">
        <f t="shared" si="1"/>
        <v>2286000</v>
      </c>
      <c r="J21" s="45" t="s">
        <v>72</v>
      </c>
      <c r="K21" s="2"/>
      <c r="L21" s="12"/>
      <c r="M21" s="12"/>
    </row>
    <row r="22" spans="1:13" ht="16.5" x14ac:dyDescent="0.25">
      <c r="B22" s="3">
        <f t="shared" si="0"/>
        <v>16</v>
      </c>
      <c r="C22" s="11" t="s">
        <v>105</v>
      </c>
      <c r="D22" s="3" t="s">
        <v>103</v>
      </c>
      <c r="E22" s="3">
        <v>70081001153</v>
      </c>
      <c r="F22" s="3" t="s">
        <v>104</v>
      </c>
      <c r="G22" s="14" t="s">
        <v>83</v>
      </c>
      <c r="H22" s="10">
        <v>900000</v>
      </c>
      <c r="I22" s="10">
        <f t="shared" si="1"/>
        <v>540000</v>
      </c>
      <c r="J22" s="47" t="s">
        <v>26</v>
      </c>
      <c r="K22" s="2"/>
      <c r="L22" s="2"/>
      <c r="M22" s="12"/>
    </row>
    <row r="23" spans="1:13" ht="16.5" x14ac:dyDescent="0.25">
      <c r="B23" s="3">
        <f t="shared" si="0"/>
        <v>17</v>
      </c>
      <c r="C23" s="11" t="s">
        <v>106</v>
      </c>
      <c r="D23" s="3" t="s">
        <v>108</v>
      </c>
      <c r="E23" s="3">
        <v>27068001194</v>
      </c>
      <c r="F23" s="3" t="s">
        <v>107</v>
      </c>
      <c r="G23" s="3" t="s">
        <v>82</v>
      </c>
      <c r="H23" s="10">
        <v>1100000</v>
      </c>
      <c r="I23" s="10">
        <f t="shared" si="1"/>
        <v>660000</v>
      </c>
      <c r="J23" s="47" t="s">
        <v>26</v>
      </c>
      <c r="K23" s="2"/>
      <c r="L23" s="2"/>
      <c r="M23" s="12"/>
    </row>
    <row r="24" spans="1:13" ht="16.5" x14ac:dyDescent="0.25">
      <c r="B24" s="3"/>
      <c r="C24" s="3"/>
      <c r="D24" s="3"/>
      <c r="E24" s="3"/>
      <c r="F24" s="3"/>
      <c r="G24" s="3"/>
      <c r="H24" s="3"/>
      <c r="I24" s="3"/>
      <c r="J24" s="3"/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53" t="s">
        <v>29</v>
      </c>
      <c r="I26" s="53"/>
      <c r="J26" s="9">
        <f>SUM(H7:H1001)</f>
        <v>32130000</v>
      </c>
    </row>
    <row r="27" spans="1:13" ht="22.5" x14ac:dyDescent="0.3">
      <c r="H27" s="53" t="s">
        <v>30</v>
      </c>
      <c r="I27" s="53"/>
      <c r="J27" s="9">
        <f>SUM(I7:I1001)</f>
        <v>19110000</v>
      </c>
    </row>
    <row r="40" spans="2:4" x14ac:dyDescent="0.25">
      <c r="C40" s="34" t="s">
        <v>78</v>
      </c>
    </row>
    <row r="43" spans="2:4" x14ac:dyDescent="0.25">
      <c r="B43" s="22" t="s">
        <v>58</v>
      </c>
    </row>
    <row r="44" spans="2:4" ht="16.5" x14ac:dyDescent="0.25">
      <c r="B44" s="17" t="s">
        <v>14</v>
      </c>
    </row>
    <row r="45" spans="2:4" ht="16.5" x14ac:dyDescent="0.25">
      <c r="B45" s="18" t="s">
        <v>16</v>
      </c>
    </row>
    <row r="46" spans="2:4" ht="16.5" x14ac:dyDescent="0.25">
      <c r="B46" s="17" t="s">
        <v>17</v>
      </c>
    </row>
    <row r="47" spans="2:4" ht="16.5" x14ac:dyDescent="0.25">
      <c r="B47" s="18" t="s">
        <v>48</v>
      </c>
      <c r="D47" s="45" t="s">
        <v>72</v>
      </c>
    </row>
    <row r="48" spans="2:4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  <row r="57" spans="2:2" ht="16.5" x14ac:dyDescent="0.25">
      <c r="B57" s="21" t="s">
        <v>83</v>
      </c>
    </row>
    <row r="58" spans="2:2" ht="17.25" thickBot="1" x14ac:dyDescent="0.3">
      <c r="B58" s="49" t="s">
        <v>82</v>
      </c>
    </row>
    <row r="59" spans="2:2" ht="15.75" thickTop="1" x14ac:dyDescent="0.25"/>
  </sheetData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01-01</vt:lpstr>
      <vt:lpstr>02-01</vt:lpstr>
      <vt:lpstr>03-01</vt:lpstr>
      <vt:lpstr>04-01</vt:lpstr>
      <vt:lpstr>05-01</vt:lpstr>
      <vt:lpstr>06-01</vt:lpstr>
      <vt:lpstr>07-01</vt:lpstr>
      <vt:lpstr>08-01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NDC</dc:creator>
  <cp:lastModifiedBy>nguyenducanh12a10@gmail.com</cp:lastModifiedBy>
  <dcterms:created xsi:type="dcterms:W3CDTF">2015-06-05T18:17:20Z</dcterms:created>
  <dcterms:modified xsi:type="dcterms:W3CDTF">2026-01-09T12:09:34Z</dcterms:modified>
</cp:coreProperties>
</file>