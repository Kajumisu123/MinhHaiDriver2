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779661DD-3DC6-4D2E-96B7-E33A6EC6DCA7}" xr6:coauthVersionLast="47" xr6:coauthVersionMax="47" xr10:uidLastSave="{00000000-0000-0000-0000-000000000000}"/>
  <bookViews>
    <workbookView xWindow="-120" yWindow="-120" windowWidth="29040" windowHeight="15840" tabRatio="579" firstSheet="4" activeTab="19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  <sheet name="11-01 " sheetId="16" r:id="rId12"/>
    <sheet name="12-01" sheetId="17" r:id="rId13"/>
    <sheet name="13-01" sheetId="18" r:id="rId14"/>
    <sheet name="14-01" sheetId="19" r:id="rId15"/>
    <sheet name="15-01" sheetId="20" r:id="rId16"/>
    <sheet name="16-01" sheetId="21" r:id="rId17"/>
    <sheet name="17-01" sheetId="22" r:id="rId18"/>
    <sheet name="18-01" sheetId="23" r:id="rId19"/>
    <sheet name="19-01" sheetId="24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" i="24" l="1"/>
  <c r="I29" i="24" l="1"/>
  <c r="K29" i="24" s="1"/>
  <c r="I28" i="24"/>
  <c r="K28" i="24" s="1"/>
  <c r="I27" i="24"/>
  <c r="K27" i="24" s="1"/>
  <c r="B27" i="24"/>
  <c r="B28" i="24" s="1"/>
  <c r="B29" i="24" s="1"/>
  <c r="B30" i="24" s="1"/>
  <c r="I26" i="24"/>
  <c r="K26" i="24" s="1"/>
  <c r="I22" i="24"/>
  <c r="K22" i="24" s="1"/>
  <c r="I21" i="24"/>
  <c r="K21" i="24" s="1"/>
  <c r="I20" i="24"/>
  <c r="K20" i="24" s="1"/>
  <c r="I19" i="24"/>
  <c r="K19" i="24" s="1"/>
  <c r="I18" i="24"/>
  <c r="K18" i="24" s="1"/>
  <c r="I17" i="24"/>
  <c r="K17" i="24" s="1"/>
  <c r="I16" i="24"/>
  <c r="K16" i="24" s="1"/>
  <c r="R15" i="24"/>
  <c r="I15" i="24"/>
  <c r="K15" i="24" s="1"/>
  <c r="K14" i="24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I13" i="24"/>
  <c r="K13" i="24" s="1"/>
  <c r="R10" i="24"/>
  <c r="I10" i="24"/>
  <c r="K10" i="24" s="1"/>
  <c r="I9" i="24"/>
  <c r="K9" i="24" s="1"/>
  <c r="I8" i="24"/>
  <c r="B8" i="24"/>
  <c r="B9" i="24" s="1"/>
  <c r="B10" i="24" s="1"/>
  <c r="I7" i="24"/>
  <c r="K14" i="23"/>
  <c r="K22" i="23"/>
  <c r="I29" i="23"/>
  <c r="I28" i="23"/>
  <c r="K28" i="23" s="1"/>
  <c r="I27" i="23"/>
  <c r="K27" i="23" s="1"/>
  <c r="B27" i="23"/>
  <c r="B28" i="23" s="1"/>
  <c r="B29" i="23" s="1"/>
  <c r="B30" i="23" s="1"/>
  <c r="I26" i="23"/>
  <c r="K26" i="23" s="1"/>
  <c r="I22" i="23"/>
  <c r="I21" i="23"/>
  <c r="K21" i="23" s="1"/>
  <c r="I20" i="23"/>
  <c r="K20" i="23" s="1"/>
  <c r="I19" i="23"/>
  <c r="K19" i="23" s="1"/>
  <c r="I18" i="23"/>
  <c r="K18" i="23" s="1"/>
  <c r="I17" i="23"/>
  <c r="K17" i="23" s="1"/>
  <c r="I16" i="23"/>
  <c r="K16" i="23" s="1"/>
  <c r="R15" i="23"/>
  <c r="I15" i="23"/>
  <c r="K15" i="23" s="1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K10" i="23" s="1"/>
  <c r="I9" i="23"/>
  <c r="K9" i="23" s="1"/>
  <c r="B9" i="23"/>
  <c r="B10" i="23" s="1"/>
  <c r="I8" i="23"/>
  <c r="B8" i="23"/>
  <c r="I7" i="23"/>
  <c r="K7" i="23" s="1"/>
  <c r="R12" i="24" l="1"/>
  <c r="R12" i="23"/>
  <c r="K18" i="22"/>
  <c r="K20" i="22"/>
  <c r="K21" i="22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I20" i="22"/>
  <c r="I19" i="22"/>
  <c r="K19" i="22" s="1"/>
  <c r="I18" i="22"/>
  <c r="I17" i="22"/>
  <c r="K17" i="22" s="1"/>
  <c r="I16" i="22"/>
  <c r="K16" i="22" s="1"/>
  <c r="R15" i="22"/>
  <c r="I15" i="22"/>
  <c r="K15" i="22" s="1"/>
  <c r="B15" i="22"/>
  <c r="B16" i="22" s="1"/>
  <c r="B17" i="22" s="1"/>
  <c r="B18" i="22" s="1"/>
  <c r="B19" i="22" s="1"/>
  <c r="B20" i="22" s="1"/>
  <c r="B21" i="22" s="1"/>
  <c r="B22" i="22" s="1"/>
  <c r="B23" i="22" s="1"/>
  <c r="B24" i="22" s="1"/>
  <c r="B14" i="22"/>
  <c r="I13" i="22"/>
  <c r="K13" i="22" s="1"/>
  <c r="R10" i="22"/>
  <c r="I10" i="22"/>
  <c r="K10" i="22" s="1"/>
  <c r="K9" i="22"/>
  <c r="I9" i="22"/>
  <c r="B9" i="22"/>
  <c r="B10" i="22" s="1"/>
  <c r="I8" i="22"/>
  <c r="B8" i="22"/>
  <c r="I7" i="22"/>
  <c r="R12" i="22" l="1"/>
  <c r="K7" i="22"/>
  <c r="I8" i="21" l="1"/>
  <c r="K20" i="21"/>
  <c r="K19" i="21" l="1"/>
  <c r="I28" i="2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I19" i="2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K9" i="21"/>
  <c r="I9" i="21"/>
  <c r="B8" i="21"/>
  <c r="B9" i="21" s="1"/>
  <c r="B10" i="21" s="1"/>
  <c r="I7" i="21"/>
  <c r="K7" i="21" s="1"/>
  <c r="B23" i="20"/>
  <c r="B24" i="20" s="1"/>
  <c r="B16" i="20"/>
  <c r="B17" i="20" s="1"/>
  <c r="B18" i="20" s="1"/>
  <c r="B19" i="20" s="1"/>
  <c r="B20" i="20" s="1"/>
  <c r="B21" i="20" s="1"/>
  <c r="B22" i="20" s="1"/>
  <c r="B9" i="20"/>
  <c r="B10" i="20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I13" i="20"/>
  <c r="K13" i="20" s="1"/>
  <c r="I10" i="20"/>
  <c r="K10" i="20" s="1"/>
  <c r="R10" i="20"/>
  <c r="I9" i="20"/>
  <c r="K9" i="20" s="1"/>
  <c r="B8" i="20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B26" i="16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K10" i="16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<sst xmlns="http://schemas.openxmlformats.org/spreadsheetml/2006/main" count="2389" uniqueCount="157">
  <si>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</si>
  <si>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</si>
  <si>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</si>
  <si>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</si>
  <si>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</si>
  <si>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</si>
  <si>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</si>
  <si>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</si>
  <si>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</si>
  <si>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</si>
  <si>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</si>
  <si>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</si>
  <si>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</si>
  <si>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</si>
  <si>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</si>
  <si>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</si>
  <si>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</si>
  <si>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</si>
  <si>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</si>
  <si>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</si>
  <si>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</si>
  <si>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</si>
  <si>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</si>
  <si>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</si>
  <si>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</si>
  <si>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</si>
  <si>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</si>
  <si>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</si>
  <si>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</si>
  <si>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</si>
  <si>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</si>
  <si>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</si>
  <si>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</si>
  <si>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</si>
  <si>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</si>
  <si>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</si>
  <si>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</si>
  <si>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</si>
  <si>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</si>
  <si>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</si>
  <si>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</si>
  <si>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</si>
  <si>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</si>
  <si>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</si>
  <si>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</si>
  <si>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</si>
  <si>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</si>
  <si>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</si>
  <si>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</si>
  <si>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</si>
  <si>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</si>
  <si>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</si>
  <si>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</si>
  <si>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</si>
  <si>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</si>
  <si>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</si>
  <si>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</si>
  <si>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</si>
  <si>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</si>
  <si>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</si>
  <si>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</si>
  <si>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</si>
  <si>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</si>
  <si>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</si>
  <si>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</si>
  <si>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</si>
  <si>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</si>
  <si>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</si>
  <si>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</si>
  <si>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</si>
  <si>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</si>
  <si>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</si>
  <si>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</si>
  <si>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</si>
  <si>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</si>
  <si>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</si>
  <si>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</si>
  <si>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</si>
  <si>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</si>
  <si>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</si>
  <si>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</si>
  <si>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</si>
  <si>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</si>
  <si>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</si>
  <si>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</si>
  <si>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</si>
  <si>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</si>
  <si>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</si>
  <si>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</si>
  <si>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</si>
  <si>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</si>
  <si>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</si>
  <si>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</si>
  <si>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</si>
  <si>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</si>
  <si>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</si>
  <si>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</si>
  <si>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</si>
  <si>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</si>
  <si>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</si>
  <si>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</si>
  <si>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</si>
  <si>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</si>
  <si>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</si>
  <si>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</si>
  <si>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</si>
  <si>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</si>
  <si>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</si>
  <si>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</si>
  <si>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</si>
  <si>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</si>
  <si>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</si>
  <si>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</si>
  <si>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</si>
  <si>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</si>
  <si>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</si>
  <si>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</si>
  <si>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</si>
  <si>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</si>
  <si>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</si>
  <si>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</si>
  <si>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</si>
  <si>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</si>
  <si>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</si>
  <si>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</si>
  <si>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</si>
  <si>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</si>
  <si>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</si>
  <si>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</si>
  <si>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</si>
  <si>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</si>
  <si>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</si>
  <si>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</si>
  <si>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</si>
  <si>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</si>
  <si>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</si>
  <si>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</si>
  <si>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</si>
  <si>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</si>
  <si>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</si>
  <si>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</si>
  <si>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</si>
  <si>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</si>
  <si>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</si>
  <si>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</si>
  <si>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</si>
  <si>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</si>
  <si>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</si>
  <si>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</si>
  <si>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</si>
  <si>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</si>
  <si>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</si>
  <si>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</si>
  <si>
    <t>Thiếu 20k</t>
  </si>
  <si>
    <t>ăn chia 5 5, thọt so với thực tế 160k</t>
  </si>
  <si>
    <t>dư 2k</t>
  </si>
  <si>
    <t>DOANH THU 19/01/2026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</si>
</sst>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68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55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53" t="s">
        <v>29</v>
      </c>
      <c r="I25" s="153"/>
      <c r="J25" s="9">
        <f>SUM(H7:H1000)</f>
        <v>24820000</v>
      </c>
    </row>
    <row r="26" spans="2:13" ht="22.5" x14ac:dyDescent="0.3">
      <c r="H26" s="153" t="s">
        <v>30</v>
      </c>
      <c r="I26" s="153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77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29135000</v>
      </c>
    </row>
    <row r="27" spans="1:13" ht="22.5" x14ac:dyDescent="0.3">
      <c r="H27" s="153" t="s">
        <v>30</v>
      </c>
      <c r="I27" s="153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85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32170000</v>
      </c>
    </row>
    <row r="27" spans="1:13" ht="22.5" x14ac:dyDescent="0.3">
      <c r="H27" s="153" t="s">
        <v>30</v>
      </c>
      <c r="I27" s="153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87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30806000</v>
      </c>
    </row>
    <row r="27" spans="1:13" ht="22.5" x14ac:dyDescent="0.3">
      <c r="H27" s="153" t="s">
        <v>30</v>
      </c>
      <c r="I27" s="153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95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30762000</v>
      </c>
    </row>
    <row r="27" spans="1:13" ht="22.5" x14ac:dyDescent="0.3">
      <c r="H27" s="153" t="s">
        <v>30</v>
      </c>
      <c r="I27" s="153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97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31566000</v>
      </c>
    </row>
    <row r="27" spans="1:13" ht="22.5" x14ac:dyDescent="0.3">
      <c r="H27" s="153" t="s">
        <v>30</v>
      </c>
      <c r="I27" s="153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99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31500000</v>
      </c>
    </row>
    <row r="27" spans="1:13" ht="22.5" x14ac:dyDescent="0.3">
      <c r="H27" s="153" t="s">
        <v>30</v>
      </c>
      <c r="I27" s="153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75" x14ac:dyDescent="0.25">
      <c r="B3" s="151" t="s">
        <v>100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32130000</v>
      </c>
    </row>
    <row r="27" spans="1:13" ht="22.5" x14ac:dyDescent="0.3">
      <c r="H27" s="153" t="s">
        <v>30</v>
      </c>
      <c r="I27" s="153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75" x14ac:dyDescent="0.25">
      <c r="B3" s="151" t="s">
        <v>107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28500000</v>
      </c>
    </row>
    <row r="27" spans="1:13" ht="22.5" x14ac:dyDescent="0.3">
      <c r="H27" s="153" t="s">
        <v>30</v>
      </c>
      <c r="I27" s="153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75" x14ac:dyDescent="0.25">
      <c r="B3" s="151" t="s">
        <v>109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28869000</v>
      </c>
    </row>
    <row r="27" spans="1:13" ht="22.5" x14ac:dyDescent="0.3">
      <c r="H27" s="153" t="s">
        <v>30</v>
      </c>
      <c r="I27" s="153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  <c r="L2" s="1"/>
      <c r="M2" s="1"/>
      <c r="N2" s="1"/>
      <c r="O2" s="1"/>
      <c r="P2" s="1"/>
    </row>
    <row r="3" spans="1:16" ht="30.75" x14ac:dyDescent="0.25">
      <c r="A3" s="1"/>
      <c r="B3" s="151" t="s">
        <v>109</v>
      </c>
      <c r="C3" s="152"/>
      <c r="D3" s="152"/>
      <c r="E3" s="152"/>
      <c r="F3" s="152"/>
      <c r="G3" s="152"/>
      <c r="H3" s="152"/>
      <c r="I3" s="152"/>
      <c r="J3" s="152"/>
      <c r="K3" s="152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57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57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57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57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57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58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8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58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58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58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58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58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58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29569000</v>
      </c>
    </row>
    <row r="29" spans="1:16" ht="22.5" x14ac:dyDescent="0.3">
      <c r="H29" s="154" t="s">
        <v>30</v>
      </c>
      <c r="I29" s="155"/>
      <c r="J29" s="9">
        <f>SUM(I7:I1001)</f>
        <v>17731000</v>
      </c>
    </row>
    <row r="30" spans="1:16" ht="22.5" x14ac:dyDescent="0.3">
      <c r="H30" s="154" t="s">
        <v>117</v>
      </c>
      <c r="I30" s="155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5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29980000</v>
      </c>
    </row>
    <row r="29" spans="1:16" ht="22.5" x14ac:dyDescent="0.3">
      <c r="H29" s="154" t="s">
        <v>30</v>
      </c>
      <c r="I29" s="155"/>
      <c r="J29" s="9">
        <f>SUM(I7:I1001)</f>
        <v>17988000</v>
      </c>
    </row>
    <row r="30" spans="1:16" ht="22.5" x14ac:dyDescent="0.3">
      <c r="H30" s="154" t="s">
        <v>117</v>
      </c>
      <c r="I30" s="155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31650000</v>
      </c>
    </row>
    <row r="29" spans="1:16" ht="22.5" x14ac:dyDescent="0.3">
      <c r="H29" s="154" t="s">
        <v>30</v>
      </c>
      <c r="I29" s="155"/>
      <c r="J29" s="9">
        <f>SUM(I7:I1001)</f>
        <v>18990000</v>
      </c>
    </row>
    <row r="30" spans="1:16" ht="22.5" x14ac:dyDescent="0.3">
      <c r="H30" s="154" t="s">
        <v>117</v>
      </c>
      <c r="I30" s="155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8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29362000</v>
      </c>
    </row>
    <row r="29" spans="1:16" ht="22.5" x14ac:dyDescent="0.3">
      <c r="H29" s="154" t="s">
        <v>30</v>
      </c>
      <c r="I29" s="155"/>
      <c r="J29" s="9">
        <f>SUM(I7:I1001)</f>
        <v>17617200</v>
      </c>
    </row>
    <row r="30" spans="1:16" ht="22.5" x14ac:dyDescent="0.3">
      <c r="H30" s="154" t="s">
        <v>117</v>
      </c>
      <c r="I30" s="155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65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65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28468000</v>
      </c>
    </row>
    <row r="11" spans="1:18" ht="16.5" customHeight="1" x14ac:dyDescent="0.25">
      <c r="A11" s="166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17080800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16486200</v>
      </c>
    </row>
    <row r="16" spans="1:18" ht="16.5" x14ac:dyDescent="0.25">
      <c r="A16" s="158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6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20755000</v>
      </c>
    </row>
    <row r="11" spans="1:18" ht="16.5" customHeight="1" x14ac:dyDescent="0.25">
      <c r="A11" s="16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12453000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12451000</v>
      </c>
    </row>
    <row r="16" spans="1:18" ht="16.5" x14ac:dyDescent="0.25">
      <c r="A16" s="158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dimension ref="A1:R40"/>
  <sheetViews>
    <sheetView zoomScale="85" zoomScaleNormal="85" workbookViewId="0">
      <selection activeCell="R17" sqref="R17:R1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29815000</v>
      </c>
    </row>
    <row r="11" spans="1:18" ht="16.5" customHeight="1" x14ac:dyDescent="0.25">
      <c r="A11" s="16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17889000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17728000</v>
      </c>
    </row>
    <row r="16" spans="1:18" ht="16.5" x14ac:dyDescent="0.25">
      <c r="A16" s="158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dimension ref="A1:R40"/>
  <sheetViews>
    <sheetView zoomScale="85" zoomScaleNormal="85" workbookViewId="0">
      <selection activeCell="I21" sqref="I21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29241000</v>
      </c>
    </row>
    <row r="11" spans="1:18" ht="16.5" customHeight="1" x14ac:dyDescent="0.25">
      <c r="A11" s="166"/>
      <c r="H11" s="146"/>
      <c r="I11" s="146"/>
      <c r="J11" s="146"/>
      <c r="K11" s="14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17544600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17384600</v>
      </c>
    </row>
    <row r="16" spans="1:18" ht="16.5" x14ac:dyDescent="0.25">
      <c r="A16" s="158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dimension ref="A1:R40"/>
  <sheetViews>
    <sheetView topLeftCell="A3" zoomScale="85" zoomScaleNormal="85" workbookViewId="0">
      <selection activeCell="L20" sqref="L20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H7*N$4</f>
        <v>870000</v>
      </c>
      <c r="J7" s="68">
        <v>850000</v>
      </c>
      <c r="K7" s="68">
        <f>I7-J7</f>
        <v>20000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 t="s">
        <v>154</v>
      </c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1250000</v>
      </c>
      <c r="I9" s="68">
        <f>H9*N$4</f>
        <v>750000</v>
      </c>
      <c r="J9" s="74">
        <v>750000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>H10*N$4</f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39465000</v>
      </c>
    </row>
    <row r="11" spans="1:18" ht="16.5" customHeight="1" x14ac:dyDescent="0.25">
      <c r="A11" s="166"/>
      <c r="H11" s="146"/>
      <c r="I11" s="146"/>
      <c r="J11" s="146"/>
      <c r="K11" s="14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23679000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2140000</v>
      </c>
      <c r="I13" s="68">
        <f>H13*N$4</f>
        <v>1284000</v>
      </c>
      <c r="J13" s="68">
        <v>1284000</v>
      </c>
      <c r="K13" s="68">
        <f t="shared" ref="K13:K28" si="2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2470000</v>
      </c>
      <c r="I15" s="68">
        <f t="shared" ref="I15:I29" si="4">H15*N$4</f>
        <v>1482000</v>
      </c>
      <c r="J15" s="74">
        <v>1482000</v>
      </c>
      <c r="K15" s="68">
        <f t="shared" si="2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23501000</v>
      </c>
    </row>
    <row r="16" spans="1:18" ht="16.5" x14ac:dyDescent="0.25">
      <c r="A16" s="158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2100000</v>
      </c>
      <c r="I16" s="68">
        <f t="shared" si="4"/>
        <v>1260000</v>
      </c>
      <c r="J16" s="74">
        <v>1260000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1300000</v>
      </c>
      <c r="I17" s="68">
        <f t="shared" si="4"/>
        <v>780000</v>
      </c>
      <c r="J17" s="68">
        <v>780000</v>
      </c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2350000</v>
      </c>
      <c r="I18" s="68">
        <f t="shared" si="4"/>
        <v>1410000</v>
      </c>
      <c r="J18" s="74">
        <v>1410000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2160000</v>
      </c>
      <c r="I20" s="68">
        <f t="shared" si="4"/>
        <v>1296000</v>
      </c>
      <c r="J20" s="68">
        <v>1296000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3070000</v>
      </c>
      <c r="I21" s="68">
        <f t="shared" si="4"/>
        <v>1842000</v>
      </c>
      <c r="J21" s="68">
        <v>1842000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2095000</v>
      </c>
      <c r="I22" s="68">
        <f t="shared" si="4"/>
        <v>1257000</v>
      </c>
      <c r="J22" s="74">
        <v>1257000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1180000</v>
      </c>
      <c r="I26" s="132">
        <f t="shared" si="4"/>
        <v>708000</v>
      </c>
      <c r="J26" s="132">
        <v>708000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9245000</v>
      </c>
      <c r="I27" s="132">
        <f t="shared" si="4"/>
        <v>5547000</v>
      </c>
      <c r="J27" s="133">
        <v>5547000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1975000</v>
      </c>
      <c r="I28" s="132">
        <f t="shared" si="4"/>
        <v>1185000</v>
      </c>
      <c r="J28" s="68">
        <v>1185000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1980000</v>
      </c>
      <c r="I29" s="132">
        <f t="shared" si="4"/>
        <v>1188000</v>
      </c>
      <c r="J29" s="133">
        <v>1190000</v>
      </c>
      <c r="K29" s="132">
        <v>2000</v>
      </c>
      <c r="L29" s="87" t="s">
        <v>69</v>
      </c>
      <c r="M29" s="76" t="s">
        <v>155</v>
      </c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FC31-E0C9-447A-B96C-300969C53F45}">
  <dimension ref="A1:R40"/>
  <sheetViews>
    <sheetView tabSelected="1" topLeftCell="A3" zoomScale="85" zoomScaleNormal="85" workbookViewId="0">
      <selection activeCell="L8" sqref="L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H7*N$4</f>
        <v>900000</v>
      </c>
      <c r="J7" s="68">
        <v>900000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>H8*N$4</f>
        <v>0</v>
      </c>
      <c r="J8" s="68"/>
      <c r="K8" s="68">
        <v>0</v>
      </c>
      <c r="L8" s="82" t="s">
        <v>72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 t="shared" si="1"/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27893000</v>
      </c>
    </row>
    <row r="11" spans="1:18" ht="16.5" customHeight="1" x14ac:dyDescent="0.25">
      <c r="A11" s="166"/>
      <c r="H11" s="146"/>
      <c r="I11" s="146"/>
      <c r="J11" s="146"/>
      <c r="K11" s="14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16735800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1800000</v>
      </c>
      <c r="I13" s="68">
        <f>H13*N$4</f>
        <v>1080000</v>
      </c>
      <c r="J13" s="68">
        <v>1080000</v>
      </c>
      <c r="K13" s="68">
        <f t="shared" ref="K13:K29" si="2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1205000</v>
      </c>
      <c r="I15" s="68">
        <f t="shared" ref="I15:I29" si="4">H15*N$4</f>
        <v>723000</v>
      </c>
      <c r="J15" s="74">
        <v>723000</v>
      </c>
      <c r="K15" s="68">
        <f t="shared" si="2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16735000</v>
      </c>
    </row>
    <row r="16" spans="1:18" ht="16.5" x14ac:dyDescent="0.25">
      <c r="A16" s="158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1600000</v>
      </c>
      <c r="I16" s="68">
        <f t="shared" si="4"/>
        <v>960000</v>
      </c>
      <c r="J16" s="74">
        <v>960000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1588000</v>
      </c>
      <c r="I17" s="68">
        <f t="shared" si="4"/>
        <v>952800</v>
      </c>
      <c r="J17" s="68">
        <v>952000</v>
      </c>
      <c r="K17" s="68">
        <f t="shared" si="2"/>
        <v>800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1600000</v>
      </c>
      <c r="I18" s="68">
        <f t="shared" si="4"/>
        <v>960000</v>
      </c>
      <c r="J18" s="74">
        <v>960000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1760000</v>
      </c>
      <c r="I19" s="68">
        <f t="shared" si="4"/>
        <v>1056000</v>
      </c>
      <c r="J19" s="74">
        <v>1056000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1650000</v>
      </c>
      <c r="I20" s="68">
        <f t="shared" si="4"/>
        <v>990000</v>
      </c>
      <c r="J20" s="68">
        <v>990000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3890000</v>
      </c>
      <c r="I21" s="68">
        <f t="shared" si="4"/>
        <v>2334000</v>
      </c>
      <c r="J21" s="68">
        <v>2334000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1750000</v>
      </c>
      <c r="I22" s="68">
        <f t="shared" si="4"/>
        <v>1050000</v>
      </c>
      <c r="J22" s="74">
        <v>1050000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1750000</v>
      </c>
      <c r="I26" s="132">
        <f t="shared" si="4"/>
        <v>1050000</v>
      </c>
      <c r="J26" s="132">
        <v>1050000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1740000</v>
      </c>
      <c r="I27" s="132">
        <f t="shared" si="4"/>
        <v>1044000</v>
      </c>
      <c r="J27" s="133">
        <v>1044000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1850000</v>
      </c>
      <c r="I28" s="132">
        <f t="shared" si="4"/>
        <v>1110000</v>
      </c>
      <c r="J28" s="68">
        <v>1110000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1860000</v>
      </c>
      <c r="I29" s="132">
        <f t="shared" si="4"/>
        <v>1116000</v>
      </c>
      <c r="J29" s="133">
        <v>1116000</v>
      </c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  <vt:lpstr>19-01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2026-01-20T10:32:14Z</dcterms:modified>
</cp:coreProperties>
</file>