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C829F9FD-FC89-4713-8254-14137CB93F25}" xr6:coauthVersionLast="47" xr6:coauthVersionMax="47" xr10:uidLastSave="{00000000-0000-0000-0000-000000000000}"/>
  <bookViews>
    <workbookView xWindow="-120" yWindow="-120" windowWidth="29040" windowHeight="15840" tabRatio="439" firstSheet="5" activeTab="15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" i="20" l="1"/>
  <c r="B30" i="20" s="1"/>
  <c r="B28" i="20"/>
  <c r="I27" i="20"/>
  <c r="K27" i="20" s="1"/>
  <c r="B27" i="20"/>
  <c r="I26" i="20"/>
  <c r="I24" i="20"/>
  <c r="I23" i="20"/>
  <c r="K23" i="20" s="1"/>
  <c r="I22" i="20"/>
  <c r="I21" i="20"/>
  <c r="K21" i="20" s="1"/>
  <c r="I20" i="20"/>
  <c r="K20" i="20" s="1"/>
  <c r="I19" i="20"/>
  <c r="K19" i="20" s="1"/>
  <c r="I18" i="20"/>
  <c r="K18" i="20" s="1"/>
  <c r="K17" i="20"/>
  <c r="I17" i="20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K11" i="20"/>
  <c r="I11" i="20"/>
  <c r="R10" i="20"/>
  <c r="I10" i="20"/>
  <c r="K10" i="20" s="1"/>
  <c r="B9" i="20"/>
  <c r="B10" i="20" s="1"/>
  <c r="B11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0" l="1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K11" i="18" l="1"/>
  <c r="K26" i="18"/>
  <c r="I15" i="18" l="1"/>
  <c r="J28" i="18"/>
  <c r="I26" i="18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B17" i="18"/>
  <c r="B18" i="18" s="1"/>
  <c r="B19" i="18" s="1"/>
  <c r="B20" i="18" s="1"/>
  <c r="B21" i="18" s="1"/>
  <c r="B22" i="18" s="1"/>
  <c r="B23" i="18" s="1"/>
  <c r="B24" i="18" s="1"/>
  <c r="B25" i="18" s="1"/>
  <c r="B26" i="18" s="1"/>
  <c r="I16" i="18"/>
  <c r="K16" i="18" s="1"/>
  <c r="B16" i="18"/>
  <c r="I11" i="18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K21" i="17"/>
  <c r="I9" i="17"/>
  <c r="K9" i="17" s="1"/>
  <c r="B9" i="17"/>
  <c r="B10" i="17" s="1"/>
  <c r="B11" i="17" s="1"/>
  <c r="J30" i="17"/>
  <c r="J28" i="17"/>
  <c r="I24" i="17"/>
  <c r="K24" i="17" s="1"/>
  <c r="I23" i="17"/>
  <c r="K23" i="17" s="1"/>
  <c r="I22" i="17"/>
  <c r="K22" i="17" s="1"/>
  <c r="I21" i="17"/>
  <c r="I20" i="17"/>
  <c r="K20" i="17" s="1"/>
  <c r="I19" i="17"/>
  <c r="K19" i="17" s="1"/>
  <c r="I18" i="17"/>
  <c r="K18" i="17" s="1"/>
  <c r="I17" i="17"/>
  <c r="K17" i="17" s="1"/>
  <c r="B17" i="17"/>
  <c r="B18" i="17" s="1"/>
  <c r="B19" i="17" s="1"/>
  <c r="B20" i="17" s="1"/>
  <c r="B21" i="17" s="1"/>
  <c r="B22" i="17" s="1"/>
  <c r="B23" i="17" s="1"/>
  <c r="B24" i="17" s="1"/>
  <c r="B25" i="17" s="1"/>
  <c r="B26" i="17" s="1"/>
  <c r="I16" i="17"/>
  <c r="K16" i="17" s="1"/>
  <c r="B16" i="17"/>
  <c r="I15" i="17"/>
  <c r="K15" i="17" s="1"/>
  <c r="I11" i="17"/>
  <c r="K11" i="17" s="1"/>
  <c r="I10" i="17"/>
  <c r="K10" i="17" s="1"/>
  <c r="I8" i="17"/>
  <c r="K8" i="17" s="1"/>
  <c r="B8" i="17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1" i="16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<sst xmlns="http://schemas.openxmlformats.org/spreadsheetml/2006/main" count="1963" uniqueCount="146">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</sst>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5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D18" sqref="D18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55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42" t="s">
        <v>29</v>
      </c>
      <c r="I25" s="142"/>
      <c r="J25" s="9">
        <f>SUM(H7:H1000)</f>
        <v>24820000</v>
      </c>
    </row>
    <row r="26" spans="2:13" ht="22.5" x14ac:dyDescent="0.3">
      <c r="H26" s="142" t="s">
        <v>30</v>
      </c>
      <c r="I26" s="142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77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29135000</v>
      </c>
    </row>
    <row r="27" spans="1:13" ht="22.5" x14ac:dyDescent="0.3">
      <c r="H27" s="142" t="s">
        <v>30</v>
      </c>
      <c r="I27" s="142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85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32170000</v>
      </c>
    </row>
    <row r="27" spans="1:13" ht="22.5" x14ac:dyDescent="0.3">
      <c r="H27" s="142" t="s">
        <v>30</v>
      </c>
      <c r="I27" s="142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10" sqref="I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87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30806000</v>
      </c>
    </row>
    <row r="27" spans="1:13" ht="22.5" x14ac:dyDescent="0.3">
      <c r="H27" s="142" t="s">
        <v>30</v>
      </c>
      <c r="I27" s="142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95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30762000</v>
      </c>
    </row>
    <row r="27" spans="1:13" ht="22.5" x14ac:dyDescent="0.3">
      <c r="H27" s="142" t="s">
        <v>30</v>
      </c>
      <c r="I27" s="142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H10" sqref="H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97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31566000</v>
      </c>
    </row>
    <row r="27" spans="1:13" ht="22.5" x14ac:dyDescent="0.3">
      <c r="H27" s="142" t="s">
        <v>30</v>
      </c>
      <c r="I27" s="142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H11" sqref="H1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3" ht="30.75" x14ac:dyDescent="0.25">
      <c r="B3" s="140" t="s">
        <v>99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31500000</v>
      </c>
    </row>
    <row r="27" spans="1:13" ht="22.5" x14ac:dyDescent="0.3">
      <c r="H27" s="142" t="s">
        <v>30</v>
      </c>
      <c r="I27" s="142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C10" sqref="C1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6" ht="30.75" x14ac:dyDescent="0.25">
      <c r="B3" s="140" t="s">
        <v>100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32130000</v>
      </c>
    </row>
    <row r="27" spans="1:13" ht="22.5" x14ac:dyDescent="0.3">
      <c r="H27" s="142" t="s">
        <v>30</v>
      </c>
      <c r="I27" s="142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D23" sqref="D23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6" ht="30.75" x14ac:dyDescent="0.25">
      <c r="B3" s="140" t="s">
        <v>107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28500000</v>
      </c>
    </row>
    <row r="27" spans="1:13" ht="22.5" x14ac:dyDescent="0.3">
      <c r="H27" s="142" t="s">
        <v>30</v>
      </c>
      <c r="I27" s="142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</row>
    <row r="3" spans="2:16" ht="30.75" x14ac:dyDescent="0.25">
      <c r="B3" s="140" t="s">
        <v>109</v>
      </c>
      <c r="C3" s="141"/>
      <c r="D3" s="141"/>
      <c r="E3" s="141"/>
      <c r="F3" s="141"/>
      <c r="G3" s="141"/>
      <c r="H3" s="141"/>
      <c r="I3" s="141"/>
      <c r="J3" s="141"/>
      <c r="K3" s="141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42" t="s">
        <v>29</v>
      </c>
      <c r="I26" s="142"/>
      <c r="J26" s="9">
        <f>SUM(H7:H1001)</f>
        <v>28869000</v>
      </c>
    </row>
    <row r="27" spans="1:13" ht="22.5" x14ac:dyDescent="0.3">
      <c r="H27" s="142" t="s">
        <v>30</v>
      </c>
      <c r="I27" s="142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I8" sqref="I8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39" t="s">
        <v>31</v>
      </c>
      <c r="C2" s="139"/>
      <c r="D2" s="139"/>
      <c r="E2" s="139"/>
      <c r="F2" s="139"/>
      <c r="G2" s="139"/>
      <c r="H2" s="139"/>
      <c r="I2" s="139"/>
      <c r="J2" s="139"/>
      <c r="K2" s="139"/>
      <c r="L2" s="1"/>
      <c r="M2" s="1"/>
      <c r="N2" s="1"/>
      <c r="O2" s="1"/>
      <c r="P2" s="1"/>
    </row>
    <row r="3" spans="1:16" ht="30.75" x14ac:dyDescent="0.25">
      <c r="A3" s="1"/>
      <c r="B3" s="140" t="s">
        <v>109</v>
      </c>
      <c r="C3" s="141"/>
      <c r="D3" s="141"/>
      <c r="E3" s="141"/>
      <c r="F3" s="141"/>
      <c r="G3" s="141"/>
      <c r="H3" s="141"/>
      <c r="I3" s="141"/>
      <c r="J3" s="141"/>
      <c r="K3" s="141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45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46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46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46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46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46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46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47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47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47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47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47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47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47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47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47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47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47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47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43" t="s">
        <v>29</v>
      </c>
      <c r="I28" s="144"/>
      <c r="J28" s="9">
        <f>SUM(H7:H1001)</f>
        <v>29569000</v>
      </c>
    </row>
    <row r="29" spans="1:16" ht="22.5" x14ac:dyDescent="0.3">
      <c r="H29" s="143" t="s">
        <v>30</v>
      </c>
      <c r="I29" s="144"/>
      <c r="J29" s="9">
        <f>SUM(I7:I1001)</f>
        <v>17731000</v>
      </c>
    </row>
    <row r="30" spans="1:16" ht="22.5" x14ac:dyDescent="0.3">
      <c r="H30" s="143" t="s">
        <v>117</v>
      </c>
      <c r="I30" s="144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K26" sqref="K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39" t="s">
        <v>31</v>
      </c>
      <c r="C3" s="139"/>
      <c r="D3" s="139"/>
      <c r="E3" s="139"/>
      <c r="F3" s="139"/>
      <c r="G3" s="139"/>
      <c r="H3" s="139"/>
      <c r="I3" s="139"/>
      <c r="J3" s="139"/>
      <c r="K3" s="139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45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46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46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46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46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46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46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47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47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47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47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47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47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47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47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47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47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47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47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43" t="s">
        <v>29</v>
      </c>
      <c r="I28" s="144"/>
      <c r="J28" s="9">
        <f>SUM(H7:H1001)</f>
        <v>29980000</v>
      </c>
    </row>
    <row r="29" spans="1:16" ht="22.5" x14ac:dyDescent="0.3">
      <c r="H29" s="143" t="s">
        <v>30</v>
      </c>
      <c r="I29" s="144"/>
      <c r="J29" s="9">
        <f>SUM(I7:I1001)</f>
        <v>17988000</v>
      </c>
    </row>
    <row r="30" spans="1:16" ht="22.5" x14ac:dyDescent="0.3">
      <c r="H30" s="143" t="s">
        <v>117</v>
      </c>
      <c r="I30" s="144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topLeftCell="A17" zoomScaleNormal="100" workbookViewId="0">
      <selection activeCell="J30" sqref="J30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39" t="s">
        <v>31</v>
      </c>
      <c r="C3" s="139"/>
      <c r="D3" s="139"/>
      <c r="E3" s="139"/>
      <c r="F3" s="139"/>
      <c r="G3" s="139"/>
      <c r="H3" s="139"/>
      <c r="I3" s="139"/>
      <c r="J3" s="139"/>
      <c r="K3" s="139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45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46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46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46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46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46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46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47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47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47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47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47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47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47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47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47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47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47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47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43" t="s">
        <v>29</v>
      </c>
      <c r="I28" s="144"/>
      <c r="J28" s="9">
        <f>SUM(H7:H1001)</f>
        <v>31650000</v>
      </c>
    </row>
    <row r="29" spans="1:16" ht="22.5" x14ac:dyDescent="0.3">
      <c r="H29" s="143" t="s">
        <v>30</v>
      </c>
      <c r="I29" s="144"/>
      <c r="J29" s="9">
        <f>SUM(I7:I1001)</f>
        <v>18990000</v>
      </c>
    </row>
    <row r="30" spans="1:16" ht="22.5" x14ac:dyDescent="0.3">
      <c r="H30" s="143" t="s">
        <v>117</v>
      </c>
      <c r="I30" s="144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J11" activeCellId="1" sqref="H11 J11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39" t="s">
        <v>31</v>
      </c>
      <c r="C3" s="139"/>
      <c r="D3" s="139"/>
      <c r="E3" s="139"/>
      <c r="F3" s="139"/>
      <c r="G3" s="139"/>
      <c r="H3" s="139"/>
      <c r="I3" s="139"/>
      <c r="J3" s="139"/>
      <c r="K3" s="139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45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46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46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46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46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46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46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47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47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47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47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47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47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47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47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47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47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47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47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43" t="s">
        <v>29</v>
      </c>
      <c r="I28" s="144"/>
      <c r="J28" s="9">
        <f>SUM(H7:H1001)</f>
        <v>29362000</v>
      </c>
    </row>
    <row r="29" spans="1:16" ht="22.5" x14ac:dyDescent="0.3">
      <c r="H29" s="143" t="s">
        <v>30</v>
      </c>
      <c r="I29" s="144"/>
      <c r="J29" s="9">
        <f>SUM(I7:I1001)</f>
        <v>17617200</v>
      </c>
    </row>
    <row r="30" spans="1:16" ht="22.5" x14ac:dyDescent="0.3">
      <c r="H30" s="143" t="s">
        <v>117</v>
      </c>
      <c r="I30" s="144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topLeftCell="A2" zoomScale="85" zoomScaleNormal="85" workbookViewId="0">
      <selection activeCell="K10" sqref="K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39" t="s">
        <v>31</v>
      </c>
      <c r="C3" s="139"/>
      <c r="D3" s="139"/>
      <c r="E3" s="139"/>
      <c r="F3" s="139"/>
      <c r="G3" s="139"/>
      <c r="H3" s="139"/>
      <c r="I3" s="139"/>
      <c r="J3" s="139"/>
      <c r="K3" s="139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53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54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54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57"/>
      <c r="N9" s="79"/>
      <c r="O9" s="1"/>
      <c r="P9" s="1"/>
    </row>
    <row r="10" spans="1:18" ht="16.5" customHeight="1" x14ac:dyDescent="0.25">
      <c r="A10" s="154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56" t="s">
        <v>29</v>
      </c>
      <c r="Q10" s="156"/>
      <c r="R10" s="151">
        <f>SUM(H7:H999)</f>
        <v>28468000</v>
      </c>
    </row>
    <row r="11" spans="1:18" ht="16.5" customHeight="1" x14ac:dyDescent="0.25">
      <c r="A11" s="155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56"/>
      <c r="Q11" s="156"/>
      <c r="R11" s="151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0" t="s">
        <v>143</v>
      </c>
      <c r="Q12" s="150"/>
      <c r="R12" s="151">
        <f>SUM(I7:I999)</f>
        <v>17080800</v>
      </c>
    </row>
    <row r="13" spans="1:18" ht="22.5" customHeight="1" x14ac:dyDescent="0.25">
      <c r="A13" s="147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50"/>
      <c r="Q13" s="150"/>
      <c r="R13" s="151"/>
    </row>
    <row r="14" spans="1:18" ht="16.5" customHeight="1" x14ac:dyDescent="0.25">
      <c r="A14" s="147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50"/>
      <c r="Q14" s="150"/>
      <c r="R14" s="151"/>
    </row>
    <row r="15" spans="1:18" ht="22.5" x14ac:dyDescent="0.3">
      <c r="A15" s="147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52" t="s">
        <v>117</v>
      </c>
      <c r="Q15" s="152"/>
      <c r="R15" s="130">
        <f>SUM(J7:J98)</f>
        <v>15460200</v>
      </c>
    </row>
    <row r="16" spans="1:18" ht="16.5" x14ac:dyDescent="0.25">
      <c r="A16" s="147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47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/>
      <c r="K17" s="68">
        <f t="shared" si="1"/>
        <v>1026000</v>
      </c>
      <c r="L17" s="82" t="s">
        <v>72</v>
      </c>
      <c r="M17" s="76"/>
      <c r="N17" s="76"/>
      <c r="O17" s="1"/>
      <c r="P17" s="1"/>
    </row>
    <row r="18" spans="1:16" ht="16.5" x14ac:dyDescent="0.25">
      <c r="A18" s="147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47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47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47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47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47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47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48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49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49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49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49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tabSelected="1" topLeftCell="A2" zoomScale="85" zoomScaleNormal="85" workbookViewId="0">
      <selection activeCell="H17" sqref="H17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39" t="s">
        <v>31</v>
      </c>
      <c r="C3" s="139"/>
      <c r="D3" s="139"/>
      <c r="E3" s="139"/>
      <c r="F3" s="139"/>
      <c r="G3" s="139"/>
      <c r="H3" s="139"/>
      <c r="I3" s="139"/>
      <c r="J3" s="139"/>
      <c r="K3" s="139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53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82" t="s">
        <v>72</v>
      </c>
      <c r="M7" s="76"/>
      <c r="N7" s="76"/>
      <c r="O7" s="1"/>
      <c r="P7" s="88" t="s">
        <v>26</v>
      </c>
    </row>
    <row r="8" spans="1:18" ht="16.5" customHeight="1" x14ac:dyDescent="0.25">
      <c r="A8" s="154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/>
      <c r="J8" s="74"/>
      <c r="K8" s="68"/>
      <c r="L8" s="82" t="s">
        <v>72</v>
      </c>
      <c r="M8" s="76"/>
      <c r="N8" s="76"/>
      <c r="O8" s="1"/>
      <c r="P8" s="82" t="s">
        <v>72</v>
      </c>
    </row>
    <row r="9" spans="1:18" ht="16.5" customHeight="1" x14ac:dyDescent="0.25">
      <c r="A9" s="154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15"/>
      <c r="N9" s="79"/>
      <c r="O9" s="1"/>
      <c r="P9" s="1"/>
    </row>
    <row r="10" spans="1:18" ht="16.5" customHeight="1" x14ac:dyDescent="0.25">
      <c r="A10" s="154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/>
      <c r="I10" s="68">
        <f t="shared" ref="I8:I11" si="0">H10*N$4</f>
        <v>0</v>
      </c>
      <c r="J10" s="74"/>
      <c r="K10" s="68">
        <f>I10-J10</f>
        <v>0</v>
      </c>
      <c r="L10" s="82" t="s">
        <v>72</v>
      </c>
      <c r="M10" s="76"/>
      <c r="N10" s="76"/>
      <c r="O10" s="1"/>
      <c r="P10" s="156" t="s">
        <v>29</v>
      </c>
      <c r="Q10" s="156"/>
      <c r="R10" s="151">
        <f>SUM(H7:H999)</f>
        <v>0</v>
      </c>
    </row>
    <row r="11" spans="1:18" ht="16.5" customHeight="1" x14ac:dyDescent="0.25">
      <c r="A11" s="155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/>
      <c r="I11" s="68">
        <f t="shared" si="0"/>
        <v>0</v>
      </c>
      <c r="J11" s="74"/>
      <c r="K11" s="68">
        <f>I11-J11</f>
        <v>0</v>
      </c>
      <c r="L11" s="82" t="s">
        <v>72</v>
      </c>
      <c r="M11" s="79"/>
      <c r="N11" s="79"/>
      <c r="O11" s="1"/>
      <c r="P11" s="156"/>
      <c r="Q11" s="156"/>
      <c r="R11" s="151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50" t="s">
        <v>143</v>
      </c>
      <c r="Q12" s="150"/>
      <c r="R12" s="151">
        <f>SUM(I7:I999)</f>
        <v>0</v>
      </c>
    </row>
    <row r="13" spans="1:18" ht="22.5" customHeight="1" x14ac:dyDescent="0.25">
      <c r="A13" s="147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7" si="1">I13-J13</f>
        <v>0</v>
      </c>
      <c r="L13" s="82" t="s">
        <v>72</v>
      </c>
      <c r="M13" s="76"/>
      <c r="N13" s="76"/>
      <c r="O13" s="1"/>
      <c r="P13" s="150"/>
      <c r="Q13" s="150"/>
      <c r="R13" s="151"/>
    </row>
    <row r="14" spans="1:18" ht="16.5" customHeight="1" x14ac:dyDescent="0.25">
      <c r="A14" s="147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/>
      <c r="I14" s="68">
        <f t="shared" ref="I14:I27" si="2">H14*N$4</f>
        <v>0</v>
      </c>
      <c r="J14" s="68"/>
      <c r="K14" s="68">
        <f t="shared" si="1"/>
        <v>0</v>
      </c>
      <c r="L14" s="82" t="s">
        <v>72</v>
      </c>
      <c r="M14" s="76"/>
      <c r="N14" s="76"/>
      <c r="O14" s="1"/>
      <c r="P14" s="150"/>
      <c r="Q14" s="150"/>
      <c r="R14" s="151"/>
    </row>
    <row r="15" spans="1:18" ht="22.5" x14ac:dyDescent="0.3">
      <c r="A15" s="147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si="2"/>
        <v>0</v>
      </c>
      <c r="J15" s="74"/>
      <c r="K15" s="68">
        <f t="shared" si="1"/>
        <v>0</v>
      </c>
      <c r="L15" s="82" t="s">
        <v>72</v>
      </c>
      <c r="M15" s="79"/>
      <c r="N15" s="79"/>
      <c r="O15" s="1"/>
      <c r="P15" s="152" t="s">
        <v>117</v>
      </c>
      <c r="Q15" s="152"/>
      <c r="R15" s="130">
        <f>SUM(J7:J98)</f>
        <v>0</v>
      </c>
    </row>
    <row r="16" spans="1:18" ht="16.5" x14ac:dyDescent="0.25">
      <c r="A16" s="147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/>
      <c r="I16" s="68">
        <f t="shared" si="2"/>
        <v>0</v>
      </c>
      <c r="J16" s="74"/>
      <c r="K16" s="68">
        <f t="shared" si="1"/>
        <v>0</v>
      </c>
      <c r="L16" s="82" t="s">
        <v>72</v>
      </c>
      <c r="M16" s="76"/>
      <c r="N16" s="85"/>
      <c r="O16" s="1"/>
      <c r="P16" s="1"/>
    </row>
    <row r="17" spans="1:16" ht="16.5" x14ac:dyDescent="0.25">
      <c r="A17" s="147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/>
      <c r="I17" s="68">
        <f t="shared" si="2"/>
        <v>0</v>
      </c>
      <c r="J17" s="74"/>
      <c r="K17" s="68">
        <f t="shared" si="1"/>
        <v>0</v>
      </c>
      <c r="L17" s="82" t="s">
        <v>72</v>
      </c>
      <c r="M17" s="76"/>
      <c r="N17" s="76"/>
      <c r="O17" s="1"/>
      <c r="P17" s="1"/>
    </row>
    <row r="18" spans="1:16" ht="16.5" x14ac:dyDescent="0.25">
      <c r="A18" s="147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/>
      <c r="I18" s="68">
        <f t="shared" si="2"/>
        <v>0</v>
      </c>
      <c r="J18" s="68"/>
      <c r="K18" s="68">
        <f t="shared" si="1"/>
        <v>0</v>
      </c>
      <c r="L18" s="82" t="s">
        <v>72</v>
      </c>
      <c r="M18" s="76"/>
      <c r="N18" s="85"/>
      <c r="O18" s="1"/>
      <c r="P18" s="1"/>
    </row>
    <row r="19" spans="1:16" ht="16.5" x14ac:dyDescent="0.25">
      <c r="A19" s="147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47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/>
      <c r="I20" s="68">
        <f t="shared" si="2"/>
        <v>0</v>
      </c>
      <c r="J20" s="74"/>
      <c r="K20" s="68">
        <f t="shared" si="1"/>
        <v>0</v>
      </c>
      <c r="L20" s="82" t="s">
        <v>72</v>
      </c>
      <c r="M20" s="80"/>
      <c r="N20" s="76"/>
      <c r="O20" s="1"/>
      <c r="P20" s="1"/>
    </row>
    <row r="21" spans="1:16" ht="16.5" x14ac:dyDescent="0.25">
      <c r="A21" s="147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/>
      <c r="I21" s="68">
        <f t="shared" si="2"/>
        <v>0</v>
      </c>
      <c r="J21" s="74"/>
      <c r="K21" s="68">
        <f t="shared" si="1"/>
        <v>0</v>
      </c>
      <c r="L21" s="82" t="s">
        <v>72</v>
      </c>
      <c r="M21" s="76"/>
      <c r="N21" s="76"/>
      <c r="O21" s="1"/>
      <c r="P21" s="1"/>
    </row>
    <row r="22" spans="1:16" ht="16.5" x14ac:dyDescent="0.25">
      <c r="A22" s="147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/>
      <c r="I22" s="68">
        <f t="shared" si="2"/>
        <v>0</v>
      </c>
      <c r="J22" s="68"/>
      <c r="K22" s="68">
        <v>0</v>
      </c>
      <c r="L22" s="82" t="s">
        <v>72</v>
      </c>
      <c r="M22" s="76"/>
      <c r="N22" s="76"/>
      <c r="O22" s="1"/>
      <c r="P22" s="1"/>
    </row>
    <row r="23" spans="1:16" ht="16.5" x14ac:dyDescent="0.25">
      <c r="A23" s="147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/>
      <c r="I23" s="68">
        <f t="shared" si="2"/>
        <v>0</v>
      </c>
      <c r="J23" s="68"/>
      <c r="K23" s="68">
        <f t="shared" si="1"/>
        <v>0</v>
      </c>
      <c r="L23" s="82" t="s">
        <v>72</v>
      </c>
      <c r="M23" s="79"/>
      <c r="N23" s="79"/>
      <c r="O23" s="1"/>
      <c r="P23" s="1"/>
    </row>
    <row r="24" spans="1:16" ht="16.5" x14ac:dyDescent="0.25">
      <c r="A24" s="147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/>
      <c r="I24" s="68">
        <f t="shared" si="2"/>
        <v>0</v>
      </c>
      <c r="J24" s="74"/>
      <c r="K24" s="68">
        <v>0</v>
      </c>
      <c r="L24" s="82" t="s">
        <v>72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48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2"/>
        <v>0</v>
      </c>
      <c r="J26" s="132"/>
      <c r="K26" s="132">
        <v>0</v>
      </c>
      <c r="L26" s="82" t="s">
        <v>72</v>
      </c>
      <c r="M26" s="136"/>
      <c r="N26" s="76"/>
      <c r="O26" s="1"/>
      <c r="P26" s="1"/>
    </row>
    <row r="27" spans="1:16" ht="46.5" customHeight="1" x14ac:dyDescent="0.25">
      <c r="A27" s="149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2"/>
        <v>0</v>
      </c>
      <c r="J27" s="133"/>
      <c r="K27" s="132">
        <f t="shared" si="1"/>
        <v>0</v>
      </c>
      <c r="L27" s="82" t="s">
        <v>72</v>
      </c>
      <c r="M27" s="136"/>
      <c r="N27" s="76"/>
      <c r="O27" s="1"/>
      <c r="P27" s="1"/>
    </row>
    <row r="28" spans="1:16" ht="16.5" customHeight="1" x14ac:dyDescent="0.25">
      <c r="A28" s="149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49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49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2026-01-15T12:54:04Z</dcterms:modified>
</cp:coreProperties>
</file>