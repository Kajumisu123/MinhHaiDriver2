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43C7DD1B-11F1-475E-ABAC-95A24B527547}" xr6:coauthVersionLast="47" xr6:coauthVersionMax="47" xr10:uidLastSave="{00000000-0000-0000-0000-000000000000}"/>
  <bookViews>
    <workbookView xWindow="-120" yWindow="-120" windowWidth="29040" windowHeight="15840" tabRatio="579" firstSheet="2" activeTab="17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22" l="1"/>
  <c r="K27" i="22"/>
  <c r="I29" i="22"/>
  <c r="K29" i="22" s="1"/>
  <c r="I28" i="22"/>
  <c r="K28" i="22" s="1"/>
  <c r="I27" i="22"/>
  <c r="B27" i="22"/>
  <c r="B28" i="22" s="1"/>
  <c r="B29" i="22" s="1"/>
  <c r="B30" i="22" s="1"/>
  <c r="I26" i="22"/>
  <c r="I22" i="22"/>
  <c r="K22" i="22" s="1"/>
  <c r="K21" i="22"/>
  <c r="I21" i="22"/>
  <c r="I20" i="22"/>
  <c r="K20" i="22" s="1"/>
  <c r="K19" i="22"/>
  <c r="I19" i="22"/>
  <c r="I18" i="22"/>
  <c r="K18" i="22" s="1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<sst xmlns="http://schemas.openxmlformats.org/spreadsheetml/2006/main" count="2162" uniqueCount="152">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</sst>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4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55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49" t="s">
        <v>29</v>
      </c>
      <c r="I25" s="149"/>
      <c r="J25" s="9">
        <f>SUM(H7:H1000)</f>
        <v>24820000</v>
      </c>
    </row>
    <row r="26" spans="2:13" ht="22.5" x14ac:dyDescent="0.3">
      <c r="H26" s="149" t="s">
        <v>30</v>
      </c>
      <c r="I26" s="14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77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29135000</v>
      </c>
    </row>
    <row r="27" spans="1:13" ht="22.5" x14ac:dyDescent="0.3">
      <c r="H27" s="149" t="s">
        <v>30</v>
      </c>
      <c r="I27" s="14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32170000</v>
      </c>
    </row>
    <row r="27" spans="1:13" ht="22.5" x14ac:dyDescent="0.3">
      <c r="H27" s="149" t="s">
        <v>30</v>
      </c>
      <c r="I27" s="14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30806000</v>
      </c>
    </row>
    <row r="27" spans="1:13" ht="22.5" x14ac:dyDescent="0.3">
      <c r="H27" s="149" t="s">
        <v>30</v>
      </c>
      <c r="I27" s="14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30762000</v>
      </c>
    </row>
    <row r="27" spans="1:13" ht="22.5" x14ac:dyDescent="0.3">
      <c r="H27" s="149" t="s">
        <v>30</v>
      </c>
      <c r="I27" s="14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31566000</v>
      </c>
    </row>
    <row r="27" spans="1:13" ht="22.5" x14ac:dyDescent="0.3">
      <c r="H27" s="149" t="s">
        <v>30</v>
      </c>
      <c r="I27" s="14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31500000</v>
      </c>
    </row>
    <row r="27" spans="1:13" ht="22.5" x14ac:dyDescent="0.3">
      <c r="H27" s="149" t="s">
        <v>30</v>
      </c>
      <c r="I27" s="14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32130000</v>
      </c>
    </row>
    <row r="27" spans="1:13" ht="22.5" x14ac:dyDescent="0.3">
      <c r="H27" s="149" t="s">
        <v>30</v>
      </c>
      <c r="I27" s="14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28500000</v>
      </c>
    </row>
    <row r="27" spans="1:13" ht="22.5" x14ac:dyDescent="0.3">
      <c r="H27" s="149" t="s">
        <v>30</v>
      </c>
      <c r="I27" s="14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28869000</v>
      </c>
    </row>
    <row r="27" spans="1:13" ht="22.5" x14ac:dyDescent="0.3">
      <c r="H27" s="149" t="s">
        <v>30</v>
      </c>
      <c r="I27" s="14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  <c r="L2" s="1"/>
      <c r="M2" s="1"/>
      <c r="N2" s="1"/>
      <c r="O2" s="1"/>
      <c r="P2" s="1"/>
    </row>
    <row r="3" spans="1:16" ht="30.75" x14ac:dyDescent="0.25">
      <c r="A3" s="1"/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29569000</v>
      </c>
    </row>
    <row r="29" spans="1:16" ht="22.5" x14ac:dyDescent="0.3">
      <c r="H29" s="150" t="s">
        <v>30</v>
      </c>
      <c r="I29" s="151"/>
      <c r="J29" s="9">
        <f>SUM(I7:I1001)</f>
        <v>17731000</v>
      </c>
    </row>
    <row r="30" spans="1:16" ht="22.5" x14ac:dyDescent="0.3">
      <c r="H30" s="150" t="s">
        <v>117</v>
      </c>
      <c r="I30" s="15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29980000</v>
      </c>
    </row>
    <row r="29" spans="1:16" ht="22.5" x14ac:dyDescent="0.3">
      <c r="H29" s="150" t="s">
        <v>30</v>
      </c>
      <c r="I29" s="151"/>
      <c r="J29" s="9">
        <f>SUM(I7:I1001)</f>
        <v>17988000</v>
      </c>
    </row>
    <row r="30" spans="1:16" ht="22.5" x14ac:dyDescent="0.3">
      <c r="H30" s="150" t="s">
        <v>117</v>
      </c>
      <c r="I30" s="15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31650000</v>
      </c>
    </row>
    <row r="29" spans="1:16" ht="22.5" x14ac:dyDescent="0.3">
      <c r="H29" s="150" t="s">
        <v>30</v>
      </c>
      <c r="I29" s="151"/>
      <c r="J29" s="9">
        <f>SUM(I7:I1001)</f>
        <v>18990000</v>
      </c>
    </row>
    <row r="30" spans="1:16" ht="22.5" x14ac:dyDescent="0.3">
      <c r="H30" s="150" t="s">
        <v>117</v>
      </c>
      <c r="I30" s="15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29362000</v>
      </c>
    </row>
    <row r="29" spans="1:16" ht="22.5" x14ac:dyDescent="0.3">
      <c r="H29" s="150" t="s">
        <v>30</v>
      </c>
      <c r="I29" s="151"/>
      <c r="J29" s="9">
        <f>SUM(I7:I1001)</f>
        <v>17617200</v>
      </c>
    </row>
    <row r="30" spans="1:16" ht="22.5" x14ac:dyDescent="0.3">
      <c r="H30" s="150" t="s">
        <v>117</v>
      </c>
      <c r="I30" s="15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28468000</v>
      </c>
    </row>
    <row r="11" spans="1:18" ht="16.5" customHeight="1" x14ac:dyDescent="0.25">
      <c r="A11" s="16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17080800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16486200</v>
      </c>
    </row>
    <row r="16" spans="1:18" ht="16.5" x14ac:dyDescent="0.25">
      <c r="A16" s="15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20755000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12453000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12451000</v>
      </c>
    </row>
    <row r="16" spans="1:18" ht="16.5" x14ac:dyDescent="0.25">
      <c r="A16" s="15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29815000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17889000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17728000</v>
      </c>
    </row>
    <row r="16" spans="1:18" ht="16.5" x14ac:dyDescent="0.25">
      <c r="A16" s="15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5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tabSelected="1" zoomScale="85" zoomScaleNormal="85" workbookViewId="0">
      <selection activeCell="L18" sqref="L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69"/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>I9-J9</f>
        <v>0</v>
      </c>
      <c r="L9" s="69"/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>I10-J10</f>
        <v>0</v>
      </c>
      <c r="L10" s="69"/>
      <c r="M10" s="76"/>
      <c r="N10" s="76"/>
      <c r="O10" s="1"/>
      <c r="P10" s="163" t="s">
        <v>29</v>
      </c>
      <c r="Q10" s="163"/>
      <c r="R10" s="158">
        <f>SUM(H7:H999)</f>
        <v>5135000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3081000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1">I13-J13</f>
        <v>0</v>
      </c>
      <c r="L13" s="87"/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ref="I15:I29" si="3">H15*N$4</f>
        <v>0</v>
      </c>
      <c r="J15" s="74"/>
      <c r="K15" s="68">
        <f t="shared" si="1"/>
        <v>0</v>
      </c>
      <c r="L15" s="87"/>
      <c r="M15" s="79"/>
      <c r="N15" s="79"/>
      <c r="O15" s="1"/>
      <c r="P15" s="159" t="s">
        <v>117</v>
      </c>
      <c r="Q15" s="159"/>
      <c r="R15" s="130">
        <f>SUM(J7:J98)</f>
        <v>2034000</v>
      </c>
    </row>
    <row r="16" spans="1:18" ht="16.5" x14ac:dyDescent="0.25">
      <c r="A16" s="15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3"/>
        <v>0</v>
      </c>
      <c r="J16" s="74"/>
      <c r="K16" s="68">
        <f t="shared" si="1"/>
        <v>0</v>
      </c>
      <c r="L16" s="87"/>
      <c r="M16" s="76"/>
      <c r="N16" s="85"/>
      <c r="O16" s="1"/>
      <c r="P16" s="1"/>
    </row>
    <row r="17" spans="1:16" ht="16.5" x14ac:dyDescent="0.25">
      <c r="A17" s="15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3"/>
        <v>0</v>
      </c>
      <c r="J17" s="68"/>
      <c r="K17" s="68">
        <f t="shared" si="1"/>
        <v>0</v>
      </c>
      <c r="L17" s="87"/>
      <c r="M17" s="76"/>
      <c r="N17" s="76"/>
      <c r="O17" s="1"/>
      <c r="P17" s="1"/>
    </row>
    <row r="18" spans="1:16" ht="16.5" x14ac:dyDescent="0.25">
      <c r="A18" s="15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3"/>
        <v>0</v>
      </c>
      <c r="J19" s="74"/>
      <c r="K19" s="68">
        <f t="shared" si="1"/>
        <v>0</v>
      </c>
      <c r="L19" s="87"/>
      <c r="M19" s="76"/>
      <c r="N19" s="76"/>
      <c r="O19" s="1"/>
      <c r="P19" s="1"/>
    </row>
    <row r="20" spans="1:16" ht="16.5" x14ac:dyDescent="0.25">
      <c r="A20" s="15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3"/>
        <v>0</v>
      </c>
      <c r="J20" s="68"/>
      <c r="K20" s="68">
        <f t="shared" si="1"/>
        <v>0</v>
      </c>
      <c r="L20" s="87"/>
      <c r="M20" s="76"/>
      <c r="N20" s="76"/>
      <c r="O20" s="1"/>
      <c r="P20" s="1"/>
    </row>
    <row r="21" spans="1:16" ht="16.5" x14ac:dyDescent="0.25">
      <c r="A21" s="15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3"/>
        <v>0</v>
      </c>
      <c r="J21" s="68"/>
      <c r="K21" s="68">
        <f t="shared" si="1"/>
        <v>0</v>
      </c>
      <c r="L21" s="87"/>
      <c r="M21" s="79"/>
      <c r="N21" s="76"/>
      <c r="O21" s="1"/>
      <c r="P21" s="1"/>
    </row>
    <row r="22" spans="1:16" ht="16.5" x14ac:dyDescent="0.25">
      <c r="A22" s="15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/>
      <c r="K22" s="68">
        <f t="shared" si="1"/>
        <v>867000</v>
      </c>
      <c r="L22" s="82" t="s">
        <v>72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3"/>
        <v>0</v>
      </c>
      <c r="J26" s="132"/>
      <c r="K26" s="132">
        <f t="shared" si="1"/>
        <v>0</v>
      </c>
      <c r="L26" s="87"/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3"/>
        <v>0</v>
      </c>
      <c r="J27" s="133"/>
      <c r="K27" s="132">
        <f t="shared" si="1"/>
        <v>0</v>
      </c>
      <c r="L27" s="87"/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80"/>
      <c r="I28" s="132">
        <f t="shared" si="3"/>
        <v>0</v>
      </c>
      <c r="J28" s="68"/>
      <c r="K28" s="132">
        <f t="shared" si="1"/>
        <v>0</v>
      </c>
      <c r="L28" s="87"/>
      <c r="M28" s="115"/>
      <c r="N28" s="79"/>
    </row>
    <row r="29" spans="1:16" ht="16.5" customHeight="1" x14ac:dyDescent="0.25">
      <c r="A29" s="15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3"/>
        <v>0</v>
      </c>
      <c r="J29" s="133"/>
      <c r="K29" s="132">
        <f t="shared" si="1"/>
        <v>0</v>
      </c>
      <c r="L29" s="87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2026-01-17T16:33:48Z</dcterms:modified>
</cp:coreProperties>
</file>