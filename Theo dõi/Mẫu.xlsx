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uc Anh\Theo dõi\"/>
    </mc:Choice>
  </mc:AlternateContent>
  <xr:revisionPtr revIDLastSave="0" documentId="13_ncr:1_{8E94CC0C-3302-409B-BBAF-CE9315E394E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ẪU" sheetId="1" r:id="rId1"/>
    <sheet name="01-01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I23" i="5"/>
  <c r="I22" i="5"/>
  <c r="J25" i="1"/>
  <c r="I8" i="1"/>
  <c r="I9" i="1"/>
  <c r="I10" i="1"/>
  <c r="I11" i="1"/>
  <c r="I14" i="1"/>
  <c r="I16" i="1"/>
  <c r="I17" i="1"/>
  <c r="I19" i="1"/>
  <c r="I20" i="1"/>
  <c r="I21" i="1"/>
  <c r="I22" i="1"/>
  <c r="I6" i="1"/>
  <c r="J25" i="5" l="1"/>
  <c r="J26" i="5"/>
  <c r="J26" i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8" i="5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</calcChain>
</file>

<file path=xl/sharedStrings.xml><?xml version="1.0" encoding="utf-8"?>
<sst xmlns="http://schemas.openxmlformats.org/spreadsheetml/2006/main" count="188" uniqueCount="82">
  <si>
    <t>STT</t>
  </si>
  <si>
    <t>HỌ TÊN</t>
  </si>
  <si>
    <t>ĐIỆN THOẠI</t>
  </si>
  <si>
    <t>CCCD</t>
  </si>
  <si>
    <t>ĐỊA CHỈ</t>
  </si>
  <si>
    <t>BIỂN SỐ XE</t>
  </si>
  <si>
    <t>DOANH THU</t>
  </si>
  <si>
    <t>BILL</t>
  </si>
  <si>
    <t>LÊ VĂN TÙNG</t>
  </si>
  <si>
    <t>ĐỖ VĂN CHUNG</t>
  </si>
  <si>
    <t>LÊ THÀNH LẬP</t>
  </si>
  <si>
    <t>NGUYỄN CHÍ BÌNH</t>
  </si>
  <si>
    <t>DO THÀNH</t>
  </si>
  <si>
    <t>HỒ SỸ ANH</t>
  </si>
  <si>
    <t>NAM DO</t>
  </si>
  <si>
    <t>NGUYỄN QUỐC NAM</t>
  </si>
  <si>
    <t>NHẤT</t>
  </si>
  <si>
    <t>TRẦN THIỆN</t>
  </si>
  <si>
    <t xml:space="preserve">THANH </t>
  </si>
  <si>
    <t>VĂN HẠNH</t>
  </si>
  <si>
    <t>HÀ</t>
  </si>
  <si>
    <t>NULL</t>
  </si>
  <si>
    <t>HÌNH THỨC</t>
  </si>
  <si>
    <t>0975 734 763</t>
  </si>
  <si>
    <t>0915 192 340</t>
  </si>
  <si>
    <t>0974 650 440</t>
  </si>
  <si>
    <t>0969 010 942</t>
  </si>
  <si>
    <t>0945 414 842</t>
  </si>
  <si>
    <t>THANH HÓA</t>
  </si>
  <si>
    <t>68HC 001.92</t>
  </si>
  <si>
    <t>KIÊN GIANG</t>
  </si>
  <si>
    <t>68HC 001.84</t>
  </si>
  <si>
    <t>68HC 001.81</t>
  </si>
  <si>
    <t>AN GIANG</t>
  </si>
  <si>
    <t xml:space="preserve">68HC 001.92 </t>
  </si>
  <si>
    <t>CÔNG TY TNHH DỊCH VỤ XE ĐIỆN MINH HẢI</t>
  </si>
  <si>
    <t>DOANH THU 29/12/2025</t>
  </si>
  <si>
    <t xml:space="preserve">68HC 001.89 </t>
  </si>
  <si>
    <t>#NULL</t>
  </si>
  <si>
    <t>THỰC LÃNH</t>
  </si>
  <si>
    <t>HÀ TĨNH</t>
  </si>
  <si>
    <t>68HC 001.63</t>
  </si>
  <si>
    <t>0989 272 425</t>
  </si>
  <si>
    <t>0832 565 558</t>
  </si>
  <si>
    <t>68HC 001.71</t>
  </si>
  <si>
    <t>CK</t>
  </si>
  <si>
    <t>TRƯƠNG VŨ CA (VŨ LINH)</t>
  </si>
  <si>
    <t>TM</t>
  </si>
  <si>
    <t>68HC 001.33</t>
  </si>
  <si>
    <t>0784 617 223</t>
  </si>
  <si>
    <t>TỔNG DOANH THU</t>
  </si>
  <si>
    <t>TỔNG THỰC LÃNH</t>
  </si>
  <si>
    <t>CÔNG TY TNHH MTV VẬN TẢI VÀ DU LỊCH MINH HẢI</t>
  </si>
  <si>
    <t xml:space="preserve">68HC 001.78 </t>
  </si>
  <si>
    <t>0369 922 571</t>
  </si>
  <si>
    <t>NOTE</t>
  </si>
  <si>
    <t xml:space="preserve">68HC 001.70 </t>
  </si>
  <si>
    <t>68HC 001.98</t>
  </si>
  <si>
    <t>QUANG HÀ (VIN)</t>
  </si>
  <si>
    <t>TRƯƠNG VŨ CA (VŨ LINH) (Vin)</t>
  </si>
  <si>
    <t>NGUYỄN CHÍ BÌNH (Vin)</t>
  </si>
  <si>
    <t>LÊ VĂN TÙNG (Sun)</t>
  </si>
  <si>
    <t>ĐỖ VĂN CHUNG (Sun)</t>
  </si>
  <si>
    <t>LÊ THÀNH LẬP (Sun)</t>
  </si>
  <si>
    <t>NAM DO (Sun)</t>
  </si>
  <si>
    <t>NGUYỄN QUỐC NAM (Sun)</t>
  </si>
  <si>
    <t>NHẤT (Sun)</t>
  </si>
  <si>
    <t>TRẦN THIỆN (Sun)</t>
  </si>
  <si>
    <t>THANH  (Sun)</t>
  </si>
  <si>
    <t>VĂN HẠNH (Sun)</t>
  </si>
  <si>
    <t xml:space="preserve">68HC 001.93 </t>
  </si>
  <si>
    <t>BIỂN SỐ</t>
  </si>
  <si>
    <t>SDT</t>
  </si>
  <si>
    <t>TIME</t>
  </si>
  <si>
    <t>TRẦN VIẾT HÙNG (Sun)</t>
  </si>
  <si>
    <t>NINH BÌNH</t>
  </si>
  <si>
    <t>0917 387 279</t>
  </si>
  <si>
    <t>DOANH THU 01/01/2026</t>
  </si>
  <si>
    <t>68HC 001.34</t>
  </si>
  <si>
    <t>68HC 001.36</t>
  </si>
  <si>
    <t>Biển số</t>
  </si>
  <si>
    <t>Tỉ lệ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</si>
</sst>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rgb="FF9C000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sz val="16"/>
      <color rgb="FF9C0006"/>
      <name val="Times New Roman"/>
      <family val="2"/>
    </font>
    <font>
      <sz val="22"/>
      <color theme="1"/>
      <name val="Times New Roman"/>
      <family val="1"/>
    </font>
    <font>
      <sz val="24"/>
      <color theme="1"/>
      <name val="Times New Roman"/>
      <family val="1"/>
    </font>
    <font>
      <b/>
      <sz val="24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sz val="18"/>
      <color rgb="FFFA7D00"/>
      <name val="Times New Roman"/>
      <family val="2"/>
    </font>
    <font>
      <b/>
      <sz val="18"/>
      <color rgb="FF3F3F3F"/>
      <name val="Times New Roman"/>
      <family val="2"/>
    </font>
    <font>
      <b/>
      <sz val="13"/>
      <color theme="1"/>
      <name val="Times New Roman"/>
      <family val="1"/>
    </font>
    <font>
      <b/>
      <sz val="13"/>
      <color rgb="FF081B3A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28">
    <xf numFmtId="0" fontId="0" fillId="0" borderId="0" xfId="0"/>
    <xf numFmtId="0" fontId="4" fillId="0" borderId="0" xfId="0" applyFont="1"/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2" borderId="0" xfId="1" applyFont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13" fillId="3" borderId="2" xfId="2" applyNumberFormat="1" applyFont="1"/>
    <xf numFmtId="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3" borderId="1" xfId="3" applyFont="1" applyAlignment="1">
      <alignment horizontal="center"/>
    </xf>
  </cellXfs>
  <cellStyles count="4">
    <cellStyle name="Bad" xfId="1" builtinId="27"/>
    <cellStyle name="Calculation" xfId="3" builtinId="22"/>
    <cellStyle name="Normal" xfId="0" builtinId="0"/>
    <cellStyle name="Output" xfId="2" builtinId="21"/>
  </cellStyles>
  <dxfs count="28">
    <dxf>
      <font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rgb="FF5B9BD5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9C0006"/>
        <name val="Times New Roman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2E08B-F339-41A7-8779-8E498408C686}" name="Table1" displayName="Table1" ref="B5:K22" totalsRowShown="0" headerRowDxfId="27" dataDxfId="26" tableBorderDxfId="25" headerRowCellStyle="Bad" dataCellStyle="Normal">
  <autoFilter ref="B5:K22" xr:uid="{D102E08B-F339-41A7-8779-8E498408C686}"/>
  <tableColumns count="10">
    <tableColumn id="1" xr3:uid="{9D6D1DC3-1CDD-4F3C-B1B7-8AB165E44568}" name="STT" dataDxfId="24" dataCellStyle="Normal"/>
    <tableColumn id="2" xr3:uid="{13E8BA06-8365-403A-B32E-04AE92B765CC}" name="HỌ TÊN" dataDxfId="23" dataCellStyle="Normal"/>
    <tableColumn id="3" xr3:uid="{FC61B8E4-BD27-46F3-88CC-BF4B927C0BEB}" name="ĐIỆN THOẠI" dataDxfId="22" dataCellStyle="Normal"/>
    <tableColumn id="4" xr3:uid="{81E95A52-D9B8-474A-8928-97CBD9B95301}" name="CCCD" dataDxfId="21" dataCellStyle="Normal"/>
    <tableColumn id="5" xr3:uid="{8271E599-3E92-445F-9654-702A3E2F6015}" name="ĐỊA CHỈ" dataDxfId="20" dataCellStyle="Normal"/>
    <tableColumn id="6" xr3:uid="{A1EE5CD9-899B-4972-8C02-79B676C0418E}" name="BIỂN SỐ XE" dataDxfId="19" dataCellStyle="Normal"/>
    <tableColumn id="7" xr3:uid="{D56A811F-8BE5-4C31-8D06-090CA9AB4EEC}" name="DOANH THU" dataDxfId="18" dataCellStyle="Normal"/>
    <tableColumn id="8" xr3:uid="{65D461C0-8662-4294-B2D4-14AFA507AEC5}" name="THỰC LÃNH" dataDxfId="17" dataCellStyle="Normal">
      <calculatedColumnFormula>IF(ISNUMBER(H6),H6/2,"")</calculatedColumnFormula>
    </tableColumn>
    <tableColumn id="9" xr3:uid="{B11AF6F4-2B2E-42F5-B282-20EB2045BFC4}" name="HÌNH THỨC" dataDxfId="16" dataCellStyle="Normal"/>
    <tableColumn id="10" xr3:uid="{188C8D09-A7C8-4D41-A663-D79A1D68DC65}" name="BILL" dataDxfId="15" dataCellStyle="Normal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9B90D4-454D-4880-B31D-A91C2CDC83A9}" name="Table145" displayName="Table145" ref="B6:M23" totalsRowShown="0" headerRowDxfId="14" dataDxfId="13" tableBorderDxfId="12" headerRowCellStyle="Bad" dataCellStyle="Normal">
  <autoFilter ref="B6:M23" xr:uid="{D102E08B-F339-41A7-8779-8E498408C686}"/>
  <tableColumns count="12">
    <tableColumn id="1" xr3:uid="{414C8D44-6DC4-4B86-8E3A-5339812C50FB}" name="STT" dataDxfId="11" dataCellStyle="Normal"/>
    <tableColumn id="2" xr3:uid="{6FAD5AB5-298C-4A36-ABDC-A5D9637FDD1B}" name="HỌ TÊN" dataDxfId="10" dataCellStyle="Normal"/>
    <tableColumn id="3" xr3:uid="{B8AA6E27-3B1B-40DE-899F-FFE99DDB57E5}" name="SDT" dataDxfId="9" dataCellStyle="Normal"/>
    <tableColumn id="4" xr3:uid="{4A9ADB20-D7DF-41CA-A8B0-984E178EC636}" name="CCCD" dataDxfId="8" dataCellStyle="Normal"/>
    <tableColumn id="5" xr3:uid="{9B2F3F47-F0A9-472C-BEF4-AE2187C4E05F}" name="ĐỊA CHỈ" dataDxfId="7" dataCellStyle="Normal"/>
    <tableColumn id="6" xr3:uid="{A93CFF17-7D8F-4ADE-9556-9E23EA0BDBC5}" name="BIỂN SỐ" dataDxfId="6" dataCellStyle="Normal"/>
    <tableColumn id="7" xr3:uid="{D22577A6-97FC-4DD1-91D6-50E6CF26FEF7}" name="DOANH THU" dataDxfId="5" dataCellStyle="Normal"/>
    <tableColumn id="8" xr3:uid="{B0C89032-0AB4-4BCC-90ED-56250C2EDD5D}" name="THỰC LÃNH" dataDxfId="4" dataCellStyle="Normal"/>
    <tableColumn id="9" xr3:uid="{216960B2-93E0-43AB-B56B-23F8BB3330DB}" name="HÌNH THỨC" dataDxfId="3" dataCellStyle="Normal"/>
    <tableColumn id="10" xr3:uid="{7060E0DD-09FF-405F-A9FC-E7C96FDB4D0F}" name="BILL" dataDxfId="2" dataCellStyle="Normal"/>
    <tableColumn id="12" xr3:uid="{1AB46D3F-E8BE-4D51-AEF4-ED22A0C3ACF4}" name="NOTE" dataDxfId="1" dataCellStyle="Normal"/>
    <tableColumn id="11" xr3:uid="{A433299F-94CA-47C8-AE3A-BF29422D90EA}" name="TIME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K26"/>
  <sheetViews>
    <sheetView tabSelected="1" zoomScaleNormal="100" workbookViewId="0">
      <selection activeCell="G9" sqref="G9"/>
    </sheetView>
  </sheetViews>
  <sheetFormatPr defaultRowHeight="15" x14ac:dyDescent="0.25"/>
  <cols>
    <col min="1" max="1" width="15.85546875" style="1" customWidth="1"/>
    <col min="2" max="2" width="11.42578125" style="1" customWidth="1"/>
    <col min="3" max="3" width="43.140625" style="1" customWidth="1"/>
    <col min="4" max="4" width="27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36" style="1" customWidth="1"/>
    <col min="11" max="11" width="23.42578125" style="1" customWidth="1"/>
    <col min="12" max="16384" width="9.140625" style="1"/>
  </cols>
  <sheetData>
    <row r="2" spans="2:11" ht="60.75" customHeight="1" x14ac:dyDescent="0.25">
      <c r="B2" s="24" t="s">
        <v>35</v>
      </c>
      <c r="C2" s="24"/>
      <c r="D2" s="24"/>
      <c r="E2" s="24"/>
      <c r="F2" s="24"/>
      <c r="G2" s="24"/>
      <c r="H2" s="24"/>
      <c r="I2" s="24"/>
      <c r="J2" s="24"/>
      <c r="K2" s="24"/>
    </row>
    <row r="3" spans="2:11" ht="30.75" x14ac:dyDescent="0.25">
      <c r="B3" s="25" t="s">
        <v>36</v>
      </c>
      <c r="C3" s="26"/>
      <c r="D3" s="26"/>
      <c r="E3" s="26"/>
      <c r="F3" s="26"/>
      <c r="G3" s="26"/>
      <c r="H3" s="26"/>
      <c r="I3" s="26"/>
      <c r="J3" s="26"/>
      <c r="K3" s="26"/>
    </row>
    <row r="5" spans="2:11" ht="20.25" x14ac:dyDescent="0.3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39</v>
      </c>
      <c r="J5" s="5" t="s">
        <v>22</v>
      </c>
      <c r="K5" s="5" t="s">
        <v>7</v>
      </c>
    </row>
    <row r="6" spans="2:11" ht="16.5" x14ac:dyDescent="0.25">
      <c r="B6" s="3">
        <v>1</v>
      </c>
      <c r="C6" s="3" t="s">
        <v>8</v>
      </c>
      <c r="D6" s="3" t="s">
        <v>23</v>
      </c>
      <c r="E6" s="4">
        <v>38096003688</v>
      </c>
      <c r="F6" s="3" t="s">
        <v>28</v>
      </c>
      <c r="G6" s="3" t="s">
        <v>29</v>
      </c>
      <c r="H6" s="6">
        <v>1300000</v>
      </c>
      <c r="I6" s="6">
        <f t="shared" ref="I6:I22" si="0">IF(ISNUMBER(H6),H6/2,"")</f>
        <v>650000</v>
      </c>
      <c r="J6" s="3" t="s">
        <v>45</v>
      </c>
      <c r="K6" s="2"/>
    </row>
    <row r="7" spans="2:11" ht="16.5" x14ac:dyDescent="0.25">
      <c r="B7" s="3">
        <f>B6+1</f>
        <v>2</v>
      </c>
      <c r="C7" s="3" t="s">
        <v>46</v>
      </c>
      <c r="D7" s="3" t="s">
        <v>24</v>
      </c>
      <c r="E7" s="4">
        <v>91203011680</v>
      </c>
      <c r="F7" s="3" t="s">
        <v>30</v>
      </c>
      <c r="G7" s="3" t="s">
        <v>31</v>
      </c>
      <c r="H7" s="9">
        <v>1640000</v>
      </c>
      <c r="I7" s="9">
        <v>820000</v>
      </c>
      <c r="J7" s="3" t="s">
        <v>47</v>
      </c>
      <c r="K7" s="2"/>
    </row>
    <row r="8" spans="2:11" ht="16.5" x14ac:dyDescent="0.25">
      <c r="B8" s="3">
        <f t="shared" ref="B8:B22" si="1">B7+1</f>
        <v>3</v>
      </c>
      <c r="C8" s="3" t="s">
        <v>9</v>
      </c>
      <c r="D8" s="3" t="s">
        <v>25</v>
      </c>
      <c r="E8" s="4">
        <v>89078016404</v>
      </c>
      <c r="F8" s="3" t="s">
        <v>33</v>
      </c>
      <c r="G8" s="3" t="s">
        <v>32</v>
      </c>
      <c r="H8" s="6">
        <v>1440000</v>
      </c>
      <c r="I8" s="6">
        <f t="shared" si="0"/>
        <v>720000</v>
      </c>
      <c r="J8" s="3" t="s">
        <v>45</v>
      </c>
      <c r="K8" s="2"/>
    </row>
    <row r="9" spans="2:11" ht="16.5" x14ac:dyDescent="0.25">
      <c r="B9" s="3">
        <f t="shared" si="1"/>
        <v>4</v>
      </c>
      <c r="C9" s="3" t="s">
        <v>10</v>
      </c>
      <c r="D9" s="3" t="s">
        <v>26</v>
      </c>
      <c r="E9" s="4">
        <v>89099008054</v>
      </c>
      <c r="F9" s="3" t="s">
        <v>33</v>
      </c>
      <c r="G9" s="3" t="s">
        <v>34</v>
      </c>
      <c r="H9" s="6">
        <v>1920000</v>
      </c>
      <c r="I9" s="6">
        <f t="shared" si="0"/>
        <v>960000</v>
      </c>
      <c r="J9" s="3" t="s">
        <v>45</v>
      </c>
      <c r="K9" s="2"/>
    </row>
    <row r="10" spans="2:11" ht="16.5" x14ac:dyDescent="0.25">
      <c r="B10" s="3">
        <f t="shared" si="1"/>
        <v>5</v>
      </c>
      <c r="C10" s="3" t="s">
        <v>11</v>
      </c>
      <c r="D10" s="4" t="s">
        <v>27</v>
      </c>
      <c r="E10" s="4">
        <v>91088020664</v>
      </c>
      <c r="F10" s="3" t="s">
        <v>30</v>
      </c>
      <c r="G10" s="3" t="s">
        <v>37</v>
      </c>
      <c r="H10" s="6">
        <v>1480000</v>
      </c>
      <c r="I10" s="6">
        <f t="shared" si="0"/>
        <v>740000</v>
      </c>
      <c r="J10" s="3" t="s">
        <v>47</v>
      </c>
      <c r="K10" s="2"/>
    </row>
    <row r="11" spans="2:11" ht="16.5" x14ac:dyDescent="0.25">
      <c r="B11" s="3">
        <f t="shared" si="1"/>
        <v>6</v>
      </c>
      <c r="C11" s="3" t="s">
        <v>12</v>
      </c>
      <c r="D11" s="7" t="s">
        <v>38</v>
      </c>
      <c r="E11" s="7" t="s">
        <v>38</v>
      </c>
      <c r="F11" s="7" t="s">
        <v>38</v>
      </c>
      <c r="G11" s="7" t="s">
        <v>38</v>
      </c>
      <c r="H11" s="6">
        <v>1430000</v>
      </c>
      <c r="I11" s="6">
        <f t="shared" si="0"/>
        <v>715000</v>
      </c>
      <c r="J11" s="3" t="s">
        <v>45</v>
      </c>
      <c r="K11" s="2"/>
    </row>
    <row r="12" spans="2:11" ht="16.5" x14ac:dyDescent="0.25">
      <c r="B12" s="3">
        <f t="shared" si="1"/>
        <v>7</v>
      </c>
      <c r="C12" s="3" t="s">
        <v>13</v>
      </c>
      <c r="D12" s="7" t="s">
        <v>38</v>
      </c>
      <c r="E12" s="7" t="s">
        <v>38</v>
      </c>
      <c r="F12" s="7" t="s">
        <v>38</v>
      </c>
      <c r="G12" s="7" t="s">
        <v>38</v>
      </c>
      <c r="H12" s="6">
        <v>1315000</v>
      </c>
      <c r="I12" s="6">
        <v>660000</v>
      </c>
      <c r="J12" s="3" t="s">
        <v>45</v>
      </c>
      <c r="K12" s="2"/>
    </row>
    <row r="13" spans="2:11" ht="16.5" x14ac:dyDescent="0.25">
      <c r="B13" s="3">
        <f t="shared" si="1"/>
        <v>8</v>
      </c>
      <c r="C13" s="3" t="s">
        <v>14</v>
      </c>
      <c r="D13" s="7" t="s">
        <v>38</v>
      </c>
      <c r="E13" s="7" t="s">
        <v>38</v>
      </c>
      <c r="F13" s="7" t="s">
        <v>38</v>
      </c>
      <c r="G13" s="7" t="s">
        <v>38</v>
      </c>
      <c r="H13" s="6">
        <v>1745000</v>
      </c>
      <c r="I13" s="6">
        <v>872000</v>
      </c>
      <c r="J13" s="3" t="s">
        <v>45</v>
      </c>
      <c r="K13" s="2"/>
    </row>
    <row r="14" spans="2:11" ht="16.5" x14ac:dyDescent="0.25">
      <c r="B14" s="3">
        <f t="shared" si="1"/>
        <v>9</v>
      </c>
      <c r="C14" s="3" t="s">
        <v>15</v>
      </c>
      <c r="D14" s="3" t="s">
        <v>42</v>
      </c>
      <c r="E14" s="7" t="s">
        <v>38</v>
      </c>
      <c r="F14" s="8" t="s">
        <v>40</v>
      </c>
      <c r="G14" s="8" t="s">
        <v>41</v>
      </c>
      <c r="H14" s="6">
        <v>1600000</v>
      </c>
      <c r="I14" s="6">
        <f t="shared" si="0"/>
        <v>800000</v>
      </c>
      <c r="J14" s="3" t="s">
        <v>45</v>
      </c>
      <c r="K14" s="2"/>
    </row>
    <row r="15" spans="2:11" ht="16.5" x14ac:dyDescent="0.25">
      <c r="B15" s="3">
        <f t="shared" si="1"/>
        <v>10</v>
      </c>
      <c r="C15" s="3" t="s">
        <v>16</v>
      </c>
      <c r="D15" s="7" t="s">
        <v>38</v>
      </c>
      <c r="E15" s="7" t="s">
        <v>38</v>
      </c>
      <c r="F15" s="7" t="s">
        <v>38</v>
      </c>
      <c r="G15" s="7" t="s">
        <v>38</v>
      </c>
      <c r="H15" s="7" t="s">
        <v>38</v>
      </c>
      <c r="I15" s="7" t="s">
        <v>38</v>
      </c>
      <c r="J15" s="3"/>
      <c r="K15" s="2"/>
    </row>
    <row r="16" spans="2:11" ht="16.5" x14ac:dyDescent="0.25">
      <c r="B16" s="3">
        <f t="shared" si="1"/>
        <v>11</v>
      </c>
      <c r="C16" s="3" t="s">
        <v>17</v>
      </c>
      <c r="D16" s="8" t="s">
        <v>43</v>
      </c>
      <c r="E16" s="7" t="s">
        <v>38</v>
      </c>
      <c r="F16" s="7" t="s">
        <v>38</v>
      </c>
      <c r="G16" s="8" t="s">
        <v>44</v>
      </c>
      <c r="H16" s="6">
        <v>1500000</v>
      </c>
      <c r="I16" s="6">
        <f t="shared" si="0"/>
        <v>750000</v>
      </c>
      <c r="J16" s="3" t="s">
        <v>45</v>
      </c>
      <c r="K16" s="2"/>
    </row>
    <row r="17" spans="2:11" ht="16.5" x14ac:dyDescent="0.25">
      <c r="B17" s="3">
        <f t="shared" si="1"/>
        <v>12</v>
      </c>
      <c r="C17" s="3" t="s">
        <v>18</v>
      </c>
      <c r="D17" s="7" t="s">
        <v>38</v>
      </c>
      <c r="E17" s="7" t="s">
        <v>38</v>
      </c>
      <c r="F17" s="7" t="s">
        <v>38</v>
      </c>
      <c r="G17" s="8" t="s">
        <v>48</v>
      </c>
      <c r="H17" s="6">
        <v>1910000</v>
      </c>
      <c r="I17" s="6">
        <f t="shared" si="0"/>
        <v>955000</v>
      </c>
      <c r="J17" s="3" t="s">
        <v>45</v>
      </c>
      <c r="K17" s="2"/>
    </row>
    <row r="18" spans="2:11" ht="16.5" x14ac:dyDescent="0.25">
      <c r="B18" s="3">
        <f t="shared" si="1"/>
        <v>13</v>
      </c>
      <c r="C18" s="3" t="s">
        <v>19</v>
      </c>
      <c r="D18" s="7" t="s">
        <v>38</v>
      </c>
      <c r="E18" s="7" t="s">
        <v>38</v>
      </c>
      <c r="F18" s="7" t="s">
        <v>38</v>
      </c>
      <c r="G18" s="7" t="s">
        <v>38</v>
      </c>
      <c r="H18" s="7" t="s">
        <v>38</v>
      </c>
      <c r="I18" s="7" t="s">
        <v>38</v>
      </c>
      <c r="J18" s="3"/>
      <c r="K18" s="2"/>
    </row>
    <row r="19" spans="2:11" ht="16.5" x14ac:dyDescent="0.25">
      <c r="B19" s="3">
        <f t="shared" si="1"/>
        <v>14</v>
      </c>
      <c r="C19" s="3" t="s">
        <v>20</v>
      </c>
      <c r="D19" s="8" t="s">
        <v>49</v>
      </c>
      <c r="E19" s="8">
        <v>42094001136</v>
      </c>
      <c r="F19" s="8" t="s">
        <v>30</v>
      </c>
      <c r="G19" s="8" t="s">
        <v>38</v>
      </c>
      <c r="H19" s="6">
        <v>1950000</v>
      </c>
      <c r="I19" s="6">
        <f t="shared" si="0"/>
        <v>975000</v>
      </c>
      <c r="J19" s="3" t="s">
        <v>47</v>
      </c>
      <c r="K19" s="2"/>
    </row>
    <row r="20" spans="2:11" ht="16.5" x14ac:dyDescent="0.25">
      <c r="B20" s="3">
        <f t="shared" si="1"/>
        <v>15</v>
      </c>
      <c r="C20" s="3" t="s">
        <v>21</v>
      </c>
      <c r="D20" s="3"/>
      <c r="E20" s="3"/>
      <c r="F20" s="3"/>
      <c r="G20" s="3"/>
      <c r="H20" s="3"/>
      <c r="I20" s="6" t="str">
        <f t="shared" si="0"/>
        <v/>
      </c>
      <c r="J20" s="3"/>
      <c r="K20" s="2"/>
    </row>
    <row r="21" spans="2:11" ht="16.5" x14ac:dyDescent="0.25">
      <c r="B21" s="3">
        <f t="shared" si="1"/>
        <v>16</v>
      </c>
      <c r="C21" s="3" t="s">
        <v>21</v>
      </c>
      <c r="D21" s="3"/>
      <c r="E21" s="3"/>
      <c r="F21" s="3"/>
      <c r="G21" s="3"/>
      <c r="H21" s="3"/>
      <c r="I21" s="6" t="str">
        <f t="shared" si="0"/>
        <v/>
      </c>
      <c r="J21" s="3"/>
      <c r="K21" s="2"/>
    </row>
    <row r="22" spans="2:11" ht="16.5" x14ac:dyDescent="0.25">
      <c r="B22" s="3">
        <f t="shared" si="1"/>
        <v>17</v>
      </c>
      <c r="C22" s="3" t="s">
        <v>21</v>
      </c>
      <c r="D22" s="3"/>
      <c r="E22" s="3"/>
      <c r="F22" s="3"/>
      <c r="G22" s="3"/>
      <c r="H22" s="3"/>
      <c r="I22" s="6" t="str">
        <f t="shared" si="0"/>
        <v/>
      </c>
      <c r="J22" s="3"/>
      <c r="K22" s="2"/>
    </row>
    <row r="25" spans="2:11" ht="22.5" x14ac:dyDescent="0.3">
      <c r="H25" s="27" t="s">
        <v>50</v>
      </c>
      <c r="I25" s="27"/>
      <c r="J25" s="10">
        <f>SUM(H6:H1000)</f>
        <v>19230000</v>
      </c>
    </row>
    <row r="26" spans="2:11" ht="22.5" x14ac:dyDescent="0.3">
      <c r="H26" s="27" t="s">
        <v>51</v>
      </c>
      <c r="I26" s="27"/>
      <c r="J26" s="10">
        <f>SUM(I6:I1000)</f>
        <v>9617000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ignoredErrors>
    <ignoredError sqref="I12:I13 I15 I18 I7" calculatedColumn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D608-160F-4BF1-86F8-D9455234BF27}">
  <sheetPr codeName="Sheet4"/>
  <dimension ref="B2:M55"/>
  <sheetViews>
    <sheetView zoomScaleNormal="100" workbookViewId="0">
      <selection activeCell="F17" sqref="F17"/>
    </sheetView>
  </sheetViews>
  <sheetFormatPr defaultRowHeight="15" x14ac:dyDescent="0.25"/>
  <cols>
    <col min="1" max="1" width="15.85546875" style="1" customWidth="1"/>
    <col min="2" max="2" width="19" style="1" customWidth="1"/>
    <col min="3" max="3" width="39.5703125" style="1" customWidth="1"/>
    <col min="4" max="4" width="15.7109375" style="1" customWidth="1"/>
    <col min="5" max="5" width="16.42578125" style="1" customWidth="1"/>
    <col min="6" max="6" width="19.85546875" style="1" customWidth="1"/>
    <col min="7" max="7" width="22.28515625" style="1" customWidth="1"/>
    <col min="8" max="8" width="21.28515625" style="1" customWidth="1"/>
    <col min="9" max="9" width="20.28515625" style="1" customWidth="1"/>
    <col min="10" max="10" width="24.5703125" style="1" customWidth="1"/>
    <col min="11" max="11" width="23.42578125" style="1" customWidth="1"/>
    <col min="12" max="12" width="21" style="1" customWidth="1"/>
    <col min="13" max="13" width="19.42578125" style="1" customWidth="1"/>
    <col min="14" max="16384" width="9.140625" style="1"/>
  </cols>
  <sheetData>
    <row r="2" spans="2:13" ht="60.75" customHeight="1" x14ac:dyDescent="0.25">
      <c r="B2" s="24" t="s">
        <v>52</v>
      </c>
      <c r="C2" s="24"/>
      <c r="D2" s="24"/>
      <c r="E2" s="24"/>
      <c r="F2" s="24"/>
      <c r="G2" s="24"/>
      <c r="H2" s="24"/>
      <c r="I2" s="24"/>
      <c r="J2" s="24"/>
      <c r="K2" s="24"/>
    </row>
    <row r="3" spans="2:13" ht="30.75" x14ac:dyDescent="0.25">
      <c r="B3" s="25" t="s">
        <v>77</v>
      </c>
      <c r="C3" s="26"/>
      <c r="D3" s="26"/>
      <c r="E3" s="26"/>
      <c r="F3" s="26"/>
      <c r="G3" s="26"/>
      <c r="H3" s="26"/>
      <c r="I3" s="26"/>
      <c r="J3" s="26"/>
      <c r="K3" s="26"/>
    </row>
    <row r="6" spans="2:13" ht="20.25" x14ac:dyDescent="0.3">
      <c r="B6" s="5" t="s">
        <v>0</v>
      </c>
      <c r="C6" s="5" t="s">
        <v>1</v>
      </c>
      <c r="D6" s="5" t="s">
        <v>72</v>
      </c>
      <c r="E6" s="5" t="s">
        <v>3</v>
      </c>
      <c r="F6" s="5" t="s">
        <v>4</v>
      </c>
      <c r="G6" s="5" t="s">
        <v>71</v>
      </c>
      <c r="H6" s="5" t="s">
        <v>6</v>
      </c>
      <c r="I6" s="5" t="s">
        <v>39</v>
      </c>
      <c r="J6" s="5" t="s">
        <v>22</v>
      </c>
      <c r="K6" s="5" t="s">
        <v>7</v>
      </c>
      <c r="L6" s="5" t="s">
        <v>55</v>
      </c>
      <c r="M6" s="5" t="s">
        <v>73</v>
      </c>
    </row>
    <row r="7" spans="2:13" ht="16.5" x14ac:dyDescent="0.25">
      <c r="B7" s="3">
        <v>1</v>
      </c>
      <c r="C7" s="12" t="s">
        <v>61</v>
      </c>
      <c r="D7" s="3" t="s">
        <v>23</v>
      </c>
      <c r="E7" s="4">
        <v>38096003688</v>
      </c>
      <c r="F7" s="3" t="s">
        <v>28</v>
      </c>
      <c r="G7" s="3" t="s">
        <v>29</v>
      </c>
      <c r="H7" s="11"/>
      <c r="I7" s="11"/>
      <c r="J7" s="3"/>
      <c r="K7" s="2"/>
      <c r="L7" s="2"/>
      <c r="M7" s="13"/>
    </row>
    <row r="8" spans="2:13" ht="16.5" x14ac:dyDescent="0.25">
      <c r="B8" s="3">
        <f t="shared" ref="B8:B18" si="0">B7 +1</f>
        <v>2</v>
      </c>
      <c r="C8" s="12" t="s">
        <v>59</v>
      </c>
      <c r="D8" s="3" t="s">
        <v>24</v>
      </c>
      <c r="E8" s="4">
        <v>91203011680</v>
      </c>
      <c r="F8" s="3" t="s">
        <v>30</v>
      </c>
      <c r="G8" s="3" t="s">
        <v>31</v>
      </c>
      <c r="H8" s="11"/>
      <c r="I8" s="11"/>
      <c r="J8" s="17"/>
      <c r="K8" s="2"/>
      <c r="L8" s="2"/>
      <c r="M8" s="13"/>
    </row>
    <row r="9" spans="2:13" ht="16.5" x14ac:dyDescent="0.25">
      <c r="B9" s="3">
        <f t="shared" si="0"/>
        <v>3</v>
      </c>
      <c r="C9" s="12" t="s">
        <v>62</v>
      </c>
      <c r="D9" s="3" t="s">
        <v>25</v>
      </c>
      <c r="E9" s="4">
        <v>89078016404</v>
      </c>
      <c r="F9" s="3" t="s">
        <v>33</v>
      </c>
      <c r="G9" s="3" t="s">
        <v>32</v>
      </c>
      <c r="H9" s="11"/>
      <c r="I9" s="11"/>
      <c r="J9" s="3"/>
      <c r="K9" s="2"/>
      <c r="L9" s="2"/>
      <c r="M9" s="13"/>
    </row>
    <row r="10" spans="2:13" ht="16.5" x14ac:dyDescent="0.25">
      <c r="B10" s="3">
        <f t="shared" si="0"/>
        <v>4</v>
      </c>
      <c r="C10" s="12" t="s">
        <v>63</v>
      </c>
      <c r="D10" s="3" t="s">
        <v>26</v>
      </c>
      <c r="E10" s="4">
        <v>89099008054</v>
      </c>
      <c r="F10" s="3" t="s">
        <v>33</v>
      </c>
      <c r="G10" s="3" t="s">
        <v>70</v>
      </c>
      <c r="H10" s="11"/>
      <c r="I10" s="11"/>
      <c r="J10" s="3"/>
      <c r="K10" s="2"/>
      <c r="L10" s="2"/>
      <c r="M10" s="13"/>
    </row>
    <row r="11" spans="2:13" ht="16.5" x14ac:dyDescent="0.25">
      <c r="B11" s="3">
        <f t="shared" si="0"/>
        <v>5</v>
      </c>
      <c r="C11" s="12" t="s">
        <v>60</v>
      </c>
      <c r="D11" s="4" t="s">
        <v>27</v>
      </c>
      <c r="E11" s="4">
        <v>91088020664</v>
      </c>
      <c r="F11" s="3" t="s">
        <v>30</v>
      </c>
      <c r="G11" s="3" t="s">
        <v>37</v>
      </c>
      <c r="H11" s="11"/>
      <c r="I11" s="11"/>
      <c r="J11" s="17"/>
      <c r="K11" s="2"/>
      <c r="L11" s="2"/>
      <c r="M11" s="13"/>
    </row>
    <row r="12" spans="2:13" ht="16.5" x14ac:dyDescent="0.25">
      <c r="B12" s="3">
        <f t="shared" si="0"/>
        <v>6</v>
      </c>
      <c r="C12" s="12" t="s">
        <v>64</v>
      </c>
      <c r="D12" s="7" t="s">
        <v>38</v>
      </c>
      <c r="E12" s="7" t="s">
        <v>38</v>
      </c>
      <c r="F12" s="7" t="s">
        <v>38</v>
      </c>
      <c r="G12" s="8" t="s">
        <v>78</v>
      </c>
      <c r="H12" s="11"/>
      <c r="I12" s="11"/>
      <c r="J12" s="3"/>
      <c r="K12" s="2"/>
      <c r="L12" s="2"/>
      <c r="M12" s="14">
        <v>0.44722222222222224</v>
      </c>
    </row>
    <row r="13" spans="2:13" ht="16.5" x14ac:dyDescent="0.25">
      <c r="B13" s="3">
        <f t="shared" si="0"/>
        <v>7</v>
      </c>
      <c r="C13" s="12" t="s">
        <v>65</v>
      </c>
      <c r="D13" s="3" t="s">
        <v>42</v>
      </c>
      <c r="E13" s="7" t="s">
        <v>38</v>
      </c>
      <c r="F13" s="8" t="s">
        <v>40</v>
      </c>
      <c r="G13" s="8" t="s">
        <v>41</v>
      </c>
      <c r="H13" s="11"/>
      <c r="I13" s="11"/>
      <c r="J13" s="3"/>
      <c r="K13" s="2"/>
      <c r="L13" s="2"/>
      <c r="M13" s="13"/>
    </row>
    <row r="14" spans="2:13" ht="16.5" x14ac:dyDescent="0.25">
      <c r="B14" s="3">
        <f t="shared" si="0"/>
        <v>8</v>
      </c>
      <c r="C14" s="12" t="s">
        <v>66</v>
      </c>
      <c r="D14" s="8" t="s">
        <v>54</v>
      </c>
      <c r="E14" s="8">
        <v>49202008987</v>
      </c>
      <c r="F14" s="8" t="s">
        <v>30</v>
      </c>
      <c r="G14" s="8" t="s">
        <v>53</v>
      </c>
      <c r="H14" s="11"/>
      <c r="I14" s="11"/>
      <c r="J14" s="3"/>
      <c r="K14" s="2"/>
      <c r="L14" s="2"/>
      <c r="M14" s="14">
        <v>0.38194444444444442</v>
      </c>
    </row>
    <row r="15" spans="2:13" ht="16.5" x14ac:dyDescent="0.25">
      <c r="B15" s="3">
        <f t="shared" si="0"/>
        <v>9</v>
      </c>
      <c r="C15" s="12" t="s">
        <v>67</v>
      </c>
      <c r="D15" s="8" t="s">
        <v>43</v>
      </c>
      <c r="E15" s="7" t="s">
        <v>38</v>
      </c>
      <c r="F15" s="7" t="s">
        <v>38</v>
      </c>
      <c r="G15" s="8" t="s">
        <v>44</v>
      </c>
      <c r="H15" s="11"/>
      <c r="I15" s="11"/>
      <c r="J15" s="3"/>
      <c r="K15" s="2"/>
      <c r="L15" s="2"/>
      <c r="M15" s="13"/>
    </row>
    <row r="16" spans="2:13" ht="16.5" x14ac:dyDescent="0.25">
      <c r="B16" s="3">
        <f t="shared" si="0"/>
        <v>10</v>
      </c>
      <c r="C16" s="12" t="s">
        <v>68</v>
      </c>
      <c r="D16" s="7" t="s">
        <v>38</v>
      </c>
      <c r="E16" s="7" t="s">
        <v>38</v>
      </c>
      <c r="F16" s="7" t="s">
        <v>38</v>
      </c>
      <c r="G16" s="8" t="s">
        <v>48</v>
      </c>
      <c r="H16" s="11"/>
      <c r="I16" s="11"/>
      <c r="J16" s="3"/>
      <c r="K16" s="2"/>
      <c r="L16" s="2"/>
      <c r="M16" s="13"/>
    </row>
    <row r="17" spans="2:13" ht="16.5" x14ac:dyDescent="0.25">
      <c r="B17" s="3">
        <f t="shared" si="0"/>
        <v>11</v>
      </c>
      <c r="C17" s="12" t="s">
        <v>69</v>
      </c>
      <c r="D17" s="7" t="s">
        <v>38</v>
      </c>
      <c r="E17" s="7" t="s">
        <v>38</v>
      </c>
      <c r="F17" s="7" t="s">
        <v>38</v>
      </c>
      <c r="G17" s="8" t="s">
        <v>79</v>
      </c>
      <c r="H17" s="11"/>
      <c r="I17" s="11"/>
      <c r="J17" s="3"/>
      <c r="K17" s="2"/>
      <c r="L17" s="2"/>
      <c r="M17" s="13"/>
    </row>
    <row r="18" spans="2:13" ht="16.5" x14ac:dyDescent="0.25">
      <c r="B18" s="3">
        <f t="shared" si="0"/>
        <v>12</v>
      </c>
      <c r="C18" s="12" t="s">
        <v>58</v>
      </c>
      <c r="D18" s="8" t="s">
        <v>49</v>
      </c>
      <c r="E18" s="8">
        <v>42094001136</v>
      </c>
      <c r="F18" s="8" t="s">
        <v>30</v>
      </c>
      <c r="G18" s="8" t="s">
        <v>57</v>
      </c>
      <c r="H18" s="11"/>
      <c r="I18" s="11"/>
      <c r="J18" s="17"/>
      <c r="K18" s="2"/>
      <c r="L18" s="2"/>
      <c r="M18" s="13"/>
    </row>
    <row r="19" spans="2:13" ht="16.5" x14ac:dyDescent="0.25">
      <c r="B19" s="3">
        <f t="shared" ref="B19:B23" si="1">B18 +1</f>
        <v>13</v>
      </c>
      <c r="C19" s="16" t="s">
        <v>74</v>
      </c>
      <c r="D19" s="8" t="s">
        <v>76</v>
      </c>
      <c r="E19" s="7"/>
      <c r="F19" s="8" t="s">
        <v>75</v>
      </c>
      <c r="G19" s="15" t="s">
        <v>56</v>
      </c>
      <c r="H19" s="11"/>
      <c r="I19" s="11"/>
      <c r="J19" s="3"/>
      <c r="K19" s="2"/>
      <c r="L19" s="2"/>
      <c r="M19" s="13"/>
    </row>
    <row r="20" spans="2:13" ht="16.5" x14ac:dyDescent="0.25">
      <c r="B20" s="3">
        <f t="shared" si="1"/>
        <v>14</v>
      </c>
      <c r="C20" s="12"/>
      <c r="D20" s="7"/>
      <c r="E20" s="7"/>
      <c r="F20" s="7"/>
      <c r="G20" s="7"/>
      <c r="H20" s="11"/>
      <c r="I20" s="11"/>
      <c r="J20" s="3"/>
      <c r="K20" s="2"/>
      <c r="L20" s="2"/>
      <c r="M20" s="13"/>
    </row>
    <row r="21" spans="2:13" ht="16.5" x14ac:dyDescent="0.25">
      <c r="B21" s="3">
        <f t="shared" si="1"/>
        <v>15</v>
      </c>
      <c r="C21" s="3" t="s">
        <v>21</v>
      </c>
      <c r="D21" s="3"/>
      <c r="E21" s="3"/>
      <c r="F21" s="3"/>
      <c r="G21" s="3"/>
      <c r="H21" s="3"/>
      <c r="I21" s="11"/>
      <c r="J21" s="3"/>
      <c r="K21" s="2"/>
      <c r="L21" s="2"/>
      <c r="M21" s="13"/>
    </row>
    <row r="22" spans="2:13" ht="16.5" x14ac:dyDescent="0.25">
      <c r="B22" s="3">
        <f t="shared" si="1"/>
        <v>16</v>
      </c>
      <c r="C22" s="3" t="s">
        <v>21</v>
      </c>
      <c r="D22" s="3"/>
      <c r="E22" s="3"/>
      <c r="F22" s="3"/>
      <c r="G22" s="3"/>
      <c r="H22" s="3"/>
      <c r="I22" s="6" t="str">
        <f t="shared" ref="I22:I23" si="2">IF(ISNUMBER(H22),H22/2,"")</f>
        <v/>
      </c>
      <c r="J22" s="3"/>
      <c r="K22" s="2"/>
      <c r="L22" s="2"/>
      <c r="M22" s="13"/>
    </row>
    <row r="23" spans="2:13" ht="16.5" x14ac:dyDescent="0.25">
      <c r="B23" s="3">
        <f t="shared" si="1"/>
        <v>17</v>
      </c>
      <c r="C23" s="3" t="s">
        <v>21</v>
      </c>
      <c r="D23" s="3"/>
      <c r="E23" s="3"/>
      <c r="F23" s="3"/>
      <c r="G23" s="3"/>
      <c r="H23" s="3"/>
      <c r="I23" s="6" t="str">
        <f t="shared" si="2"/>
        <v/>
      </c>
      <c r="J23" s="3"/>
      <c r="K23" s="2"/>
      <c r="L23" s="2"/>
      <c r="M23" s="13"/>
    </row>
    <row r="25" spans="2:13" ht="22.5" x14ac:dyDescent="0.3">
      <c r="D25" s="1" t="s">
        <v>81</v>
      </c>
      <c r="H25" s="27" t="s">
        <v>50</v>
      </c>
      <c r="I25" s="27"/>
      <c r="J25" s="10">
        <f>SUM(H7:H1000)</f>
        <v>0</v>
      </c>
    </row>
    <row r="26" spans="2:13" ht="22.5" x14ac:dyDescent="0.3">
      <c r="H26" s="27" t="s">
        <v>51</v>
      </c>
      <c r="I26" s="27"/>
      <c r="J26" s="10">
        <f>SUM(I7:I1000)</f>
        <v>0</v>
      </c>
    </row>
    <row r="42" spans="2:2" x14ac:dyDescent="0.25">
      <c r="B42" s="23" t="s">
        <v>80</v>
      </c>
    </row>
    <row r="43" spans="2:2" ht="16.5" x14ac:dyDescent="0.25">
      <c r="B43" s="18" t="s">
        <v>29</v>
      </c>
    </row>
    <row r="44" spans="2:2" ht="16.5" x14ac:dyDescent="0.25">
      <c r="B44" s="19" t="s">
        <v>31</v>
      </c>
    </row>
    <row r="45" spans="2:2" ht="16.5" x14ac:dyDescent="0.25">
      <c r="B45" s="18" t="s">
        <v>32</v>
      </c>
    </row>
    <row r="46" spans="2:2" ht="16.5" x14ac:dyDescent="0.25">
      <c r="B46" s="19" t="s">
        <v>70</v>
      </c>
    </row>
    <row r="47" spans="2:2" ht="16.5" x14ac:dyDescent="0.25">
      <c r="B47" s="18" t="s">
        <v>37</v>
      </c>
    </row>
    <row r="48" spans="2:2" ht="16.5" x14ac:dyDescent="0.25">
      <c r="B48" s="20" t="s">
        <v>78</v>
      </c>
    </row>
    <row r="49" spans="2:2" ht="16.5" x14ac:dyDescent="0.25">
      <c r="B49" s="21" t="s">
        <v>41</v>
      </c>
    </row>
    <row r="50" spans="2:2" ht="16.5" x14ac:dyDescent="0.25">
      <c r="B50" s="20" t="s">
        <v>53</v>
      </c>
    </row>
    <row r="51" spans="2:2" ht="16.5" x14ac:dyDescent="0.25">
      <c r="B51" s="21" t="s">
        <v>44</v>
      </c>
    </row>
    <row r="52" spans="2:2" ht="16.5" x14ac:dyDescent="0.25">
      <c r="B52" s="20" t="s">
        <v>48</v>
      </c>
    </row>
    <row r="53" spans="2:2" ht="16.5" x14ac:dyDescent="0.25">
      <c r="B53" s="21" t="s">
        <v>79</v>
      </c>
    </row>
    <row r="54" spans="2:2" ht="16.5" x14ac:dyDescent="0.25">
      <c r="B54" s="20" t="s">
        <v>57</v>
      </c>
    </row>
    <row r="55" spans="2:2" ht="16.5" x14ac:dyDescent="0.25">
      <c r="B55" s="22" t="s">
        <v>56</v>
      </c>
    </row>
  </sheetData>
  <mergeCells count="4">
    <mergeCell ref="B2:K2"/>
    <mergeCell ref="B3:K3"/>
    <mergeCell ref="H25:I25"/>
    <mergeCell ref="H26:I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MẪU</vt:lpstr>
      <vt:lpstr>01-01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NDC</dc:creator>
  <cp:lastModifiedBy>nguyenducanh12a10@gmail.com</cp:lastModifiedBy>
  <dcterms:created xsi:type="dcterms:W3CDTF">2015-06-05T18:17:20Z</dcterms:created>
  <dcterms:modified xsi:type="dcterms:W3CDTF">2026-01-02T01:31:17Z</dcterms:modified>
</cp:coreProperties>
</file>