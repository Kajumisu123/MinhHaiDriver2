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uc Anh\Quản lý thu chi\"/>
    </mc:Choice>
  </mc:AlternateContent>
  <xr:revisionPtr revIDLastSave="0" documentId="13_ncr:1_{8BCAB817-4E61-4032-AA0E-73DD979571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u Ch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1" l="1"/>
  <c r="G58" i="1"/>
  <c r="G57" i="1"/>
  <c r="G56" i="1" l="1"/>
  <c r="G55" i="1"/>
  <c r="G54" i="1"/>
  <c r="G53" i="1"/>
  <c r="G51" i="1" l="1"/>
  <c r="G52" i="1"/>
  <c r="A51" i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G50" i="1"/>
  <c r="A50" i="1"/>
  <c r="F70" i="1"/>
  <c r="E70" i="1"/>
  <c r="G49" i="1"/>
  <c r="H71" i="1" l="1"/>
  <c r="G12" i="1" l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A5" i="1"/>
  <c r="G24" i="1" l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G72" i="1" l="1"/>
</calcChain>
</file>

<file path=xl/sharedStrings.xml><?xml version="1.0" encoding="utf-8"?>
<sst xmlns="http://schemas.openxmlformats.org/spreadsheetml/2006/main" count="129" uniqueCount="103">
  <si>
    <t>Stt</t>
  </si>
  <si>
    <t>Thông tin chứng từ</t>
  </si>
  <si>
    <t>Diễn giải</t>
  </si>
  <si>
    <t>Chi tiết phát sinh trong kỳ</t>
  </si>
  <si>
    <t>Dư lũy kế</t>
  </si>
  <si>
    <t>Cảnh báo</t>
  </si>
  <si>
    <t>Ngày</t>
  </si>
  <si>
    <t>Số phiếu</t>
  </si>
  <si>
    <t>Thu</t>
  </si>
  <si>
    <t>Chi</t>
  </si>
  <si>
    <t>Cộng phát sinh trong kỳ</t>
  </si>
  <si>
    <t>Tiền mặt thu ngày 10</t>
  </si>
  <si>
    <t>Chi mua trứng</t>
  </si>
  <si>
    <t>Chi sửa khóa phòng</t>
  </si>
  <si>
    <t>Thu tiền mặt ngày 11</t>
  </si>
  <si>
    <t>Thu tiền mặt tháng 12</t>
  </si>
  <si>
    <t>Chi đi chợ (115) + chi phí giao dịch (20)</t>
  </si>
  <si>
    <t>Chi thanh toán tiền mặt cô Thanh T12</t>
  </si>
  <si>
    <t>13/01/2026</t>
  </si>
  <si>
    <t>31/01/2026</t>
  </si>
  <si>
    <t>Thu tiền mặt ngày 12</t>
  </si>
  <si>
    <t>Chi mua mì chính</t>
  </si>
  <si>
    <t>SỔ QUỸ CÔNG TY TNHH MTV VẬN TẢI VÀ DU LỊCH MINH HẢI</t>
  </si>
  <si>
    <t>14/01/2026</t>
  </si>
  <si>
    <t>Thu tiền mặt ngày 13</t>
  </si>
  <si>
    <t>Chi thịt (460) + rau củ quả trứng đậu (231)</t>
  </si>
  <si>
    <t>Chi tiền cho bác Kim công việc</t>
  </si>
  <si>
    <t>Chi vụ Thiện thanh toán cho bác Kim</t>
  </si>
  <si>
    <t>Thời gian</t>
  </si>
  <si>
    <t>Bác Kim chi tiền công việc, buổi chiều 15h30 ngày 14-01-2026 bác yêu cầu chi 5 triệu công việc (có bác nhâm đi cùng xuống Dương Đông)</t>
  </si>
  <si>
    <t>Bác Kim thiếu 1,368,000</t>
  </si>
  <si>
    <t xml:space="preserve">Bác Kim nhận tiền của Thiện, buổi tối  ngày 14-01-2026 </t>
  </si>
  <si>
    <t>15/01/2026</t>
  </si>
  <si>
    <t>Thu tiền mặt ngày 14</t>
  </si>
  <si>
    <t>16/01/2026</t>
  </si>
  <si>
    <t>Thu tiền mặt ngày 15</t>
  </si>
  <si>
    <t>Công nợ</t>
  </si>
  <si>
    <t>-</t>
  </si>
  <si>
    <t>Tổng tiền dư hiện tại</t>
  </si>
  <si>
    <t xml:space="preserve">Nợ </t>
  </si>
  <si>
    <t>Bác Kim chi tiền 
đi ăn với đối tác.</t>
  </si>
  <si>
    <t>Thu tiền mặt ngày 16</t>
  </si>
  <si>
    <t>17/01/2026</t>
  </si>
  <si>
    <t>Chi 10% tiền vượt KPI cho Thanh, Lập, Nhất</t>
  </si>
  <si>
    <t>Chi tiền nhà cho bác Kim + phí 50k giao dịch</t>
  </si>
  <si>
    <t>18/01/2026</t>
  </si>
  <si>
    <t>Thu tiền mặt ngày 17</t>
  </si>
  <si>
    <t>Chi tiền đi chợ 200 + xăng 40</t>
  </si>
  <si>
    <t>Chi 10% tiền vượt KPI cho Vũ Linh</t>
  </si>
  <si>
    <t>Bác Kim thiếu 12.050.000</t>
  </si>
  <si>
    <t>Bác Kim chi tiền đóng tiền nhà, buổi chiều 15h30 ngày 17-01-2026 bác yêu cầu chi 12 triệu đóng tiền nhà (nhà bị cúp điện lúc 13h44)</t>
  </si>
  <si>
    <t>19/01/2026</t>
  </si>
  <si>
    <t>Thu tiền mặt ngày 18</t>
  </si>
  <si>
    <t>20/01/2026</t>
  </si>
  <si>
    <t>Chi thanh toán tiền mặt cô Thanh T1 từ ngày 10 tới 18 + phí 30k</t>
  </si>
  <si>
    <t>Bà gửi 14tr tiền tháng 12</t>
  </si>
  <si>
    <t>Hôm nay lúc 10h20 sáng ngày 20 tháng 1 năm 2026 chi thanh toán tiền mặt từ ngày 10 tới 18 cho cô Thanh (đã chuyển)</t>
  </si>
  <si>
    <t>Chi tiền đi chợ trứng 40 + gia vị 10 muối</t>
  </si>
  <si>
    <t>Thu tiền mặt ngày 19</t>
  </si>
  <si>
    <t>âm 50k</t>
  </si>
  <si>
    <t>Thu tiền mặt ngày 21</t>
  </si>
  <si>
    <t>21/01/2026</t>
  </si>
  <si>
    <t>Thu tiền mặt ngày 20</t>
  </si>
  <si>
    <t>22/01/2026</t>
  </si>
  <si>
    <t>Linh không đi làm nên thọt</t>
  </si>
  <si>
    <t>23/01/2026</t>
  </si>
  <si>
    <t>Thu tiền mặt ngày 22</t>
  </si>
  <si>
    <t>Chi trứng thịt 380</t>
  </si>
  <si>
    <t>24/01/2026</t>
  </si>
  <si>
    <t>Chi đồ đèn cúng, rau, thực phẩm khô, trái cây, quẹt lửa, giấy ăn</t>
  </si>
  <si>
    <t>25/01/2026</t>
  </si>
  <si>
    <t>Thu tiền mặt ngày 23</t>
  </si>
  <si>
    <t>Thu tiền mặt ngày 24</t>
  </si>
  <si>
    <t>Chi sửa khóa + đánh khóa mới + xăng 50k</t>
  </si>
  <si>
    <t>Bác nhâm làm hư khóa</t>
  </si>
  <si>
    <t>26/01/2026</t>
  </si>
  <si>
    <t>Chi thanh toán tiền mặt cô Thanh T1 từ ngày 19 tới 24 + phí 50k</t>
  </si>
  <si>
    <t>Chi ngày của Phật, bánh chocopie cacao 70k</t>
  </si>
  <si>
    <t>Thu tiền mặt ngày 25</t>
  </si>
  <si>
    <t>Thu tiền mặt ngày 26</t>
  </si>
  <si>
    <t>27/01/2026</t>
  </si>
  <si>
    <t xml:space="preserve">Chi mì omachi, 2 trứng, bánh afc </t>
  </si>
  <si>
    <t>28/01/2026</t>
  </si>
  <si>
    <t>Thu Đức Anh tiền chạy xe</t>
  </si>
  <si>
    <t>Chi bà đi khám lưng</t>
  </si>
  <si>
    <t>Chi đi mua cá 160 + dừa bến tre 26</t>
  </si>
  <si>
    <t>Hôm nay 10h sáng, cô Thanh kêu chuyển 5tr tiền mặt cho bà đi khám lưng</t>
  </si>
  <si>
    <t>Thu tiền mặt ngày 27</t>
  </si>
  <si>
    <t>Đã thu 350k của đức anh nên kh thêm vô</t>
  </si>
  <si>
    <t>Tổng tiền đã gửi cho cô Thanh</t>
  </si>
  <si>
    <t>Đã trừ phí giao dịch ra</t>
  </si>
  <si>
    <t>29/01/2026</t>
  </si>
  <si>
    <t>Thu tiền mặt ngày 28</t>
  </si>
  <si>
    <t>Thu tiền bác thành 29 500</t>
  </si>
  <si>
    <t>Chi mua đèn cầy nến ly , hoa, 5 loại trái cây
đồ cúng kiếng</t>
  </si>
  <si>
    <t>Chi mua dừa bến tre 4 trái</t>
  </si>
  <si>
    <t>30/01/2026</t>
  </si>
  <si>
    <t>Thu tiền mặt ngày 29</t>
  </si>
  <si>
    <t>Chi băng keo điện , băng keo trong, rau</t>
  </si>
  <si>
    <t>Thu tiền mặt ngày 30</t>
  </si>
  <si>
    <t>Thu tiền mặt ngày 31</t>
  </si>
  <si>
    <t xml:space="preserve">Thu tiền điện của xe trắng cỏ </t>
  </si>
  <si>
    <t>Thu tiền cọc xe của bác Liêms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</si>
</sst>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70C0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4"/>
      <color theme="1"/>
      <name val="Times New Roman"/>
      <family val="1"/>
    </font>
    <font>
      <b/>
      <sz val="11"/>
      <color rgb="FFFFFF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164" fontId="5" fillId="0" borderId="1" xfId="1" applyNumberFormat="1" applyFont="1" applyBorder="1"/>
    <xf numFmtId="14" fontId="4" fillId="0" borderId="1" xfId="0" applyNumberFormat="1" applyFont="1" applyBorder="1"/>
    <xf numFmtId="164" fontId="4" fillId="0" borderId="1" xfId="1" applyNumberFormat="1" applyFont="1" applyBorder="1"/>
    <xf numFmtId="0" fontId="6" fillId="0" borderId="1" xfId="0" applyFont="1" applyBorder="1"/>
    <xf numFmtId="14" fontId="4" fillId="0" borderId="1" xfId="0" applyNumberFormat="1" applyFont="1" applyBorder="1" applyAlignment="1">
      <alignment horizontal="right"/>
    </xf>
    <xf numFmtId="14" fontId="0" fillId="0" borderId="0" xfId="0" applyNumberFormat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horizontal="right" vertical="center"/>
    </xf>
    <xf numFmtId="164" fontId="4" fillId="0" borderId="1" xfId="1" applyNumberFormat="1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164" fontId="4" fillId="0" borderId="1" xfId="1" applyNumberFormat="1" applyFont="1" applyBorder="1" applyAlignment="1">
      <alignment horizontal="center" vertical="center"/>
    </xf>
    <xf numFmtId="164" fontId="9" fillId="0" borderId="1" xfId="1" applyNumberFormat="1" applyFont="1" applyBorder="1"/>
    <xf numFmtId="0" fontId="8" fillId="3" borderId="1" xfId="0" applyFont="1" applyFill="1" applyBorder="1" applyAlignment="1">
      <alignment vertical="center" wrapText="1"/>
    </xf>
    <xf numFmtId="164" fontId="6" fillId="0" borderId="1" xfId="1" applyNumberFormat="1" applyFont="1" applyBorder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 applyAlignment="1">
      <alignment horizontal="right" vertical="center"/>
    </xf>
    <xf numFmtId="0" fontId="0" fillId="4" borderId="1" xfId="0" applyFill="1" applyBorder="1"/>
    <xf numFmtId="164" fontId="6" fillId="4" borderId="1" xfId="1" applyNumberFormat="1" applyFont="1" applyFill="1" applyBorder="1"/>
    <xf numFmtId="0" fontId="10" fillId="0" borderId="1" xfId="0" applyFont="1" applyBorder="1"/>
    <xf numFmtId="0" fontId="6" fillId="4" borderId="1" xfId="0" applyFont="1" applyFill="1" applyBorder="1"/>
    <xf numFmtId="164" fontId="4" fillId="4" borderId="1" xfId="1" applyNumberFormat="1" applyFont="1" applyFill="1" applyBorder="1"/>
    <xf numFmtId="0" fontId="6" fillId="4" borderId="1" xfId="0" applyFont="1" applyFill="1" applyBorder="1" applyAlignment="1">
      <alignment wrapText="1"/>
    </xf>
    <xf numFmtId="0" fontId="6" fillId="5" borderId="1" xfId="0" applyFont="1" applyFill="1" applyBorder="1"/>
    <xf numFmtId="164" fontId="4" fillId="5" borderId="1" xfId="1" applyNumberFormat="1" applyFont="1" applyFill="1" applyBorder="1"/>
    <xf numFmtId="164" fontId="6" fillId="5" borderId="1" xfId="1" applyNumberFormat="1" applyFont="1" applyFill="1" applyBorder="1"/>
    <xf numFmtId="0" fontId="0" fillId="4" borderId="1" xfId="0" applyFill="1" applyBorder="1" applyAlignment="1">
      <alignment wrapText="1"/>
    </xf>
    <xf numFmtId="0" fontId="5" fillId="0" borderId="0" xfId="0" applyFont="1"/>
    <xf numFmtId="0" fontId="0" fillId="4" borderId="0" xfId="0" applyFill="1"/>
    <xf numFmtId="3" fontId="5" fillId="0" borderId="0" xfId="0" applyNumberFormat="1" applyFont="1"/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N74"/>
  <sheetViews>
    <sheetView tabSelected="1" topLeftCell="A17" zoomScaleNormal="100" workbookViewId="0">
      <selection activeCell="D63" sqref="D63"/>
    </sheetView>
  </sheetViews>
  <sheetFormatPr defaultRowHeight="15" x14ac:dyDescent="0.25"/>
  <cols>
    <col min="1" max="1" width="11.140625" customWidth="1"/>
    <col min="2" max="3" width="14.7109375" customWidth="1"/>
    <col min="4" max="4" width="43.140625" customWidth="1"/>
    <col min="5" max="5" width="19.7109375" customWidth="1"/>
    <col min="6" max="6" width="22.140625" customWidth="1"/>
    <col min="7" max="8" width="16.42578125" customWidth="1"/>
    <col min="9" max="9" width="26.42578125" customWidth="1"/>
    <col min="10" max="10" width="34.42578125" customWidth="1"/>
    <col min="12" max="12" width="15.140625" customWidth="1"/>
  </cols>
  <sheetData>
    <row r="4" spans="1:14" ht="20.25" x14ac:dyDescent="0.3">
      <c r="A4" s="39" t="s">
        <v>22</v>
      </c>
      <c r="B4" s="39"/>
      <c r="C4" s="39"/>
      <c r="D4" s="39"/>
      <c r="E4" s="39"/>
      <c r="F4" s="39"/>
      <c r="G4" s="39"/>
      <c r="H4" s="39"/>
      <c r="I4" s="39"/>
    </row>
    <row r="5" spans="1:14" ht="18.75" x14ac:dyDescent="0.3">
      <c r="A5" s="40" t="str">
        <f>"Từ ngày " &amp; TEXT(L5,"dd/mm/yyyy") &amp; " đến ngày " &amp; TEXT(N5,"dd/mm/yyyy")</f>
        <v>Từ ngày 01/01/2026 đến ngày 31/01/2026</v>
      </c>
      <c r="B5" s="40"/>
      <c r="C5" s="40"/>
      <c r="D5" s="40"/>
      <c r="E5" s="40"/>
      <c r="F5" s="40"/>
      <c r="G5" s="40"/>
      <c r="H5" s="40"/>
      <c r="I5" s="40"/>
      <c r="L5" s="10">
        <v>46023</v>
      </c>
      <c r="N5" t="s">
        <v>19</v>
      </c>
    </row>
    <row r="6" spans="1:14" x14ac:dyDescent="0.25">
      <c r="A6" s="41"/>
      <c r="B6" s="41"/>
      <c r="C6" s="41"/>
      <c r="D6" s="41"/>
      <c r="E6" s="41"/>
      <c r="F6" s="41"/>
      <c r="G6" s="41"/>
      <c r="H6" s="41"/>
      <c r="I6" s="41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</row>
    <row r="8" spans="1:14" x14ac:dyDescent="0.25">
      <c r="A8" s="42"/>
      <c r="B8" s="43"/>
      <c r="C8" s="43"/>
      <c r="D8" s="43"/>
      <c r="E8" s="43"/>
      <c r="F8" s="43"/>
      <c r="G8" s="43"/>
      <c r="H8" s="43"/>
      <c r="I8" s="43"/>
    </row>
    <row r="9" spans="1:14" x14ac:dyDescent="0.25">
      <c r="A9" s="38" t="s">
        <v>0</v>
      </c>
      <c r="B9" s="38" t="s">
        <v>1</v>
      </c>
      <c r="C9" s="38"/>
      <c r="D9" s="38" t="s">
        <v>2</v>
      </c>
      <c r="E9" s="38" t="s">
        <v>3</v>
      </c>
      <c r="F9" s="38"/>
      <c r="G9" s="38" t="s">
        <v>4</v>
      </c>
      <c r="H9" s="44" t="s">
        <v>36</v>
      </c>
      <c r="I9" s="38" t="s">
        <v>5</v>
      </c>
      <c r="J9" s="38" t="s">
        <v>28</v>
      </c>
    </row>
    <row r="10" spans="1:14" x14ac:dyDescent="0.25">
      <c r="A10" s="38"/>
      <c r="B10" s="2" t="s">
        <v>6</v>
      </c>
      <c r="C10" s="2" t="s">
        <v>7</v>
      </c>
      <c r="D10" s="38"/>
      <c r="E10" s="2" t="s">
        <v>8</v>
      </c>
      <c r="F10" s="2" t="s">
        <v>9</v>
      </c>
      <c r="G10" s="38"/>
      <c r="H10" s="45"/>
      <c r="I10" s="38"/>
      <c r="J10" s="38"/>
    </row>
    <row r="11" spans="1:14" x14ac:dyDescent="0.25">
      <c r="A11" s="3"/>
      <c r="B11" s="3"/>
      <c r="C11" s="3"/>
      <c r="D11" s="4" t="s">
        <v>11</v>
      </c>
      <c r="E11" s="5"/>
      <c r="F11" s="5"/>
      <c r="G11" s="5">
        <v>4525000</v>
      </c>
      <c r="H11" s="5"/>
      <c r="I11" s="3"/>
      <c r="J11" s="12"/>
    </row>
    <row r="12" spans="1:14" x14ac:dyDescent="0.25">
      <c r="A12" s="3">
        <v>1</v>
      </c>
      <c r="B12" s="6">
        <v>46327</v>
      </c>
      <c r="C12" s="3"/>
      <c r="D12" s="3" t="s">
        <v>13</v>
      </c>
      <c r="E12" s="7"/>
      <c r="F12" s="7">
        <v>150000</v>
      </c>
      <c r="G12" s="7">
        <f>G11 + IF(E12&lt;&gt;"", E12, 0) - IF(F12&lt;&gt;"", F12, 0)</f>
        <v>4375000</v>
      </c>
      <c r="H12" s="7"/>
      <c r="I12" s="3"/>
      <c r="J12" s="12"/>
    </row>
    <row r="13" spans="1:14" x14ac:dyDescent="0.25">
      <c r="A13" s="3">
        <f>A12+1</f>
        <v>2</v>
      </c>
      <c r="B13" s="6">
        <v>46327</v>
      </c>
      <c r="C13" s="3"/>
      <c r="D13" s="3" t="s">
        <v>12</v>
      </c>
      <c r="E13" s="7"/>
      <c r="F13" s="7">
        <v>40000</v>
      </c>
      <c r="G13" s="7">
        <f t="shared" ref="G13:G22" si="0">G12 + IF(E13&lt;&gt;"", E13, 0) - IF(F13&lt;&gt;"", F13, 0)</f>
        <v>4335000</v>
      </c>
      <c r="H13" s="7"/>
      <c r="I13" s="3"/>
      <c r="J13" s="12"/>
    </row>
    <row r="14" spans="1:14" x14ac:dyDescent="0.25">
      <c r="A14" s="3">
        <f t="shared" ref="A14:A67" si="1">A13+1</f>
        <v>3</v>
      </c>
      <c r="B14" s="6">
        <v>46357</v>
      </c>
      <c r="C14" s="3"/>
      <c r="D14" s="11" t="s">
        <v>14</v>
      </c>
      <c r="E14" s="7">
        <v>4176000</v>
      </c>
      <c r="F14" s="7"/>
      <c r="G14" s="7">
        <f t="shared" si="0"/>
        <v>8511000</v>
      </c>
      <c r="H14" s="7"/>
      <c r="I14" s="3"/>
      <c r="J14" s="12"/>
    </row>
    <row r="15" spans="1:14" x14ac:dyDescent="0.25">
      <c r="A15" s="3">
        <f t="shared" si="1"/>
        <v>4</v>
      </c>
      <c r="B15" s="6">
        <v>46357</v>
      </c>
      <c r="C15" s="3"/>
      <c r="D15" s="8" t="s">
        <v>15</v>
      </c>
      <c r="E15" s="7">
        <v>14000000</v>
      </c>
      <c r="F15" s="7"/>
      <c r="G15" s="7">
        <f t="shared" si="0"/>
        <v>22511000</v>
      </c>
      <c r="H15" s="7"/>
      <c r="I15" s="8" t="s">
        <v>55</v>
      </c>
      <c r="J15" s="12"/>
    </row>
    <row r="16" spans="1:14" x14ac:dyDescent="0.25">
      <c r="A16" s="3">
        <f t="shared" si="1"/>
        <v>5</v>
      </c>
      <c r="B16" s="6">
        <v>46357</v>
      </c>
      <c r="C16" s="3"/>
      <c r="D16" s="3" t="s">
        <v>16</v>
      </c>
      <c r="E16" s="7"/>
      <c r="F16" s="7">
        <v>135000</v>
      </c>
      <c r="G16" s="7">
        <f t="shared" si="0"/>
        <v>22376000</v>
      </c>
      <c r="H16" s="7"/>
      <c r="I16" s="3"/>
      <c r="J16" s="12"/>
    </row>
    <row r="17" spans="1:10" x14ac:dyDescent="0.25">
      <c r="A17" s="3">
        <f t="shared" si="1"/>
        <v>6</v>
      </c>
      <c r="B17" s="6">
        <v>46357</v>
      </c>
      <c r="C17" s="3"/>
      <c r="D17" s="27" t="s">
        <v>17</v>
      </c>
      <c r="E17" s="28"/>
      <c r="F17" s="25">
        <v>14000000</v>
      </c>
      <c r="G17" s="7">
        <f t="shared" si="0"/>
        <v>8376000</v>
      </c>
      <c r="H17" s="7"/>
      <c r="I17" s="3"/>
      <c r="J17" s="12"/>
    </row>
    <row r="18" spans="1:10" x14ac:dyDescent="0.25">
      <c r="A18" s="3">
        <f t="shared" si="1"/>
        <v>7</v>
      </c>
      <c r="B18" s="9" t="s">
        <v>18</v>
      </c>
      <c r="C18" s="3"/>
      <c r="D18" s="11" t="s">
        <v>20</v>
      </c>
      <c r="E18" s="7">
        <v>3960000</v>
      </c>
      <c r="F18" s="7"/>
      <c r="G18" s="7">
        <f t="shared" si="0"/>
        <v>12336000</v>
      </c>
      <c r="H18" s="7"/>
      <c r="I18" s="3"/>
      <c r="J18" s="12"/>
    </row>
    <row r="19" spans="1:10" x14ac:dyDescent="0.25">
      <c r="A19" s="3">
        <f t="shared" si="1"/>
        <v>8</v>
      </c>
      <c r="B19" s="9" t="s">
        <v>18</v>
      </c>
      <c r="C19" s="3"/>
      <c r="D19" s="3" t="s">
        <v>21</v>
      </c>
      <c r="E19" s="7"/>
      <c r="F19" s="7">
        <v>38000</v>
      </c>
      <c r="G19" s="7">
        <f t="shared" si="0"/>
        <v>12298000</v>
      </c>
      <c r="H19" s="7"/>
      <c r="I19" s="3"/>
      <c r="J19" s="12"/>
    </row>
    <row r="20" spans="1:10" x14ac:dyDescent="0.25">
      <c r="A20" s="3">
        <f t="shared" si="1"/>
        <v>9</v>
      </c>
      <c r="B20" s="9" t="s">
        <v>23</v>
      </c>
      <c r="C20" s="3"/>
      <c r="D20" s="11" t="s">
        <v>24</v>
      </c>
      <c r="E20" s="7">
        <v>3300000</v>
      </c>
      <c r="F20" s="7"/>
      <c r="G20" s="7">
        <f t="shared" si="0"/>
        <v>15598000</v>
      </c>
      <c r="H20" s="7"/>
      <c r="I20" s="3"/>
      <c r="J20" s="12"/>
    </row>
    <row r="21" spans="1:10" x14ac:dyDescent="0.25">
      <c r="A21" s="3">
        <f t="shared" si="1"/>
        <v>10</v>
      </c>
      <c r="B21" s="9" t="s">
        <v>23</v>
      </c>
      <c r="C21" s="3"/>
      <c r="D21" s="3" t="s">
        <v>25</v>
      </c>
      <c r="E21" s="7"/>
      <c r="F21" s="7">
        <v>691000</v>
      </c>
      <c r="G21" s="7">
        <f t="shared" si="0"/>
        <v>14907000</v>
      </c>
      <c r="H21" s="7"/>
      <c r="I21" s="3"/>
      <c r="J21" s="12"/>
    </row>
    <row r="22" spans="1:10" ht="60" x14ac:dyDescent="0.25">
      <c r="A22" s="14">
        <f t="shared" si="1"/>
        <v>11</v>
      </c>
      <c r="B22" s="15" t="s">
        <v>23</v>
      </c>
      <c r="C22" s="14"/>
      <c r="D22" s="14" t="s">
        <v>26</v>
      </c>
      <c r="E22" s="16"/>
      <c r="F22" s="16">
        <v>5000000</v>
      </c>
      <c r="G22" s="16">
        <f t="shared" si="0"/>
        <v>9907000</v>
      </c>
      <c r="H22" s="16"/>
      <c r="I22" s="20" t="s">
        <v>40</v>
      </c>
      <c r="J22" s="13" t="s">
        <v>29</v>
      </c>
    </row>
    <row r="23" spans="1:10" ht="30" x14ac:dyDescent="0.25">
      <c r="A23" s="14">
        <f t="shared" si="1"/>
        <v>12</v>
      </c>
      <c r="B23" s="15" t="s">
        <v>23</v>
      </c>
      <c r="C23" s="14"/>
      <c r="D23" s="14" t="s">
        <v>27</v>
      </c>
      <c r="E23" s="18" t="s">
        <v>37</v>
      </c>
      <c r="F23" s="18" t="s">
        <v>37</v>
      </c>
      <c r="G23" s="18" t="s">
        <v>37</v>
      </c>
      <c r="H23" s="16">
        <v>1368000</v>
      </c>
      <c r="I23" s="17" t="s">
        <v>30</v>
      </c>
      <c r="J23" s="13" t="s">
        <v>31</v>
      </c>
    </row>
    <row r="24" spans="1:10" x14ac:dyDescent="0.25">
      <c r="A24" s="3">
        <f t="shared" si="1"/>
        <v>13</v>
      </c>
      <c r="B24" s="15" t="s">
        <v>32</v>
      </c>
      <c r="C24" s="3"/>
      <c r="D24" s="11" t="s">
        <v>33</v>
      </c>
      <c r="E24" s="7">
        <v>3120000</v>
      </c>
      <c r="F24" s="7"/>
      <c r="G24" s="16">
        <f>G22 + IF(E24&lt;&gt;"", E24, 0) - IF(F24&lt;&gt;"", F24, 0)</f>
        <v>13027000</v>
      </c>
      <c r="H24" s="16"/>
      <c r="I24" s="3"/>
      <c r="J24" s="12"/>
    </row>
    <row r="25" spans="1:10" x14ac:dyDescent="0.25">
      <c r="A25" s="3">
        <f t="shared" si="1"/>
        <v>14</v>
      </c>
      <c r="B25" s="15" t="s">
        <v>34</v>
      </c>
      <c r="C25" s="3"/>
      <c r="D25" s="11" t="s">
        <v>35</v>
      </c>
      <c r="E25" s="7">
        <v>2460000</v>
      </c>
      <c r="F25" s="7"/>
      <c r="G25" s="7">
        <f>IF(AND(E25="",F25=""),"", G24 + IF(E25&lt;&gt;"",E25,0) - IF(F25&lt;&gt;"",F25,0))</f>
        <v>15487000</v>
      </c>
      <c r="H25" s="7"/>
      <c r="I25" s="3"/>
      <c r="J25" s="12"/>
    </row>
    <row r="26" spans="1:10" x14ac:dyDescent="0.25">
      <c r="A26" s="3">
        <f t="shared" si="1"/>
        <v>15</v>
      </c>
      <c r="B26" s="15" t="s">
        <v>42</v>
      </c>
      <c r="C26" s="3"/>
      <c r="D26" s="11" t="s">
        <v>41</v>
      </c>
      <c r="E26" s="7">
        <v>3510000</v>
      </c>
      <c r="F26" s="7"/>
      <c r="G26" s="7">
        <f>IF(AND(E26="",F26=""),"", G25 + IF(E26&lt;&gt;"",E26,0) - IF(F26&lt;&gt;"",F26,0))</f>
        <v>18997000</v>
      </c>
      <c r="H26" s="7"/>
      <c r="I26" s="3"/>
      <c r="J26" s="12"/>
    </row>
    <row r="27" spans="1:10" x14ac:dyDescent="0.25">
      <c r="A27" s="3">
        <f t="shared" si="1"/>
        <v>16</v>
      </c>
      <c r="B27" s="15" t="s">
        <v>42</v>
      </c>
      <c r="C27" s="3"/>
      <c r="D27" s="3" t="s">
        <v>43</v>
      </c>
      <c r="E27" s="7"/>
      <c r="F27" s="7">
        <v>974000</v>
      </c>
      <c r="G27" s="7">
        <f>IF(AND(E27="",F27=""),"", G26 + IF(E27&lt;&gt;"",E27,0) - IF(F27&lt;&gt;"",F27,0))</f>
        <v>18023000</v>
      </c>
      <c r="H27" s="21"/>
      <c r="I27" s="3"/>
      <c r="J27" s="12"/>
    </row>
    <row r="28" spans="1:10" ht="60" x14ac:dyDescent="0.25">
      <c r="A28" s="3">
        <f t="shared" si="1"/>
        <v>17</v>
      </c>
      <c r="B28" s="15" t="s">
        <v>42</v>
      </c>
      <c r="C28" s="3"/>
      <c r="D28" s="30" t="s">
        <v>44</v>
      </c>
      <c r="E28" s="31"/>
      <c r="F28" s="32">
        <v>12050000</v>
      </c>
      <c r="G28" s="7">
        <f>IF(AND(E28="",F28=""),"", G27 + IF(E28&lt;&gt;"",E28,0) - IF(F28&lt;&gt;"",F28,0))</f>
        <v>5973000</v>
      </c>
      <c r="H28" s="7"/>
      <c r="I28" s="17" t="s">
        <v>49</v>
      </c>
      <c r="J28" s="13" t="s">
        <v>50</v>
      </c>
    </row>
    <row r="29" spans="1:10" x14ac:dyDescent="0.25">
      <c r="A29" s="3">
        <f t="shared" si="1"/>
        <v>18</v>
      </c>
      <c r="B29" s="15" t="s">
        <v>45</v>
      </c>
      <c r="C29" s="3"/>
      <c r="D29" s="11" t="s">
        <v>46</v>
      </c>
      <c r="E29" s="7">
        <v>3150000</v>
      </c>
      <c r="F29" s="7"/>
      <c r="G29" s="7">
        <f t="shared" ref="G29:G59" si="2">IF(AND(E29="",F29=""),"", G28 + IF(E29&lt;&gt;"",E29,0) - IF(F29&lt;&gt;"",F29,0))</f>
        <v>9123000</v>
      </c>
      <c r="H29" s="7"/>
      <c r="I29" s="3"/>
      <c r="J29" s="12"/>
    </row>
    <row r="30" spans="1:10" x14ac:dyDescent="0.25">
      <c r="A30" s="3">
        <f t="shared" si="1"/>
        <v>19</v>
      </c>
      <c r="B30" s="15" t="s">
        <v>45</v>
      </c>
      <c r="C30" s="3"/>
      <c r="D30" s="3" t="s">
        <v>47</v>
      </c>
      <c r="E30" s="7"/>
      <c r="F30" s="7">
        <v>240000</v>
      </c>
      <c r="G30" s="7">
        <f t="shared" si="2"/>
        <v>8883000</v>
      </c>
      <c r="H30" s="7"/>
      <c r="I30" s="3"/>
      <c r="J30" s="12"/>
    </row>
    <row r="31" spans="1:10" x14ac:dyDescent="0.25">
      <c r="A31" s="3">
        <f t="shared" si="1"/>
        <v>20</v>
      </c>
      <c r="B31" s="15" t="s">
        <v>45</v>
      </c>
      <c r="C31" s="3"/>
      <c r="D31" s="3" t="s">
        <v>48</v>
      </c>
      <c r="E31" s="7"/>
      <c r="F31" s="7">
        <v>390000</v>
      </c>
      <c r="G31" s="7">
        <f t="shared" si="2"/>
        <v>8493000</v>
      </c>
      <c r="H31" s="7"/>
      <c r="I31" s="3"/>
      <c r="J31" s="12"/>
    </row>
    <row r="32" spans="1:10" x14ac:dyDescent="0.25">
      <c r="A32" s="3">
        <f t="shared" si="1"/>
        <v>21</v>
      </c>
      <c r="B32" s="15" t="s">
        <v>51</v>
      </c>
      <c r="C32" s="3"/>
      <c r="D32" s="11" t="s">
        <v>52</v>
      </c>
      <c r="E32" s="7">
        <v>3240000</v>
      </c>
      <c r="F32" s="7"/>
      <c r="G32" s="7">
        <f t="shared" si="2"/>
        <v>11733000</v>
      </c>
      <c r="H32" s="7"/>
      <c r="I32" s="3"/>
      <c r="J32" s="12"/>
    </row>
    <row r="33" spans="1:10" ht="57.75" x14ac:dyDescent="0.25">
      <c r="A33" s="3">
        <f t="shared" si="1"/>
        <v>22</v>
      </c>
      <c r="B33" s="23" t="s">
        <v>53</v>
      </c>
      <c r="C33" s="3"/>
      <c r="D33" s="29" t="s">
        <v>54</v>
      </c>
      <c r="E33" s="28"/>
      <c r="F33" s="25">
        <v>11733000</v>
      </c>
      <c r="G33" s="7">
        <f t="shared" si="2"/>
        <v>0</v>
      </c>
      <c r="H33" s="7"/>
      <c r="J33" s="22" t="s">
        <v>56</v>
      </c>
    </row>
    <row r="34" spans="1:10" x14ac:dyDescent="0.25">
      <c r="A34" s="3">
        <f t="shared" si="1"/>
        <v>23</v>
      </c>
      <c r="B34" s="15" t="s">
        <v>53</v>
      </c>
      <c r="C34" s="3"/>
      <c r="D34" s="3" t="s">
        <v>57</v>
      </c>
      <c r="E34" s="7"/>
      <c r="F34" s="7">
        <v>50000</v>
      </c>
      <c r="G34" s="25">
        <f t="shared" si="2"/>
        <v>-50000</v>
      </c>
      <c r="H34" s="7"/>
      <c r="I34" s="3"/>
      <c r="J34" s="24" t="s">
        <v>59</v>
      </c>
    </row>
    <row r="35" spans="1:10" x14ac:dyDescent="0.25">
      <c r="A35" s="3">
        <f t="shared" si="1"/>
        <v>24</v>
      </c>
      <c r="B35" s="15" t="s">
        <v>53</v>
      </c>
      <c r="C35" s="3"/>
      <c r="D35" s="11" t="s">
        <v>58</v>
      </c>
      <c r="E35" s="7">
        <v>2860000</v>
      </c>
      <c r="F35" s="7"/>
      <c r="G35" s="7">
        <f t="shared" si="2"/>
        <v>2810000</v>
      </c>
      <c r="H35" s="7"/>
      <c r="I35" s="3"/>
      <c r="J35" s="12"/>
    </row>
    <row r="36" spans="1:10" x14ac:dyDescent="0.25">
      <c r="A36" s="3">
        <f t="shared" si="1"/>
        <v>25</v>
      </c>
      <c r="B36" s="15" t="s">
        <v>61</v>
      </c>
      <c r="C36" s="3"/>
      <c r="D36" s="11" t="s">
        <v>62</v>
      </c>
      <c r="E36" s="7">
        <v>2770000</v>
      </c>
      <c r="F36" s="7"/>
      <c r="G36" s="7">
        <f t="shared" si="2"/>
        <v>5580000</v>
      </c>
      <c r="H36" s="7"/>
      <c r="I36" s="3"/>
      <c r="J36" s="12"/>
    </row>
    <row r="37" spans="1:10" x14ac:dyDescent="0.25">
      <c r="A37" s="3">
        <f t="shared" si="1"/>
        <v>26</v>
      </c>
      <c r="B37" s="15" t="s">
        <v>63</v>
      </c>
      <c r="C37" s="3"/>
      <c r="D37" s="11" t="s">
        <v>60</v>
      </c>
      <c r="E37" s="7">
        <v>1620000</v>
      </c>
      <c r="F37" s="7"/>
      <c r="G37" s="7">
        <f t="shared" si="2"/>
        <v>7200000</v>
      </c>
      <c r="H37" s="7"/>
      <c r="I37" s="3"/>
      <c r="J37" s="26" t="s">
        <v>64</v>
      </c>
    </row>
    <row r="38" spans="1:10" x14ac:dyDescent="0.25">
      <c r="A38" s="3">
        <f t="shared" si="1"/>
        <v>27</v>
      </c>
      <c r="B38" s="15" t="s">
        <v>65</v>
      </c>
      <c r="C38" s="3"/>
      <c r="D38" s="4" t="s">
        <v>67</v>
      </c>
      <c r="E38" s="7"/>
      <c r="F38" s="7">
        <v>380000</v>
      </c>
      <c r="G38" s="7">
        <f t="shared" si="2"/>
        <v>6820000</v>
      </c>
      <c r="H38" s="7"/>
      <c r="I38" s="3"/>
      <c r="J38" s="12"/>
    </row>
    <row r="39" spans="1:10" x14ac:dyDescent="0.25">
      <c r="A39" s="3">
        <f t="shared" si="1"/>
        <v>28</v>
      </c>
      <c r="B39" s="15" t="s">
        <v>65</v>
      </c>
      <c r="C39" s="3"/>
      <c r="D39" s="11" t="s">
        <v>66</v>
      </c>
      <c r="E39" s="7">
        <v>2500000</v>
      </c>
      <c r="F39" s="7"/>
      <c r="G39" s="7">
        <f t="shared" si="2"/>
        <v>9320000</v>
      </c>
      <c r="H39" s="7"/>
      <c r="I39" s="3"/>
      <c r="J39" s="12"/>
    </row>
    <row r="40" spans="1:10" ht="30" x14ac:dyDescent="0.25">
      <c r="A40" s="3">
        <f t="shared" si="1"/>
        <v>29</v>
      </c>
      <c r="B40" s="15" t="s">
        <v>68</v>
      </c>
      <c r="C40" s="3"/>
      <c r="D40" s="13" t="s">
        <v>69</v>
      </c>
      <c r="E40" s="7"/>
      <c r="F40" s="7">
        <v>370000</v>
      </c>
      <c r="G40" s="7">
        <f t="shared" si="2"/>
        <v>8950000</v>
      </c>
      <c r="H40" s="7"/>
      <c r="I40" s="3"/>
      <c r="J40" s="12"/>
    </row>
    <row r="41" spans="1:10" x14ac:dyDescent="0.25">
      <c r="A41" s="3">
        <f t="shared" si="1"/>
        <v>30</v>
      </c>
      <c r="B41" s="15" t="s">
        <v>70</v>
      </c>
      <c r="C41" s="3"/>
      <c r="D41" s="11" t="s">
        <v>71</v>
      </c>
      <c r="E41" s="7">
        <v>2160000</v>
      </c>
      <c r="F41" s="7"/>
      <c r="G41" s="7">
        <f t="shared" si="2"/>
        <v>11110000</v>
      </c>
      <c r="H41" s="7"/>
      <c r="I41" s="3"/>
      <c r="J41" s="12"/>
    </row>
    <row r="42" spans="1:10" x14ac:dyDescent="0.25">
      <c r="A42" s="3">
        <f t="shared" si="1"/>
        <v>31</v>
      </c>
      <c r="B42" s="15" t="s">
        <v>70</v>
      </c>
      <c r="C42" s="3"/>
      <c r="D42" s="11" t="s">
        <v>72</v>
      </c>
      <c r="E42" s="7">
        <v>3340000</v>
      </c>
      <c r="F42" s="7"/>
      <c r="G42" s="7">
        <f t="shared" si="2"/>
        <v>14450000</v>
      </c>
      <c r="H42" s="7"/>
      <c r="I42" s="3"/>
      <c r="J42" s="12"/>
    </row>
    <row r="43" spans="1:10" x14ac:dyDescent="0.25">
      <c r="A43" s="3">
        <f t="shared" si="1"/>
        <v>32</v>
      </c>
      <c r="B43" s="15" t="s">
        <v>70</v>
      </c>
      <c r="C43" s="3"/>
      <c r="D43" s="13" t="s">
        <v>73</v>
      </c>
      <c r="E43" s="7"/>
      <c r="F43" s="7">
        <v>350000</v>
      </c>
      <c r="G43" s="7">
        <f t="shared" si="2"/>
        <v>14100000</v>
      </c>
      <c r="H43" s="7"/>
      <c r="I43" s="3"/>
      <c r="J43" s="24" t="s">
        <v>74</v>
      </c>
    </row>
    <row r="44" spans="1:10" ht="29.25" x14ac:dyDescent="0.25">
      <c r="A44" s="3">
        <f t="shared" si="1"/>
        <v>33</v>
      </c>
      <c r="B44" s="15" t="s">
        <v>75</v>
      </c>
      <c r="C44" s="3"/>
      <c r="D44" s="29" t="s">
        <v>76</v>
      </c>
      <c r="E44" s="28"/>
      <c r="F44" s="25">
        <v>14050000</v>
      </c>
      <c r="G44" s="7">
        <f t="shared" si="2"/>
        <v>50000</v>
      </c>
      <c r="H44" s="7"/>
      <c r="I44" s="3"/>
      <c r="J44" s="12"/>
    </row>
    <row r="45" spans="1:10" x14ac:dyDescent="0.25">
      <c r="A45" s="3">
        <f t="shared" si="1"/>
        <v>34</v>
      </c>
      <c r="B45" s="15" t="s">
        <v>75</v>
      </c>
      <c r="C45" s="3"/>
      <c r="D45" s="3" t="s">
        <v>77</v>
      </c>
      <c r="E45" s="7"/>
      <c r="F45" s="7">
        <v>70000</v>
      </c>
      <c r="G45" s="7">
        <f t="shared" si="2"/>
        <v>-20000</v>
      </c>
      <c r="H45" s="7"/>
      <c r="I45" s="3"/>
      <c r="J45" s="12"/>
    </row>
    <row r="46" spans="1:10" x14ac:dyDescent="0.25">
      <c r="A46" s="3">
        <f t="shared" si="1"/>
        <v>35</v>
      </c>
      <c r="B46" s="15" t="s">
        <v>75</v>
      </c>
      <c r="C46" s="3"/>
      <c r="D46" s="11" t="s">
        <v>78</v>
      </c>
      <c r="E46" s="7">
        <v>3360000</v>
      </c>
      <c r="F46" s="7"/>
      <c r="G46" s="7">
        <f t="shared" si="2"/>
        <v>3340000</v>
      </c>
      <c r="H46" s="7"/>
      <c r="I46" s="3"/>
      <c r="J46" s="12"/>
    </row>
    <row r="47" spans="1:10" x14ac:dyDescent="0.25">
      <c r="A47" s="3">
        <f t="shared" si="1"/>
        <v>36</v>
      </c>
      <c r="B47" s="15" t="s">
        <v>80</v>
      </c>
      <c r="C47" s="3"/>
      <c r="D47" s="11" t="s">
        <v>79</v>
      </c>
      <c r="E47" s="7">
        <v>2660000</v>
      </c>
      <c r="F47" s="7"/>
      <c r="G47" s="7">
        <f t="shared" si="2"/>
        <v>6000000</v>
      </c>
      <c r="H47" s="7"/>
      <c r="I47" s="3"/>
      <c r="J47" s="12"/>
    </row>
    <row r="48" spans="1:10" x14ac:dyDescent="0.25">
      <c r="A48" s="3">
        <f t="shared" si="1"/>
        <v>37</v>
      </c>
      <c r="B48" s="15" t="s">
        <v>80</v>
      </c>
      <c r="C48" s="3"/>
      <c r="D48" s="3" t="s">
        <v>81</v>
      </c>
      <c r="E48" s="7"/>
      <c r="F48" s="7">
        <v>350000</v>
      </c>
      <c r="G48" s="7">
        <f t="shared" si="2"/>
        <v>5650000</v>
      </c>
      <c r="H48" s="7"/>
      <c r="I48" s="3"/>
      <c r="J48" s="12"/>
    </row>
    <row r="49" spans="1:10" x14ac:dyDescent="0.25">
      <c r="A49" s="3">
        <f t="shared" si="1"/>
        <v>38</v>
      </c>
      <c r="B49" s="15" t="s">
        <v>82</v>
      </c>
      <c r="C49" s="3"/>
      <c r="D49" s="3" t="s">
        <v>83</v>
      </c>
      <c r="E49" s="7">
        <v>350000</v>
      </c>
      <c r="F49" s="7"/>
      <c r="G49" s="7">
        <f t="shared" si="2"/>
        <v>6000000</v>
      </c>
      <c r="H49" s="7"/>
      <c r="I49" s="3"/>
      <c r="J49" s="12"/>
    </row>
    <row r="50" spans="1:10" ht="45" x14ac:dyDescent="0.25">
      <c r="A50" s="3">
        <f t="shared" si="1"/>
        <v>39</v>
      </c>
      <c r="B50" s="15" t="s">
        <v>82</v>
      </c>
      <c r="C50" s="3"/>
      <c r="D50" s="27" t="s">
        <v>84</v>
      </c>
      <c r="E50" s="28"/>
      <c r="F50" s="25">
        <v>5000000</v>
      </c>
      <c r="G50" s="25">
        <f t="shared" si="2"/>
        <v>1000000</v>
      </c>
      <c r="H50" s="7"/>
      <c r="I50" s="3"/>
      <c r="J50" s="33" t="s">
        <v>86</v>
      </c>
    </row>
    <row r="51" spans="1:10" x14ac:dyDescent="0.25">
      <c r="A51" s="3">
        <f t="shared" si="1"/>
        <v>40</v>
      </c>
      <c r="B51" s="15" t="s">
        <v>82</v>
      </c>
      <c r="C51" s="3"/>
      <c r="D51" s="3" t="s">
        <v>85</v>
      </c>
      <c r="E51" s="7"/>
      <c r="F51" s="7">
        <v>186000</v>
      </c>
      <c r="G51" s="7">
        <f t="shared" si="2"/>
        <v>814000</v>
      </c>
      <c r="H51" s="7"/>
      <c r="I51" s="3"/>
      <c r="J51" s="12"/>
    </row>
    <row r="52" spans="1:10" x14ac:dyDescent="0.25">
      <c r="A52" s="3">
        <f t="shared" si="1"/>
        <v>41</v>
      </c>
      <c r="B52" s="15" t="s">
        <v>82</v>
      </c>
      <c r="C52" s="3"/>
      <c r="D52" s="11" t="s">
        <v>87</v>
      </c>
      <c r="E52" s="7">
        <v>1710000</v>
      </c>
      <c r="F52" s="7"/>
      <c r="G52" s="7">
        <f t="shared" si="2"/>
        <v>2524000</v>
      </c>
      <c r="H52" s="7"/>
      <c r="I52" s="3"/>
      <c r="J52" s="12" t="s">
        <v>88</v>
      </c>
    </row>
    <row r="53" spans="1:10" x14ac:dyDescent="0.25">
      <c r="A53" s="3">
        <f t="shared" si="1"/>
        <v>42</v>
      </c>
      <c r="B53" s="15" t="s">
        <v>91</v>
      </c>
      <c r="C53" s="3"/>
      <c r="D53" s="11" t="s">
        <v>92</v>
      </c>
      <c r="E53" s="7">
        <v>2180000</v>
      </c>
      <c r="F53" s="7"/>
      <c r="G53" s="7">
        <f t="shared" si="2"/>
        <v>4704000</v>
      </c>
      <c r="H53" s="7"/>
      <c r="I53" s="3"/>
      <c r="J53" s="12"/>
    </row>
    <row r="54" spans="1:10" x14ac:dyDescent="0.25">
      <c r="A54" s="3">
        <f t="shared" si="1"/>
        <v>43</v>
      </c>
      <c r="B54" s="15" t="s">
        <v>91</v>
      </c>
      <c r="C54" s="3"/>
      <c r="D54" s="11" t="s">
        <v>93</v>
      </c>
      <c r="E54" s="7">
        <v>500000</v>
      </c>
      <c r="F54" s="7"/>
      <c r="G54" s="7">
        <f t="shared" si="2"/>
        <v>5204000</v>
      </c>
      <c r="H54" s="7"/>
      <c r="I54" s="3"/>
      <c r="J54" s="12"/>
    </row>
    <row r="55" spans="1:10" ht="30" x14ac:dyDescent="0.25">
      <c r="A55" s="3">
        <f t="shared" si="1"/>
        <v>44</v>
      </c>
      <c r="B55" s="15" t="s">
        <v>91</v>
      </c>
      <c r="C55" s="3"/>
      <c r="D55" s="37" t="s">
        <v>94</v>
      </c>
      <c r="E55" s="7"/>
      <c r="F55" s="7">
        <v>358000</v>
      </c>
      <c r="G55" s="7">
        <f t="shared" si="2"/>
        <v>4846000</v>
      </c>
      <c r="H55" s="7"/>
      <c r="I55" s="3"/>
      <c r="J55" s="12"/>
    </row>
    <row r="56" spans="1:10" x14ac:dyDescent="0.25">
      <c r="A56" s="3">
        <f t="shared" si="1"/>
        <v>45</v>
      </c>
      <c r="B56" s="15" t="s">
        <v>91</v>
      </c>
      <c r="C56" s="3"/>
      <c r="D56" s="37" t="s">
        <v>95</v>
      </c>
      <c r="E56" s="7"/>
      <c r="F56" s="7">
        <v>40000</v>
      </c>
      <c r="G56" s="7">
        <f t="shared" si="2"/>
        <v>4806000</v>
      </c>
      <c r="H56" s="7"/>
      <c r="I56" s="3"/>
      <c r="J56" s="12"/>
    </row>
    <row r="57" spans="1:10" x14ac:dyDescent="0.25">
      <c r="A57" s="3">
        <f t="shared" si="1"/>
        <v>46</v>
      </c>
      <c r="B57" s="15" t="s">
        <v>96</v>
      </c>
      <c r="C57" s="3"/>
      <c r="D57" s="11" t="s">
        <v>97</v>
      </c>
      <c r="E57" s="7">
        <v>2900000</v>
      </c>
      <c r="F57" s="7"/>
      <c r="G57" s="7">
        <f t="shared" si="2"/>
        <v>7706000</v>
      </c>
      <c r="H57" s="7"/>
      <c r="I57" s="3"/>
      <c r="J57" s="12"/>
    </row>
    <row r="58" spans="1:10" x14ac:dyDescent="0.25">
      <c r="A58" s="3">
        <f t="shared" si="1"/>
        <v>47</v>
      </c>
      <c r="B58" s="15" t="s">
        <v>96</v>
      </c>
      <c r="C58" s="3"/>
      <c r="D58" s="3" t="s">
        <v>98</v>
      </c>
      <c r="E58" s="7"/>
      <c r="F58" s="7">
        <v>160000</v>
      </c>
      <c r="G58" s="7">
        <f t="shared" si="2"/>
        <v>7546000</v>
      </c>
      <c r="H58" s="7"/>
      <c r="I58" s="3"/>
      <c r="J58" s="12"/>
    </row>
    <row r="59" spans="1:10" x14ac:dyDescent="0.25">
      <c r="A59" s="3">
        <f t="shared" si="1"/>
        <v>48</v>
      </c>
      <c r="B59" s="15" t="s">
        <v>19</v>
      </c>
      <c r="C59" s="3"/>
      <c r="D59" s="11" t="s">
        <v>99</v>
      </c>
      <c r="E59" s="7">
        <v>2070000</v>
      </c>
      <c r="F59" s="7"/>
      <c r="G59" s="7">
        <f t="shared" si="2"/>
        <v>9616000</v>
      </c>
      <c r="H59" s="7"/>
      <c r="I59" s="3"/>
      <c r="J59" s="12"/>
    </row>
    <row r="60" spans="1:10" x14ac:dyDescent="0.25">
      <c r="A60" s="3">
        <f t="shared" si="1"/>
        <v>49</v>
      </c>
      <c r="B60" s="15">
        <v>46024</v>
      </c>
      <c r="C60" s="3"/>
      <c r="D60" s="11" t="s">
        <v>100</v>
      </c>
      <c r="E60" s="7"/>
      <c r="F60" s="7"/>
      <c r="G60" s="7"/>
      <c r="H60" s="7"/>
      <c r="I60" s="3"/>
      <c r="J60" s="12"/>
    </row>
    <row r="61" spans="1:10" x14ac:dyDescent="0.25">
      <c r="A61" s="3">
        <f t="shared" si="1"/>
        <v>50</v>
      </c>
      <c r="B61" s="15">
        <v>46024</v>
      </c>
      <c r="C61" s="3"/>
      <c r="D61" s="3" t="s">
        <v>101</v>
      </c>
      <c r="E61" s="7">
        <v>500000</v>
      </c>
      <c r="F61" s="7"/>
      <c r="G61" s="7"/>
      <c r="H61" s="7"/>
      <c r="I61" s="3"/>
      <c r="J61" s="12"/>
    </row>
    <row r="62" spans="1:10" x14ac:dyDescent="0.25">
      <c r="A62" s="3">
        <f t="shared" si="1"/>
        <v>51</v>
      </c>
      <c r="B62" s="15">
        <v>46024</v>
      </c>
      <c r="C62" s="3"/>
      <c r="D62" s="3" t="s">
        <v>102</v>
      </c>
      <c r="E62" s="7">
        <v>3000000</v>
      </c>
      <c r="F62" s="7"/>
      <c r="G62" s="7"/>
      <c r="H62" s="7"/>
      <c r="I62" s="3"/>
      <c r="J62" s="12"/>
    </row>
    <row r="63" spans="1:10" x14ac:dyDescent="0.25">
      <c r="A63" s="3">
        <f t="shared" si="1"/>
        <v>52</v>
      </c>
      <c r="B63" s="15"/>
      <c r="C63" s="3"/>
      <c r="D63" s="3"/>
      <c r="E63" s="7"/>
      <c r="F63" s="7"/>
      <c r="G63" s="7"/>
      <c r="H63" s="7"/>
      <c r="I63" s="3"/>
      <c r="J63" s="12"/>
    </row>
    <row r="64" spans="1:10" x14ac:dyDescent="0.25">
      <c r="A64" s="3">
        <f t="shared" si="1"/>
        <v>53</v>
      </c>
      <c r="B64" s="15"/>
      <c r="C64" s="3"/>
      <c r="D64" s="3"/>
      <c r="E64" s="7"/>
      <c r="F64" s="7"/>
      <c r="G64" s="7"/>
      <c r="H64" s="7"/>
      <c r="I64" s="3"/>
      <c r="J64" s="12"/>
    </row>
    <row r="65" spans="1:10" x14ac:dyDescent="0.25">
      <c r="A65" s="3">
        <f t="shared" si="1"/>
        <v>54</v>
      </c>
      <c r="B65" s="15"/>
      <c r="C65" s="3"/>
      <c r="D65" s="3"/>
      <c r="E65" s="7"/>
      <c r="F65" s="7"/>
      <c r="G65" s="7"/>
      <c r="H65" s="7"/>
      <c r="I65" s="3"/>
      <c r="J65" s="12"/>
    </row>
    <row r="66" spans="1:10" x14ac:dyDescent="0.25">
      <c r="A66" s="3">
        <f t="shared" si="1"/>
        <v>55</v>
      </c>
      <c r="B66" s="15"/>
      <c r="C66" s="3"/>
      <c r="D66" s="3"/>
      <c r="E66" s="7"/>
      <c r="F66" s="7"/>
      <c r="G66" s="7"/>
      <c r="H66" s="7"/>
      <c r="I66" s="3"/>
      <c r="J66" s="12"/>
    </row>
    <row r="67" spans="1:10" x14ac:dyDescent="0.25">
      <c r="A67" s="3">
        <f t="shared" si="1"/>
        <v>56</v>
      </c>
      <c r="B67" s="6"/>
      <c r="C67" s="3"/>
      <c r="D67" s="3"/>
      <c r="E67" s="7"/>
      <c r="F67" s="7"/>
      <c r="G67" s="7"/>
      <c r="H67" s="7"/>
      <c r="I67" s="3"/>
      <c r="J67" s="12"/>
    </row>
    <row r="68" spans="1:10" x14ac:dyDescent="0.25">
      <c r="A68" s="3"/>
      <c r="B68" s="6"/>
      <c r="C68" s="3"/>
      <c r="D68" s="3"/>
      <c r="E68" s="7"/>
      <c r="F68" s="7"/>
      <c r="G68" s="7"/>
      <c r="H68" s="7"/>
      <c r="I68" s="3"/>
      <c r="J68" s="12"/>
    </row>
    <row r="69" spans="1:10" x14ac:dyDescent="0.25">
      <c r="A69" s="3"/>
      <c r="B69" s="6"/>
      <c r="C69" s="3"/>
      <c r="D69" s="3"/>
      <c r="E69" s="7"/>
      <c r="F69" s="7"/>
      <c r="G69" s="7"/>
      <c r="H69" s="7"/>
      <c r="I69" s="3"/>
      <c r="J69" s="12"/>
    </row>
    <row r="70" spans="1:10" x14ac:dyDescent="0.25">
      <c r="A70" s="3"/>
      <c r="B70" s="3"/>
      <c r="C70" s="3"/>
      <c r="D70" s="4" t="s">
        <v>10</v>
      </c>
      <c r="E70" s="5">
        <f>SUM(E12:E69)</f>
        <v>75396000</v>
      </c>
      <c r="F70" s="5">
        <f>SUM(F12:F69)</f>
        <v>66805000</v>
      </c>
      <c r="G70" s="5"/>
      <c r="H70" s="5"/>
      <c r="I70" s="3"/>
      <c r="J70" s="12"/>
    </row>
    <row r="71" spans="1:10" x14ac:dyDescent="0.25">
      <c r="A71" s="3"/>
      <c r="B71" s="3"/>
      <c r="C71" s="3"/>
      <c r="D71" s="4" t="s">
        <v>39</v>
      </c>
      <c r="E71" s="5"/>
      <c r="F71" s="5"/>
      <c r="G71" s="5"/>
      <c r="H71" s="19">
        <f>SUM(H11:H68)</f>
        <v>1368000</v>
      </c>
      <c r="I71" s="3"/>
      <c r="J71" s="12"/>
    </row>
    <row r="72" spans="1:10" x14ac:dyDescent="0.25">
      <c r="A72" s="3"/>
      <c r="B72" s="3"/>
      <c r="C72" s="3"/>
      <c r="D72" s="4" t="s">
        <v>38</v>
      </c>
      <c r="E72" s="5"/>
      <c r="F72" s="5"/>
      <c r="G72" s="5">
        <f>G11+E70-F70</f>
        <v>13116000</v>
      </c>
      <c r="H72" s="5"/>
      <c r="I72" s="3"/>
      <c r="J72" s="12"/>
    </row>
    <row r="74" spans="1:10" x14ac:dyDescent="0.25">
      <c r="D74" s="34" t="s">
        <v>89</v>
      </c>
      <c r="F74" s="36">
        <v>39683000</v>
      </c>
      <c r="I74" s="35" t="s">
        <v>90</v>
      </c>
    </row>
  </sheetData>
  <mergeCells count="12">
    <mergeCell ref="J9:J10"/>
    <mergeCell ref="A4:I4"/>
    <mergeCell ref="A5:I5"/>
    <mergeCell ref="A6:I6"/>
    <mergeCell ref="A8:I8"/>
    <mergeCell ref="A9:A10"/>
    <mergeCell ref="B9:C9"/>
    <mergeCell ref="D9:D10"/>
    <mergeCell ref="E9:F9"/>
    <mergeCell ref="G9:G10"/>
    <mergeCell ref="I9:I10"/>
    <mergeCell ref="H9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 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</dc:creator>
  <cp:lastModifiedBy>nguyenducanh12a10@gmail.com</cp:lastModifiedBy>
  <dcterms:created xsi:type="dcterms:W3CDTF">2015-06-05T18:17:20Z</dcterms:created>
  <dcterms:modified xsi:type="dcterms:W3CDTF">2026-02-01T18:07:28Z</dcterms:modified>
</cp:coreProperties>
</file>