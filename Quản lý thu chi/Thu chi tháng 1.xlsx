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C1C73F2F-0EFF-4D7A-95A9-9B524499CB7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1" i="1" l="1"/>
  <c r="G29" i="1"/>
  <c r="G30" i="1"/>
  <c r="G28" i="1"/>
  <c r="G27" i="1"/>
  <c r="G26" i="1"/>
  <c r="H54" i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<sst xmlns="http://schemas.openxmlformats.org/spreadsheetml/2006/main" count="61" uniqueCount="51">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</sst>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1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6" fillId="0" borderId="1" xfId="1" applyNumberFormat="1" applyFont="1" applyBorder="1"/>
    <xf numFmtId="164" fontId="6" fillId="4" borderId="1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A17" zoomScaleNormal="100" workbookViewId="0">
      <selection activeCell="D28" sqref="D28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22" t="s">
        <v>22</v>
      </c>
      <c r="B4" s="22"/>
      <c r="C4" s="22"/>
      <c r="D4" s="22"/>
      <c r="E4" s="22"/>
      <c r="F4" s="22"/>
      <c r="G4" s="22"/>
      <c r="H4" s="22"/>
      <c r="I4" s="22"/>
    </row>
    <row r="5" spans="1:14" ht="18.75" x14ac:dyDescent="0.3">
      <c r="A5" s="23" t="str">
        <f>"Từ ngày " &amp; TEXT(L5,"dd/mm/yyyy") &amp; " đến ngày " &amp; TEXT(N5,"dd/mm/yyyy")</f>
        <v>Từ ngày 01/01/2026 đến ngày 31/01/2026</v>
      </c>
      <c r="B5" s="23"/>
      <c r="C5" s="23"/>
      <c r="D5" s="23"/>
      <c r="E5" s="23"/>
      <c r="F5" s="23"/>
      <c r="G5" s="23"/>
      <c r="H5" s="23"/>
      <c r="I5" s="23"/>
      <c r="L5" s="10">
        <v>46023</v>
      </c>
      <c r="N5" t="s">
        <v>19</v>
      </c>
    </row>
    <row r="6" spans="1:14" x14ac:dyDescent="0.25">
      <c r="A6" s="24"/>
      <c r="B6" s="24"/>
      <c r="C6" s="24"/>
      <c r="D6" s="24"/>
      <c r="E6" s="24"/>
      <c r="F6" s="24"/>
      <c r="G6" s="24"/>
      <c r="H6" s="24"/>
      <c r="I6" s="24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25"/>
      <c r="B8" s="26"/>
      <c r="C8" s="26"/>
      <c r="D8" s="26"/>
      <c r="E8" s="26"/>
      <c r="F8" s="26"/>
      <c r="G8" s="26"/>
      <c r="H8" s="26"/>
      <c r="I8" s="26"/>
    </row>
    <row r="9" spans="1:14" x14ac:dyDescent="0.25">
      <c r="A9" s="21" t="s">
        <v>0</v>
      </c>
      <c r="B9" s="21" t="s">
        <v>1</v>
      </c>
      <c r="C9" s="21"/>
      <c r="D9" s="21" t="s">
        <v>2</v>
      </c>
      <c r="E9" s="21" t="s">
        <v>3</v>
      </c>
      <c r="F9" s="21"/>
      <c r="G9" s="21" t="s">
        <v>4</v>
      </c>
      <c r="H9" s="27" t="s">
        <v>36</v>
      </c>
      <c r="I9" s="21" t="s">
        <v>5</v>
      </c>
      <c r="J9" s="21" t="s">
        <v>28</v>
      </c>
    </row>
    <row r="10" spans="1:14" x14ac:dyDescent="0.25">
      <c r="A10" s="21"/>
      <c r="B10" s="2" t="s">
        <v>6</v>
      </c>
      <c r="C10" s="2" t="s">
        <v>7</v>
      </c>
      <c r="D10" s="21"/>
      <c r="E10" s="2" t="s">
        <v>8</v>
      </c>
      <c r="F10" s="2" t="s">
        <v>9</v>
      </c>
      <c r="G10" s="21"/>
      <c r="H10" s="28"/>
      <c r="I10" s="21"/>
      <c r="J10" s="21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3"/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8" t="s">
        <v>17</v>
      </c>
      <c r="E17" s="7"/>
      <c r="F17" s="7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9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8" t="s">
        <v>44</v>
      </c>
      <c r="E28" s="7"/>
      <c r="F28" s="30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3330000</v>
      </c>
      <c r="F29" s="7"/>
      <c r="G29" s="7">
        <f t="shared" ref="G29:G31" si="2">IF(AND(E29="",F29=""),"", G28 + IF(E29&lt;&gt;"",E29,0) - IF(F29&lt;&gt;"",F29,0))</f>
        <v>9303000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9063000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8673000</v>
      </c>
      <c r="H31" s="7"/>
      <c r="I31" s="3"/>
      <c r="J31" s="12"/>
    </row>
    <row r="32" spans="1:10" x14ac:dyDescent="0.25">
      <c r="A32" s="3">
        <f t="shared" si="1"/>
        <v>21</v>
      </c>
      <c r="B32" s="6"/>
      <c r="C32" s="3"/>
      <c r="D32" s="3"/>
      <c r="E32" s="7"/>
      <c r="F32" s="7"/>
      <c r="G32" s="7"/>
      <c r="H32" s="7"/>
      <c r="I32" s="3"/>
      <c r="J32" s="12"/>
    </row>
    <row r="33" spans="1:10" x14ac:dyDescent="0.25">
      <c r="A33" s="3">
        <f t="shared" si="1"/>
        <v>22</v>
      </c>
      <c r="B33" s="6"/>
      <c r="C33" s="3"/>
      <c r="D33" s="3"/>
      <c r="E33" s="7"/>
      <c r="F33" s="7"/>
      <c r="G33" s="7"/>
      <c r="H33" s="7"/>
      <c r="I33" s="3"/>
      <c r="J33" s="12"/>
    </row>
    <row r="34" spans="1:10" x14ac:dyDescent="0.25">
      <c r="A34" s="3">
        <f t="shared" si="1"/>
        <v>23</v>
      </c>
      <c r="B34" s="6"/>
      <c r="C34" s="3"/>
      <c r="D34" s="3"/>
      <c r="E34" s="7"/>
      <c r="F34" s="7"/>
      <c r="G34" s="7"/>
      <c r="H34" s="7"/>
      <c r="I34" s="3"/>
      <c r="J34" s="12"/>
    </row>
    <row r="35" spans="1:10" x14ac:dyDescent="0.25">
      <c r="A35" s="3">
        <f t="shared" si="1"/>
        <v>24</v>
      </c>
      <c r="B35" s="6"/>
      <c r="C35" s="3"/>
      <c r="D35" s="3"/>
      <c r="E35" s="7"/>
      <c r="F35" s="7"/>
      <c r="G35" s="7"/>
      <c r="H35" s="7"/>
      <c r="I35" s="3"/>
      <c r="J35" s="12"/>
    </row>
    <row r="36" spans="1:10" x14ac:dyDescent="0.25">
      <c r="A36" s="3">
        <f t="shared" si="1"/>
        <v>25</v>
      </c>
      <c r="B36" s="6"/>
      <c r="C36" s="3"/>
      <c r="D36" s="3"/>
      <c r="E36" s="7"/>
      <c r="F36" s="7"/>
      <c r="G36" s="7"/>
      <c r="H36" s="7"/>
      <c r="I36" s="3"/>
      <c r="J36" s="12"/>
    </row>
    <row r="37" spans="1:10" x14ac:dyDescent="0.25">
      <c r="A37" s="3">
        <f t="shared" si="1"/>
        <v>26</v>
      </c>
      <c r="B37" s="6"/>
      <c r="C37" s="3"/>
      <c r="D37" s="3"/>
      <c r="E37" s="7"/>
      <c r="F37" s="7"/>
      <c r="G37" s="7"/>
      <c r="H37" s="7"/>
      <c r="I37" s="3"/>
      <c r="J37" s="12"/>
    </row>
    <row r="38" spans="1:10" x14ac:dyDescent="0.25">
      <c r="A38" s="3">
        <f t="shared" si="1"/>
        <v>27</v>
      </c>
      <c r="B38" s="6"/>
      <c r="C38" s="3"/>
      <c r="D38" s="3"/>
      <c r="E38" s="7"/>
      <c r="F38" s="7"/>
      <c r="G38" s="7"/>
      <c r="H38" s="7"/>
      <c r="I38" s="3"/>
      <c r="J38" s="12"/>
    </row>
    <row r="39" spans="1:10" x14ac:dyDescent="0.25">
      <c r="A39" s="3">
        <f t="shared" si="1"/>
        <v>28</v>
      </c>
      <c r="B39" s="6"/>
      <c r="C39" s="3"/>
      <c r="D39" s="3"/>
      <c r="E39" s="7"/>
      <c r="F39" s="7"/>
      <c r="G39" s="7"/>
      <c r="H39" s="7"/>
      <c r="I39" s="3"/>
      <c r="J39" s="12"/>
    </row>
    <row r="40" spans="1:10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7"/>
      <c r="I40" s="3"/>
      <c r="J40" s="12"/>
    </row>
    <row r="41" spans="1:10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7"/>
      <c r="I41" s="3"/>
      <c r="J41" s="12"/>
    </row>
    <row r="42" spans="1:10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7"/>
      <c r="I42" s="3"/>
      <c r="J42" s="12"/>
    </row>
    <row r="43" spans="1:10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7"/>
      <c r="I43" s="3"/>
      <c r="J43" s="12"/>
    </row>
    <row r="44" spans="1:10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37856000</v>
      </c>
      <c r="F53" s="5">
        <f>SUM(F12:F52)</f>
        <v>33708000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8673000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2026-01-18T14:20:36Z</dcterms:modified>
</cp:coreProperties>
</file>