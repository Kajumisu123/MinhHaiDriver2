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6317C8DE-99A3-4FFB-97C2-9F6ADA356F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" i="1" l="1"/>
  <c r="G20" i="1"/>
  <c r="G21" i="1" s="1"/>
  <c r="G22" i="1" s="1"/>
  <c r="G23" i="1" s="1"/>
  <c r="G12" i="1" l="1"/>
  <c r="G13" i="1" s="1"/>
  <c r="G14" i="1" s="1"/>
  <c r="G15" i="1" s="1"/>
  <c r="G16" i="1" s="1"/>
  <c r="G17" i="1" s="1"/>
  <c r="G18" i="1" s="1"/>
  <c r="G19" i="1" s="1"/>
  <c r="A5" i="1"/>
  <c r="A13" i="1" l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4" i="1" s="1"/>
</calcChain>
</file>

<file path=xl/sharedStrings.xml><?xml version="1.0" encoding="utf-8"?>
<sst xmlns="http://schemas.openxmlformats.org/spreadsheetml/2006/main" count="40" uniqueCount="36">
  <si>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</si>
  <si>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</si>
  <si>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</si>
  <si>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</si>
  <si>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</si>
  <si>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</si>
  <si>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</si>
  <si>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</si>
  <si>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</si>
  <si>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</si>
  <si>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</si>
  <si>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Dư cuối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</si>
  <si>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</si>
  <si>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</si>
  <si>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</si>
  <si>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</si>
  <si>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</si>
  <si>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</si>
  <si>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</si>
  <si>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</si>
  <si>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</si>
  <si>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</si>
  <si>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</si>
  <si>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</si>
  <si>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</si>
  <si>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</si>
  <si>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</si>
  <si>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</si>
  <si>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</si>
  <si>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Bác Kim chi tiền công việc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</si>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</sst>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M54"/>
  <sheetViews>
    <sheetView tabSelected="1" topLeftCell="A17" workbookViewId="0">
      <selection activeCell="I29" sqref="I29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7" width="16.42578125" customWidth="1"/>
    <col min="8" max="8" width="26.42578125" customWidth="1"/>
    <col min="9" max="9" width="34.42578125" customWidth="1"/>
    <col min="11" max="11" width="10.7109375" bestFit="1" customWidth="1"/>
  </cols>
  <sheetData>
    <row r="4" spans="1:13" ht="20.25" x14ac:dyDescent="0.3">
      <c r="A4" s="19" t="s">
        <v>23</v>
      </c>
      <c r="B4" s="19"/>
      <c r="C4" s="19"/>
      <c r="D4" s="19"/>
      <c r="E4" s="19"/>
      <c r="F4" s="19"/>
      <c r="G4" s="19"/>
      <c r="H4" s="19"/>
    </row>
    <row r="5" spans="1:13" ht="18.75" x14ac:dyDescent="0.3">
      <c r="A5" s="20" t="str">
        <f>"Từ ngày " &amp; TEXT(K5,"dd/mm/yyyy") &amp; " đến ngày " &amp; TEXT(M5,"dd/mm/yyyy")</f>
        <v>Từ ngày 01/01/2026 đến ngày 31/01/2026</v>
      </c>
      <c r="B5" s="20"/>
      <c r="C5" s="20"/>
      <c r="D5" s="20"/>
      <c r="E5" s="20"/>
      <c r="F5" s="20"/>
      <c r="G5" s="20"/>
      <c r="H5" s="20"/>
      <c r="K5" s="10">
        <v>46023</v>
      </c>
      <c r="M5" t="s">
        <v>20</v>
      </c>
    </row>
    <row r="6" spans="1:13" x14ac:dyDescent="0.25">
      <c r="A6" s="21"/>
      <c r="B6" s="21"/>
      <c r="C6" s="21"/>
      <c r="D6" s="21"/>
      <c r="E6" s="21"/>
      <c r="F6" s="21"/>
      <c r="G6" s="21"/>
      <c r="H6" s="21"/>
    </row>
    <row r="7" spans="1:13" x14ac:dyDescent="0.25">
      <c r="A7" s="1"/>
      <c r="B7" s="1"/>
      <c r="C7" s="1"/>
      <c r="D7" s="1"/>
      <c r="E7" s="1"/>
      <c r="F7" s="1"/>
      <c r="G7" s="1"/>
      <c r="H7" s="1"/>
    </row>
    <row r="8" spans="1:13" x14ac:dyDescent="0.25">
      <c r="A8" s="22"/>
      <c r="B8" s="23"/>
      <c r="C8" s="23"/>
      <c r="D8" s="23"/>
      <c r="E8" s="23"/>
      <c r="F8" s="23"/>
      <c r="G8" s="23"/>
      <c r="H8" s="23"/>
    </row>
    <row r="9" spans="1:13" x14ac:dyDescent="0.25">
      <c r="A9" s="18" t="s">
        <v>0</v>
      </c>
      <c r="B9" s="18" t="s">
        <v>1</v>
      </c>
      <c r="C9" s="18"/>
      <c r="D9" s="18" t="s">
        <v>2</v>
      </c>
      <c r="E9" s="18" t="s">
        <v>3</v>
      </c>
      <c r="F9" s="18"/>
      <c r="G9" s="18" t="s">
        <v>4</v>
      </c>
      <c r="H9" s="18" t="s">
        <v>5</v>
      </c>
      <c r="I9" s="18" t="s">
        <v>30</v>
      </c>
    </row>
    <row r="10" spans="1:13" x14ac:dyDescent="0.25">
      <c r="A10" s="18"/>
      <c r="B10" s="2" t="s">
        <v>6</v>
      </c>
      <c r="C10" s="2" t="s">
        <v>7</v>
      </c>
      <c r="D10" s="18"/>
      <c r="E10" s="2" t="s">
        <v>8</v>
      </c>
      <c r="F10" s="2" t="s">
        <v>9</v>
      </c>
      <c r="G10" s="18"/>
      <c r="H10" s="18"/>
      <c r="I10" s="18"/>
    </row>
    <row r="11" spans="1:13" x14ac:dyDescent="0.25">
      <c r="A11" s="3"/>
      <c r="B11" s="3"/>
      <c r="C11" s="3"/>
      <c r="D11" s="4" t="s">
        <v>12</v>
      </c>
      <c r="E11" s="5"/>
      <c r="F11" s="5"/>
      <c r="G11" s="5">
        <v>4525000</v>
      </c>
      <c r="H11" s="3"/>
      <c r="I11" s="12"/>
    </row>
    <row r="12" spans="1:13" x14ac:dyDescent="0.25">
      <c r="A12" s="3">
        <v>1</v>
      </c>
      <c r="B12" s="6">
        <v>46327</v>
      </c>
      <c r="C12" s="3"/>
      <c r="D12" s="3" t="s">
        <v>14</v>
      </c>
      <c r="E12" s="7"/>
      <c r="F12" s="7">
        <v>150000</v>
      </c>
      <c r="G12" s="7">
        <f>G11 + IF(E12&lt;&gt;"", E12, 0) - IF(F12&lt;&gt;"", F12, 0)</f>
        <v>4375000</v>
      </c>
      <c r="H12" s="3"/>
      <c r="I12" s="12"/>
    </row>
    <row r="13" spans="1:13" x14ac:dyDescent="0.25">
      <c r="A13" s="3">
        <f>A12+1</f>
        <v>2</v>
      </c>
      <c r="B13" s="6">
        <v>46327</v>
      </c>
      <c r="C13" s="3"/>
      <c r="D13" s="3" t="s">
        <v>13</v>
      </c>
      <c r="E13" s="7"/>
      <c r="F13" s="7">
        <v>40000</v>
      </c>
      <c r="G13" s="7">
        <f t="shared" ref="G13:G24" si="0">G12 + IF(E13&lt;&gt;"", E13, 0) - IF(F13&lt;&gt;"", F13, 0)</f>
        <v>4335000</v>
      </c>
      <c r="H13" s="3"/>
      <c r="I13" s="12"/>
    </row>
    <row r="14" spans="1:13" x14ac:dyDescent="0.25">
      <c r="A14" s="3">
        <f t="shared" ref="A14:A49" si="1">A13+1</f>
        <v>3</v>
      </c>
      <c r="B14" s="6">
        <v>46357</v>
      </c>
      <c r="C14" s="3"/>
      <c r="D14" s="11" t="s">
        <v>15</v>
      </c>
      <c r="E14" s="7">
        <v>4176000</v>
      </c>
      <c r="F14" s="7"/>
      <c r="G14" s="7">
        <f t="shared" si="0"/>
        <v>8511000</v>
      </c>
      <c r="H14" s="3"/>
      <c r="I14" s="12"/>
    </row>
    <row r="15" spans="1:13" x14ac:dyDescent="0.25">
      <c r="A15" s="3">
        <f t="shared" si="1"/>
        <v>4</v>
      </c>
      <c r="B15" s="6">
        <v>46357</v>
      </c>
      <c r="C15" s="3"/>
      <c r="D15" s="8" t="s">
        <v>16</v>
      </c>
      <c r="E15" s="7">
        <v>14000000</v>
      </c>
      <c r="F15" s="7"/>
      <c r="G15" s="7">
        <f t="shared" si="0"/>
        <v>22511000</v>
      </c>
      <c r="H15" s="3"/>
      <c r="I15" s="12"/>
    </row>
    <row r="16" spans="1:13" x14ac:dyDescent="0.25">
      <c r="A16" s="3">
        <f t="shared" si="1"/>
        <v>5</v>
      </c>
      <c r="B16" s="6">
        <v>46357</v>
      </c>
      <c r="C16" s="3"/>
      <c r="D16" s="3" t="s">
        <v>17</v>
      </c>
      <c r="E16" s="7"/>
      <c r="F16" s="7">
        <v>135000</v>
      </c>
      <c r="G16" s="7">
        <f t="shared" si="0"/>
        <v>22376000</v>
      </c>
      <c r="H16" s="3"/>
      <c r="I16" s="12"/>
    </row>
    <row r="17" spans="1:9" x14ac:dyDescent="0.25">
      <c r="A17" s="3">
        <f t="shared" si="1"/>
        <v>6</v>
      </c>
      <c r="B17" s="6">
        <v>46357</v>
      </c>
      <c r="C17" s="3"/>
      <c r="D17" s="8" t="s">
        <v>18</v>
      </c>
      <c r="E17" s="7"/>
      <c r="F17" s="7">
        <v>14000000</v>
      </c>
      <c r="G17" s="7">
        <f t="shared" si="0"/>
        <v>8376000</v>
      </c>
      <c r="H17" s="3"/>
      <c r="I17" s="12"/>
    </row>
    <row r="18" spans="1:9" x14ac:dyDescent="0.25">
      <c r="A18" s="3">
        <f t="shared" si="1"/>
        <v>7</v>
      </c>
      <c r="B18" s="9" t="s">
        <v>19</v>
      </c>
      <c r="C18" s="3"/>
      <c r="D18" s="11" t="s">
        <v>21</v>
      </c>
      <c r="E18" s="7">
        <v>3960000</v>
      </c>
      <c r="F18" s="7"/>
      <c r="G18" s="7">
        <f t="shared" si="0"/>
        <v>12336000</v>
      </c>
      <c r="H18" s="3"/>
      <c r="I18" s="12"/>
    </row>
    <row r="19" spans="1:9" x14ac:dyDescent="0.25">
      <c r="A19" s="3">
        <f t="shared" si="1"/>
        <v>8</v>
      </c>
      <c r="B19" s="9" t="s">
        <v>19</v>
      </c>
      <c r="C19" s="3"/>
      <c r="D19" s="3" t="s">
        <v>22</v>
      </c>
      <c r="E19" s="7"/>
      <c r="F19" s="7">
        <v>38000</v>
      </c>
      <c r="G19" s="7">
        <f t="shared" si="0"/>
        <v>12298000</v>
      </c>
      <c r="H19" s="3"/>
      <c r="I19" s="12"/>
    </row>
    <row r="20" spans="1:9" x14ac:dyDescent="0.25">
      <c r="A20" s="3">
        <f t="shared" si="1"/>
        <v>9</v>
      </c>
      <c r="B20" s="9" t="s">
        <v>24</v>
      </c>
      <c r="C20" s="3"/>
      <c r="D20" s="11" t="s">
        <v>25</v>
      </c>
      <c r="E20" s="7">
        <v>3300000</v>
      </c>
      <c r="F20" s="7"/>
      <c r="G20" s="7">
        <f t="shared" si="0"/>
        <v>15598000</v>
      </c>
      <c r="H20" s="3"/>
      <c r="I20" s="12"/>
    </row>
    <row r="21" spans="1:9" x14ac:dyDescent="0.25">
      <c r="A21" s="3">
        <f t="shared" si="1"/>
        <v>10</v>
      </c>
      <c r="B21" s="9" t="s">
        <v>24</v>
      </c>
      <c r="C21" s="3"/>
      <c r="D21" s="3" t="s">
        <v>26</v>
      </c>
      <c r="E21" s="7"/>
      <c r="F21" s="7">
        <v>691000</v>
      </c>
      <c r="G21" s="7">
        <f t="shared" si="0"/>
        <v>14907000</v>
      </c>
      <c r="H21" s="3"/>
      <c r="I21" s="12"/>
    </row>
    <row r="22" spans="1:9" ht="60" x14ac:dyDescent="0.25">
      <c r="A22" s="14">
        <f t="shared" si="1"/>
        <v>11</v>
      </c>
      <c r="B22" s="15" t="s">
        <v>24</v>
      </c>
      <c r="C22" s="14"/>
      <c r="D22" s="14" t="s">
        <v>27</v>
      </c>
      <c r="E22" s="16"/>
      <c r="F22" s="16">
        <v>5000000</v>
      </c>
      <c r="G22" s="16">
        <f t="shared" si="0"/>
        <v>9907000</v>
      </c>
      <c r="H22" s="17" t="s">
        <v>29</v>
      </c>
      <c r="I22" s="13" t="s">
        <v>31</v>
      </c>
    </row>
    <row r="23" spans="1:9" ht="30" x14ac:dyDescent="0.25">
      <c r="A23" s="14">
        <f t="shared" si="1"/>
        <v>12</v>
      </c>
      <c r="B23" s="15" t="s">
        <v>24</v>
      </c>
      <c r="C23" s="14"/>
      <c r="D23" s="14" t="s">
        <v>28</v>
      </c>
      <c r="E23" s="16"/>
      <c r="F23" s="16">
        <v>1368000</v>
      </c>
      <c r="G23" s="16">
        <f t="shared" si="0"/>
        <v>8539000</v>
      </c>
      <c r="H23" s="17" t="s">
        <v>32</v>
      </c>
      <c r="I23" s="13" t="s">
        <v>33</v>
      </c>
    </row>
    <row r="24" spans="1:9" x14ac:dyDescent="0.25">
      <c r="A24" s="3">
        <f t="shared" si="1"/>
        <v>13</v>
      </c>
      <c r="B24" s="15" t="s">
        <v>34</v>
      </c>
      <c r="C24" s="3"/>
      <c r="D24" s="11" t="s">
        <v>35</v>
      </c>
      <c r="E24" s="7">
        <v>3120000</v>
      </c>
      <c r="F24" s="7"/>
      <c r="G24" s="16">
        <f t="shared" si="0"/>
        <v>11659000</v>
      </c>
      <c r="H24" s="3"/>
      <c r="I24" s="12"/>
    </row>
    <row r="25" spans="1:9" x14ac:dyDescent="0.25">
      <c r="A25" s="3">
        <f t="shared" si="1"/>
        <v>14</v>
      </c>
      <c r="B25" s="6"/>
      <c r="C25" s="3"/>
      <c r="D25" s="3"/>
      <c r="E25" s="7"/>
      <c r="F25" s="7"/>
      <c r="G25" s="7"/>
      <c r="H25" s="3"/>
      <c r="I25" s="12"/>
    </row>
    <row r="26" spans="1:9" x14ac:dyDescent="0.25">
      <c r="A26" s="3">
        <f t="shared" si="1"/>
        <v>15</v>
      </c>
      <c r="B26" s="6"/>
      <c r="C26" s="3"/>
      <c r="D26" s="3"/>
      <c r="E26" s="7"/>
      <c r="F26" s="7"/>
      <c r="G26" s="7"/>
      <c r="H26" s="3"/>
      <c r="I26" s="12"/>
    </row>
    <row r="27" spans="1:9" x14ac:dyDescent="0.25">
      <c r="A27" s="3">
        <f t="shared" si="1"/>
        <v>16</v>
      </c>
      <c r="B27" s="6"/>
      <c r="C27" s="3"/>
      <c r="D27" s="3"/>
      <c r="E27" s="7"/>
      <c r="F27" s="7"/>
      <c r="G27" s="7"/>
      <c r="H27" s="3"/>
      <c r="I27" s="12"/>
    </row>
    <row r="28" spans="1:9" x14ac:dyDescent="0.25">
      <c r="A28" s="3">
        <f t="shared" si="1"/>
        <v>17</v>
      </c>
      <c r="B28" s="6"/>
      <c r="C28" s="3"/>
      <c r="D28" s="3"/>
      <c r="E28" s="7"/>
      <c r="F28" s="7"/>
      <c r="G28" s="7"/>
      <c r="H28" s="3"/>
      <c r="I28" s="12"/>
    </row>
    <row r="29" spans="1:9" x14ac:dyDescent="0.25">
      <c r="A29" s="3">
        <f t="shared" si="1"/>
        <v>18</v>
      </c>
      <c r="B29" s="6"/>
      <c r="C29" s="3"/>
      <c r="D29" s="3"/>
      <c r="E29" s="7"/>
      <c r="F29" s="7"/>
      <c r="G29" s="7"/>
      <c r="H29" s="3"/>
      <c r="I29" s="12"/>
    </row>
    <row r="30" spans="1:9" x14ac:dyDescent="0.25">
      <c r="A30" s="3">
        <f t="shared" si="1"/>
        <v>19</v>
      </c>
      <c r="B30" s="6"/>
      <c r="C30" s="3"/>
      <c r="D30" s="3"/>
      <c r="E30" s="7"/>
      <c r="F30" s="7"/>
      <c r="G30" s="7"/>
      <c r="H30" s="3"/>
      <c r="I30" s="12"/>
    </row>
    <row r="31" spans="1:9" x14ac:dyDescent="0.25">
      <c r="A31" s="3">
        <f t="shared" si="1"/>
        <v>20</v>
      </c>
      <c r="B31" s="6"/>
      <c r="C31" s="3"/>
      <c r="D31" s="3"/>
      <c r="E31" s="7"/>
      <c r="F31" s="7"/>
      <c r="G31" s="7"/>
      <c r="H31" s="3"/>
      <c r="I31" s="12"/>
    </row>
    <row r="32" spans="1:9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3"/>
      <c r="I32" s="12"/>
    </row>
    <row r="33" spans="1:9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3"/>
      <c r="I33" s="12"/>
    </row>
    <row r="34" spans="1:9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3"/>
      <c r="I34" s="12"/>
    </row>
    <row r="35" spans="1:9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3"/>
      <c r="I35" s="12"/>
    </row>
    <row r="36" spans="1:9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3"/>
      <c r="I36" s="12"/>
    </row>
    <row r="37" spans="1:9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3"/>
      <c r="I37" s="12"/>
    </row>
    <row r="38" spans="1:9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3"/>
      <c r="I38" s="12"/>
    </row>
    <row r="39" spans="1:9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3"/>
      <c r="I39" s="12"/>
    </row>
    <row r="40" spans="1:9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3"/>
      <c r="I40" s="12"/>
    </row>
    <row r="41" spans="1:9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3"/>
      <c r="I41" s="12"/>
    </row>
    <row r="42" spans="1:9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3"/>
      <c r="I42" s="12"/>
    </row>
    <row r="43" spans="1:9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3"/>
      <c r="I43" s="12"/>
    </row>
    <row r="44" spans="1:9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3"/>
      <c r="I44" s="12"/>
    </row>
    <row r="45" spans="1:9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3"/>
      <c r="I45" s="12"/>
    </row>
    <row r="46" spans="1:9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3"/>
      <c r="I46" s="12"/>
    </row>
    <row r="47" spans="1:9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3"/>
      <c r="I47" s="12"/>
    </row>
    <row r="48" spans="1:9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3"/>
      <c r="I48" s="12"/>
    </row>
    <row r="49" spans="1:9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3"/>
      <c r="I49" s="12"/>
    </row>
    <row r="50" spans="1:9" x14ac:dyDescent="0.25">
      <c r="A50" s="3"/>
      <c r="B50" s="6"/>
      <c r="C50" s="3"/>
      <c r="D50" s="3"/>
      <c r="E50" s="7"/>
      <c r="F50" s="7"/>
      <c r="G50" s="7"/>
      <c r="H50" s="3"/>
      <c r="I50" s="12"/>
    </row>
    <row r="51" spans="1:9" x14ac:dyDescent="0.25">
      <c r="A51" s="3"/>
      <c r="B51" s="6"/>
      <c r="C51" s="3"/>
      <c r="D51" s="3"/>
      <c r="E51" s="7"/>
      <c r="F51" s="7"/>
      <c r="G51" s="7"/>
      <c r="H51" s="3"/>
      <c r="I51" s="12"/>
    </row>
    <row r="52" spans="1:9" x14ac:dyDescent="0.25">
      <c r="A52" s="3"/>
      <c r="B52" s="6"/>
      <c r="C52" s="3"/>
      <c r="D52" s="3"/>
      <c r="E52" s="7"/>
      <c r="F52" s="7"/>
      <c r="G52" s="7"/>
      <c r="H52" s="3"/>
      <c r="I52" s="12"/>
    </row>
    <row r="53" spans="1:9" x14ac:dyDescent="0.25">
      <c r="A53" s="3"/>
      <c r="B53" s="3"/>
      <c r="C53" s="3"/>
      <c r="D53" s="4" t="s">
        <v>10</v>
      </c>
      <c r="E53" s="5">
        <f>SUM(E12:E52)</f>
        <v>28556000</v>
      </c>
      <c r="F53" s="5">
        <f>SUM(F12:F52)</f>
        <v>21422000</v>
      </c>
      <c r="G53" s="5"/>
      <c r="H53" s="3"/>
      <c r="I53" s="12"/>
    </row>
    <row r="54" spans="1:9" x14ac:dyDescent="0.25">
      <c r="A54" s="3"/>
      <c r="B54" s="3"/>
      <c r="C54" s="3"/>
      <c r="D54" s="4" t="s">
        <v>11</v>
      </c>
      <c r="E54" s="5"/>
      <c r="F54" s="5"/>
      <c r="G54" s="5">
        <f>G11+E53-F53</f>
        <v>11659000</v>
      </c>
      <c r="H54" s="3"/>
      <c r="I54" s="12"/>
    </row>
  </sheetData>
  <mergeCells count="11">
    <mergeCell ref="I9:I10"/>
    <mergeCell ref="A4:H4"/>
    <mergeCell ref="A5:H5"/>
    <mergeCell ref="A6:H6"/>
    <mergeCell ref="A8:H8"/>
    <mergeCell ref="A9:A10"/>
    <mergeCell ref="B9:C9"/>
    <mergeCell ref="D9:D10"/>
    <mergeCell ref="E9:F9"/>
    <mergeCell ref="G9:G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2026-01-15T12:48:24Z</dcterms:modified>
</cp:coreProperties>
</file>