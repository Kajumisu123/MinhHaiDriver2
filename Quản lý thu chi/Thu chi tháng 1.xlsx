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AB834B2D-D479-479E-844A-1C155E5862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9" i="1" l="1"/>
  <c r="G58" i="1"/>
  <c r="G57" i="1"/>
  <c r="G56" i="1" l="1"/>
  <c r="G55" i="1"/>
  <c r="G54" i="1"/>
  <c r="G53" i="1"/>
  <c r="G51" i="1" l="1"/>
  <c r="G52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50" i="1"/>
  <c r="A50" i="1"/>
  <c r="F70" i="1"/>
  <c r="E70" i="1"/>
  <c r="G49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G72" i="1" l="1"/>
</calcChain>
</file>

<file path=xl/sharedStrings.xml><?xml version="1.0" encoding="utf-8"?>
<sst xmlns="http://schemas.openxmlformats.org/spreadsheetml/2006/main" count="130" uniqueCount="104">
  <si>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</si>
  <si>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</si>
  <si>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</si>
  <si>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</si>
  <si>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</si>
  <si>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</si>
  <si>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</si>
  <si>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</si>
  <si>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</si>
  <si>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</si>
  <si>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</si>
  <si>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</si>
  <si>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</si>
  <si>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</si>
  <si>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</si>
  <si>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</si>
  <si>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</si>
  <si>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</si>
  <si>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</si>
  <si>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</si>
  <si>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</si>
  <si>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</si>
  <si>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</si>
  <si>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</si>
  <si>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</si>
  <si>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</si>
  <si>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</si>
  <si>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</si>
  <si>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</si>
  <si>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</si>
  <si>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</si>
  <si>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</si>
  <si>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</si>
  <si>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</si>
  <si>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</si>
  <si>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</si>
  <si>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</si>
  <si>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</si>
  <si>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</si>
  <si>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</si>
  <si>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</si>
  <si>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</si>
  <si>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</si>
  <si>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</si>
  <si>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</si>
  <si>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</si>
  <si>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</si>
  <si>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</si>
  <si>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</si>
  <si>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</si>
  <si>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</si>
  <si>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</si>
  <si>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</si>
  <si>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</si>
  <si>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</si>
  <si>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</si>
  <si>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</si>
  <si>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</si>
  <si>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</si>
  <si>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</si>
  <si>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</si>
  <si>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</si>
  <si>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</si>
  <si>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</si>
  <si>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</si>
  <si>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</si>
  <si>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</si>
  <si>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</si>
  <si>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</si>
  <si>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</si>
  <si>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</si>
  <si>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</si>
  <si>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</si>
  <si>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</si>
  <si>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</si>
  <si>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</si>
  <si>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</si>
  <si>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</si>
  <si>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</si>
  <si>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</si>
  <si>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</si>
  <si>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</si>
  <si>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</si>
  <si>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</si>
  <si>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</si>
  <si>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</si>
  <si>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</si>
  <si>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</si>
  <si>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</si>
  <si>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</si>
  <si>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</si>
  <si>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</si>
  <si>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</si>
  <si>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</si>
  <si>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</si>
  <si>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</si>
  <si>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</si>
  <si>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</si>
  <si>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</si>
  <si>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</si>
  <si>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</si>
  <si>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 xml:space="preserve">Thu tiền điện của xe trắng cỏ </t>
  </si>
  <si>
    <t>Thu tiền cọc xe của bác Liêms</t>
  </si>
  <si>
    <t>Thu tiền mặt ngày 1 tháng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</si>
</sst>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abSelected="1" zoomScaleNormal="100" workbookViewId="0">
      <selection activeCell="J58" sqref="J58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9" t="s">
        <v>22</v>
      </c>
      <c r="B4" s="39"/>
      <c r="C4" s="39"/>
      <c r="D4" s="39"/>
      <c r="E4" s="39"/>
      <c r="F4" s="39"/>
      <c r="G4" s="39"/>
      <c r="H4" s="39"/>
      <c r="I4" s="39"/>
    </row>
    <row r="5" spans="1:14" ht="18.75" x14ac:dyDescent="0.3">
      <c r="A5" s="40" t="str">
        <f>"Từ ngày " &amp; TEXT(L5,"dd/mm/yyyy") &amp; " đến ngày " &amp; TEXT(N5,"dd/mm/yyyy")</f>
        <v>Từ ngày 01/01/2026 đến ngày 31/01/2026</v>
      </c>
      <c r="B5" s="40"/>
      <c r="C5" s="40"/>
      <c r="D5" s="40"/>
      <c r="E5" s="40"/>
      <c r="F5" s="40"/>
      <c r="G5" s="40"/>
      <c r="H5" s="40"/>
      <c r="I5" s="40"/>
      <c r="L5" s="10">
        <v>46023</v>
      </c>
      <c r="N5" t="s">
        <v>19</v>
      </c>
    </row>
    <row r="6" spans="1:14" x14ac:dyDescent="0.25">
      <c r="A6" s="41"/>
      <c r="B6" s="41"/>
      <c r="C6" s="41"/>
      <c r="D6" s="41"/>
      <c r="E6" s="41"/>
      <c r="F6" s="41"/>
      <c r="G6" s="41"/>
      <c r="H6" s="41"/>
      <c r="I6" s="41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42"/>
      <c r="B8" s="43"/>
      <c r="C8" s="43"/>
      <c r="D8" s="43"/>
      <c r="E8" s="43"/>
      <c r="F8" s="43"/>
      <c r="G8" s="43"/>
      <c r="H8" s="43"/>
      <c r="I8" s="43"/>
    </row>
    <row r="9" spans="1:14" x14ac:dyDescent="0.25">
      <c r="A9" s="38" t="s">
        <v>0</v>
      </c>
      <c r="B9" s="38" t="s">
        <v>1</v>
      </c>
      <c r="C9" s="38"/>
      <c r="D9" s="38" t="s">
        <v>2</v>
      </c>
      <c r="E9" s="38" t="s">
        <v>3</v>
      </c>
      <c r="F9" s="38"/>
      <c r="G9" s="38" t="s">
        <v>4</v>
      </c>
      <c r="H9" s="44" t="s">
        <v>36</v>
      </c>
      <c r="I9" s="38" t="s">
        <v>5</v>
      </c>
      <c r="J9" s="38" t="s">
        <v>28</v>
      </c>
    </row>
    <row r="10" spans="1:14" x14ac:dyDescent="0.25">
      <c r="A10" s="38"/>
      <c r="B10" s="2" t="s">
        <v>6</v>
      </c>
      <c r="C10" s="2" t="s">
        <v>7</v>
      </c>
      <c r="D10" s="38"/>
      <c r="E10" s="2" t="s">
        <v>8</v>
      </c>
      <c r="F10" s="2" t="s">
        <v>9</v>
      </c>
      <c r="G10" s="38"/>
      <c r="H10" s="45"/>
      <c r="I10" s="38"/>
      <c r="J10" s="38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25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25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45" x14ac:dyDescent="0.25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25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25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25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25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30" x14ac:dyDescent="0.25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358000</v>
      </c>
      <c r="G55" s="7">
        <f t="shared" si="2"/>
        <v>4846000</v>
      </c>
      <c r="H55" s="7"/>
      <c r="I55" s="3"/>
      <c r="J55" s="12"/>
    </row>
    <row r="56" spans="1:10" x14ac:dyDescent="0.25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40000</v>
      </c>
      <c r="G56" s="7">
        <f t="shared" si="2"/>
        <v>4806000</v>
      </c>
      <c r="H56" s="7"/>
      <c r="I56" s="3"/>
      <c r="J56" s="12"/>
    </row>
    <row r="57" spans="1:10" x14ac:dyDescent="0.25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7706000</v>
      </c>
      <c r="H57" s="7"/>
      <c r="I57" s="3"/>
      <c r="J57" s="12"/>
    </row>
    <row r="58" spans="1:10" x14ac:dyDescent="0.25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7546000</v>
      </c>
      <c r="H58" s="7"/>
      <c r="I58" s="3"/>
      <c r="J58" s="12"/>
    </row>
    <row r="59" spans="1:10" x14ac:dyDescent="0.25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9616000</v>
      </c>
      <c r="H59" s="7"/>
      <c r="I59" s="3"/>
      <c r="J59" s="12"/>
    </row>
    <row r="60" spans="1:10" x14ac:dyDescent="0.25">
      <c r="A60" s="3">
        <f t="shared" si="1"/>
        <v>49</v>
      </c>
      <c r="B60" s="15">
        <v>46024</v>
      </c>
      <c r="C60" s="3"/>
      <c r="D60" s="11" t="s">
        <v>100</v>
      </c>
      <c r="E60" s="7"/>
      <c r="F60" s="7"/>
      <c r="G60" s="7"/>
      <c r="H60" s="7"/>
      <c r="I60" s="3"/>
      <c r="J60" s="12"/>
    </row>
    <row r="61" spans="1:10" x14ac:dyDescent="0.25">
      <c r="A61" s="3">
        <f t="shared" si="1"/>
        <v>50</v>
      </c>
      <c r="B61" s="15">
        <v>46024</v>
      </c>
      <c r="C61" s="3"/>
      <c r="D61" s="3" t="s">
        <v>101</v>
      </c>
      <c r="E61" s="7">
        <v>500000</v>
      </c>
      <c r="F61" s="7"/>
      <c r="G61" s="7"/>
      <c r="H61" s="7"/>
      <c r="I61" s="3"/>
      <c r="J61" s="12"/>
    </row>
    <row r="62" spans="1:10" x14ac:dyDescent="0.25">
      <c r="A62" s="3">
        <f t="shared" si="1"/>
        <v>51</v>
      </c>
      <c r="B62" s="15">
        <v>46024</v>
      </c>
      <c r="C62" s="3"/>
      <c r="D62" s="3" t="s">
        <v>102</v>
      </c>
      <c r="E62" s="7">
        <v>3000000</v>
      </c>
      <c r="F62" s="7"/>
      <c r="G62" s="7"/>
      <c r="H62" s="7"/>
      <c r="I62" s="3"/>
      <c r="J62" s="12"/>
    </row>
    <row r="63" spans="1:10" x14ac:dyDescent="0.25">
      <c r="A63" s="3">
        <f t="shared" si="1"/>
        <v>52</v>
      </c>
      <c r="B63" s="15">
        <v>46055</v>
      </c>
      <c r="C63" s="3"/>
      <c r="D63" s="11" t="s">
        <v>103</v>
      </c>
      <c r="E63" s="7">
        <v>2315000</v>
      </c>
      <c r="F63" s="7"/>
      <c r="G63" s="7"/>
      <c r="H63" s="7"/>
      <c r="I63" s="3"/>
      <c r="J63" s="12"/>
    </row>
    <row r="64" spans="1:10" x14ac:dyDescent="0.25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25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25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25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25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25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25">
      <c r="A70" s="3"/>
      <c r="B70" s="3"/>
      <c r="C70" s="3"/>
      <c r="D70" s="4" t="s">
        <v>10</v>
      </c>
      <c r="E70" s="5">
        <f>SUM(E12:E69)</f>
        <v>77711000</v>
      </c>
      <c r="F70" s="5">
        <f>SUM(F12:F69)</f>
        <v>66805000</v>
      </c>
      <c r="G70" s="5"/>
      <c r="H70" s="5"/>
      <c r="I70" s="3"/>
      <c r="J70" s="12"/>
    </row>
    <row r="71" spans="1:10" x14ac:dyDescent="0.25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25">
      <c r="A72" s="3"/>
      <c r="B72" s="3"/>
      <c r="C72" s="3"/>
      <c r="D72" s="4" t="s">
        <v>38</v>
      </c>
      <c r="E72" s="5"/>
      <c r="F72" s="5"/>
      <c r="G72" s="5">
        <f>G11+E70-F70</f>
        <v>15431000</v>
      </c>
      <c r="H72" s="5"/>
      <c r="I72" s="3"/>
      <c r="J72" s="12"/>
    </row>
    <row r="74" spans="1:10" x14ac:dyDescent="0.25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2026-02-03T16:36:45Z</dcterms:modified>
</cp:coreProperties>
</file>