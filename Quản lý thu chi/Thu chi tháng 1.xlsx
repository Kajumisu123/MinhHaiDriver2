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DFFCA1B4-A525-41BD-B1BF-B09793D0B62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9" i="1" l="1"/>
  <c r="G58" i="1"/>
  <c r="G57" i="1"/>
  <c r="G56" i="1" l="1"/>
  <c r="G55" i="1"/>
  <c r="G54" i="1"/>
  <c r="G53" i="1"/>
  <c r="G51" i="1" l="1"/>
  <c r="G52" i="1"/>
  <c r="A51" i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G50" i="1"/>
  <c r="A50" i="1"/>
  <c r="F70" i="1"/>
  <c r="E70" i="1"/>
  <c r="G49" i="1"/>
  <c r="H71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G72" i="1" l="1"/>
</calcChain>
</file>

<file path=xl/sharedStrings.xml><?xml version="1.0" encoding="utf-8"?>
<sst xmlns="http://schemas.openxmlformats.org/spreadsheetml/2006/main" count="130" uniqueCount="104">
  <si>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</si>
  <si>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</si>
  <si>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</si>
  <si>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</si>
  <si>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</si>
  <si>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</si>
  <si>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</si>
  <si>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</si>
  <si>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</si>
  <si>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</si>
  <si>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</si>
  <si>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</si>
  <si>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</si>
  <si>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</si>
  <si>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</si>
  <si>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</si>
  <si>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</si>
  <si>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</si>
  <si>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</si>
  <si>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</si>
  <si>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</si>
  <si>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</si>
  <si>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</si>
  <si>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</si>
  <si>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</si>
  <si>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</si>
  <si>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</si>
  <si>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</si>
  <si>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</si>
  <si>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</si>
  <si>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</si>
  <si>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</si>
  <si>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</si>
  <si>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</si>
  <si>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</si>
  <si>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</si>
  <si>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</si>
  <si>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</si>
  <si>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</si>
  <si>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</si>
  <si>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</si>
  <si>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</si>
  <si>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</si>
  <si>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</si>
  <si>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</si>
  <si>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</si>
  <si>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</si>
  <si>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</si>
  <si>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</si>
  <si>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</si>
  <si>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</si>
  <si>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</si>
  <si>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</si>
  <si>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</si>
  <si>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</si>
  <si>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</si>
  <si>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</si>
  <si>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</si>
  <si>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</si>
  <si>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</si>
  <si>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</si>
  <si>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</si>
  <si>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</si>
  <si>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</si>
  <si>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</si>
  <si>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</si>
  <si>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</si>
  <si>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</si>
  <si>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</si>
  <si>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</si>
  <si>
    <t>25/01/2026</t>
  </si>
  <si>
    <t>Thu tiền mặt ngày 23</t>
  </si>
  <si>
    <t>Thu tiền mặt ngày 24</t>
  </si>
  <si>
    <t>Chi sửa khóa + đánh khóa mới + xăng 50k</t>
  </si>
  <si>
    <t>Bác nhâm làm hư khóa</t>
  </si>
  <si>
    <t>26/01/2026</t>
  </si>
  <si>
    <t>Chi thanh toán tiền mặt cô Thanh T1 từ ngày 19 tới 24 + phí 50k</t>
  </si>
  <si>
    <t>Chi ngày của Phật, bánh chocopie cacao 70k</t>
  </si>
  <si>
    <t>Thu tiền mặt ngày 25</t>
  </si>
  <si>
    <t>Thu tiền mặt ngày 26</t>
  </si>
  <si>
    <t>27/01/2026</t>
  </si>
  <si>
    <t xml:space="preserve">Chi mì omachi, 2 trứng, bánh afc </t>
  </si>
  <si>
    <t>28/01/2026</t>
  </si>
  <si>
    <t>Thu Đức Anh tiền chạy xe</t>
  </si>
  <si>
    <t>Chi bà đi khám lưng</t>
  </si>
  <si>
    <t>Chi đi mua cá 160 + dừa bến tre 26</t>
  </si>
  <si>
    <t>Hôm nay 10h sáng, cô Thanh kêu chuyển 5tr tiền mặt cho bà đi khám lưng</t>
  </si>
  <si>
    <t>Thu tiền mặt ngày 27</t>
  </si>
  <si>
    <t>Đã thu 350k của đức anh nên kh thêm vô</t>
  </si>
  <si>
    <t>Tổng tiền đã gửi cho cô Thanh</t>
  </si>
  <si>
    <t>Đã trừ phí giao dịch ra</t>
  </si>
  <si>
    <t>29/01/2026</t>
  </si>
  <si>
    <t>Thu tiền mặt ngày 28</t>
  </si>
  <si>
    <t>Thu tiền bác thành 29 500</t>
  </si>
  <si>
    <t>Chi mua đèn cầy nến ly , hoa, 5 loại trái cây
đồ cúng kiếng</t>
  </si>
  <si>
    <t>Chi mua dừa bến tre 4 trái</t>
  </si>
  <si>
    <t>30/01/2026</t>
  </si>
  <si>
    <t>Thu tiền mặt ngày 29</t>
  </si>
  <si>
    <t>Chi băng keo điện , băng keo trong, rau</t>
  </si>
  <si>
    <t>Thu tiền mặt ngày 30</t>
  </si>
  <si>
    <t>Thu tiền mặt ngày 31</t>
  </si>
  <si>
    <t xml:space="preserve">Thu tiền điện của xe trắng cỏ </t>
  </si>
  <si>
    <t>Thu tiền cọc xe của bác Liêms</t>
  </si>
  <si>
    <t>Thu tiền mặt ngày 1 tháng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</si>
</sst>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6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4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4" fontId="6" fillId="4" borderId="1" xfId="1" applyNumberFormat="1" applyFont="1" applyFill="1" applyBorder="1"/>
    <xf numFmtId="0" fontId="10" fillId="0" borderId="1" xfId="0" applyFont="1" applyBorder="1"/>
    <xf numFmtId="0" fontId="6" fillId="4" borderId="1" xfId="0" applyFont="1" applyFill="1" applyBorder="1"/>
    <xf numFmtId="164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4" fontId="4" fillId="5" borderId="1" xfId="1" applyNumberFormat="1" applyFont="1" applyFill="1" applyBorder="1"/>
    <xf numFmtId="164" fontId="6" fillId="5" borderId="1" xfId="1" applyNumberFormat="1" applyFont="1" applyFill="1" applyBorder="1"/>
    <xf numFmtId="0" fontId="0" fillId="4" borderId="1" xfId="0" applyFill="1" applyBorder="1" applyAlignment="1">
      <alignment wrapText="1"/>
    </xf>
    <xf numFmtId="0" fontId="5" fillId="0" borderId="0" xfId="0" applyFont="1"/>
    <xf numFmtId="0" fontId="0" fillId="4" borderId="0" xfId="0" applyFill="1"/>
    <xf numFmtId="3" fontId="5" fillId="0" borderId="0" xfId="0" applyNumberFormat="1" applyFont="1"/>
    <xf numFmtId="0" fontId="3" fillId="0" borderId="1" xfId="0" applyFont="1" applyBorder="1" applyAlignment="1">
      <alignment wrapText="1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74"/>
  <sheetViews>
    <sheetView tabSelected="1" topLeftCell="A49" zoomScaleNormal="100" workbookViewId="0">
      <selection activeCell="I61" sqref="I61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39" t="s">
        <v>22</v>
      </c>
      <c r="B4" s="39"/>
      <c r="C4" s="39"/>
      <c r="D4" s="39"/>
      <c r="E4" s="39"/>
      <c r="F4" s="39"/>
      <c r="G4" s="39"/>
      <c r="H4" s="39"/>
      <c r="I4" s="39"/>
    </row>
    <row r="5" spans="1:14" ht="18.75" x14ac:dyDescent="0.3">
      <c r="A5" s="40" t="str">
        <f>"Từ ngày " &amp; TEXT(L5,"dd/mm/yyyy") &amp; " đến ngày " &amp; TEXT(N5,"dd/mm/yyyy")</f>
        <v>Từ ngày 01/01/2026 đến ngày 31/01/2026</v>
      </c>
      <c r="B5" s="40"/>
      <c r="C5" s="40"/>
      <c r="D5" s="40"/>
      <c r="E5" s="40"/>
      <c r="F5" s="40"/>
      <c r="G5" s="40"/>
      <c r="H5" s="40"/>
      <c r="I5" s="40"/>
      <c r="L5" s="10">
        <v>46023</v>
      </c>
      <c r="N5" t="s">
        <v>19</v>
      </c>
    </row>
    <row r="6" spans="1:14" x14ac:dyDescent="0.25">
      <c r="A6" s="41"/>
      <c r="B6" s="41"/>
      <c r="C6" s="41"/>
      <c r="D6" s="41"/>
      <c r="E6" s="41"/>
      <c r="F6" s="41"/>
      <c r="G6" s="41"/>
      <c r="H6" s="41"/>
      <c r="I6" s="41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42"/>
      <c r="B8" s="43"/>
      <c r="C8" s="43"/>
      <c r="D8" s="43"/>
      <c r="E8" s="43"/>
      <c r="F8" s="43"/>
      <c r="G8" s="43"/>
      <c r="H8" s="43"/>
      <c r="I8" s="43"/>
    </row>
    <row r="9" spans="1:14" x14ac:dyDescent="0.25">
      <c r="A9" s="38" t="s">
        <v>0</v>
      </c>
      <c r="B9" s="38" t="s">
        <v>1</v>
      </c>
      <c r="C9" s="38"/>
      <c r="D9" s="38" t="s">
        <v>2</v>
      </c>
      <c r="E9" s="38" t="s">
        <v>3</v>
      </c>
      <c r="F9" s="38"/>
      <c r="G9" s="38" t="s">
        <v>4</v>
      </c>
      <c r="H9" s="44" t="s">
        <v>36</v>
      </c>
      <c r="I9" s="38" t="s">
        <v>5</v>
      </c>
      <c r="J9" s="38" t="s">
        <v>28</v>
      </c>
    </row>
    <row r="10" spans="1:14" x14ac:dyDescent="0.25">
      <c r="A10" s="38"/>
      <c r="B10" s="2" t="s">
        <v>6</v>
      </c>
      <c r="C10" s="2" t="s">
        <v>7</v>
      </c>
      <c r="D10" s="38"/>
      <c r="E10" s="2" t="s">
        <v>8</v>
      </c>
      <c r="F10" s="2" t="s">
        <v>9</v>
      </c>
      <c r="G10" s="38"/>
      <c r="H10" s="45"/>
      <c r="I10" s="38"/>
      <c r="J10" s="38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67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27" t="s">
        <v>17</v>
      </c>
      <c r="E17" s="28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30" t="s">
        <v>44</v>
      </c>
      <c r="E28" s="31"/>
      <c r="F28" s="3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63" si="2">IF(AND(E29="",F29=""),"", G28 + IF(E29&lt;&gt;"",E29,0) - IF(F29&lt;&gt;"",F29,0))</f>
        <v>9123000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25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7.75" x14ac:dyDescent="0.25">
      <c r="A33" s="3">
        <f t="shared" si="1"/>
        <v>22</v>
      </c>
      <c r="B33" s="23" t="s">
        <v>53</v>
      </c>
      <c r="C33" s="3"/>
      <c r="D33" s="29" t="s">
        <v>54</v>
      </c>
      <c r="E33" s="28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25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25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25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25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25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25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30" x14ac:dyDescent="0.25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25">
      <c r="A41" s="3">
        <f t="shared" si="1"/>
        <v>30</v>
      </c>
      <c r="B41" s="15" t="s">
        <v>70</v>
      </c>
      <c r="C41" s="3"/>
      <c r="D41" s="11" t="s">
        <v>71</v>
      </c>
      <c r="E41" s="7">
        <v>2160000</v>
      </c>
      <c r="F41" s="7"/>
      <c r="G41" s="7">
        <f t="shared" si="2"/>
        <v>11110000</v>
      </c>
      <c r="H41" s="7"/>
      <c r="I41" s="3"/>
      <c r="J41" s="12"/>
    </row>
    <row r="42" spans="1:10" x14ac:dyDescent="0.25">
      <c r="A42" s="3">
        <f t="shared" si="1"/>
        <v>31</v>
      </c>
      <c r="B42" s="15" t="s">
        <v>70</v>
      </c>
      <c r="C42" s="3"/>
      <c r="D42" s="11" t="s">
        <v>72</v>
      </c>
      <c r="E42" s="7">
        <v>3340000</v>
      </c>
      <c r="F42" s="7"/>
      <c r="G42" s="7">
        <f t="shared" si="2"/>
        <v>14450000</v>
      </c>
      <c r="H42" s="7"/>
      <c r="I42" s="3"/>
      <c r="J42" s="12"/>
    </row>
    <row r="43" spans="1:10" x14ac:dyDescent="0.25">
      <c r="A43" s="3">
        <f t="shared" si="1"/>
        <v>32</v>
      </c>
      <c r="B43" s="15" t="s">
        <v>70</v>
      </c>
      <c r="C43" s="3"/>
      <c r="D43" s="13" t="s">
        <v>73</v>
      </c>
      <c r="E43" s="7"/>
      <c r="F43" s="7">
        <v>350000</v>
      </c>
      <c r="G43" s="7">
        <f t="shared" si="2"/>
        <v>14100000</v>
      </c>
      <c r="H43" s="7"/>
      <c r="I43" s="3"/>
      <c r="J43" s="24" t="s">
        <v>74</v>
      </c>
    </row>
    <row r="44" spans="1:10" ht="29.25" x14ac:dyDescent="0.25">
      <c r="A44" s="3">
        <f t="shared" si="1"/>
        <v>33</v>
      </c>
      <c r="B44" s="15" t="s">
        <v>75</v>
      </c>
      <c r="C44" s="3"/>
      <c r="D44" s="29" t="s">
        <v>76</v>
      </c>
      <c r="E44" s="28"/>
      <c r="F44" s="25">
        <v>14050000</v>
      </c>
      <c r="G44" s="7">
        <f t="shared" si="2"/>
        <v>50000</v>
      </c>
      <c r="H44" s="7"/>
      <c r="I44" s="3"/>
      <c r="J44" s="12"/>
    </row>
    <row r="45" spans="1:10" x14ac:dyDescent="0.25">
      <c r="A45" s="3">
        <f t="shared" si="1"/>
        <v>34</v>
      </c>
      <c r="B45" s="15" t="s">
        <v>75</v>
      </c>
      <c r="C45" s="3"/>
      <c r="D45" s="3" t="s">
        <v>77</v>
      </c>
      <c r="E45" s="7"/>
      <c r="F45" s="7">
        <v>70000</v>
      </c>
      <c r="G45" s="7">
        <f t="shared" si="2"/>
        <v>-20000</v>
      </c>
      <c r="H45" s="7"/>
      <c r="I45" s="3"/>
      <c r="J45" s="12"/>
    </row>
    <row r="46" spans="1:10" x14ac:dyDescent="0.25">
      <c r="A46" s="3">
        <f t="shared" si="1"/>
        <v>35</v>
      </c>
      <c r="B46" s="15" t="s">
        <v>75</v>
      </c>
      <c r="C46" s="3"/>
      <c r="D46" s="11" t="s">
        <v>78</v>
      </c>
      <c r="E46" s="7">
        <v>3360000</v>
      </c>
      <c r="F46" s="7"/>
      <c r="G46" s="7">
        <f t="shared" si="2"/>
        <v>3340000</v>
      </c>
      <c r="H46" s="7"/>
      <c r="I46" s="3"/>
      <c r="J46" s="12"/>
    </row>
    <row r="47" spans="1:10" x14ac:dyDescent="0.25">
      <c r="A47" s="3">
        <f t="shared" si="1"/>
        <v>36</v>
      </c>
      <c r="B47" s="15" t="s">
        <v>80</v>
      </c>
      <c r="C47" s="3"/>
      <c r="D47" s="11" t="s">
        <v>79</v>
      </c>
      <c r="E47" s="7">
        <v>2660000</v>
      </c>
      <c r="F47" s="7"/>
      <c r="G47" s="7">
        <f t="shared" si="2"/>
        <v>6000000</v>
      </c>
      <c r="H47" s="7"/>
      <c r="I47" s="3"/>
      <c r="J47" s="12"/>
    </row>
    <row r="48" spans="1:10" x14ac:dyDescent="0.25">
      <c r="A48" s="3">
        <f t="shared" si="1"/>
        <v>37</v>
      </c>
      <c r="B48" s="15" t="s">
        <v>80</v>
      </c>
      <c r="C48" s="3"/>
      <c r="D48" s="3" t="s">
        <v>81</v>
      </c>
      <c r="E48" s="7"/>
      <c r="F48" s="7">
        <v>350000</v>
      </c>
      <c r="G48" s="7">
        <f t="shared" si="2"/>
        <v>5650000</v>
      </c>
      <c r="H48" s="7"/>
      <c r="I48" s="3"/>
      <c r="J48" s="12"/>
    </row>
    <row r="49" spans="1:10" x14ac:dyDescent="0.25">
      <c r="A49" s="3">
        <f t="shared" si="1"/>
        <v>38</v>
      </c>
      <c r="B49" s="15" t="s">
        <v>82</v>
      </c>
      <c r="C49" s="3"/>
      <c r="D49" s="3" t="s">
        <v>83</v>
      </c>
      <c r="E49" s="7">
        <v>350000</v>
      </c>
      <c r="F49" s="7"/>
      <c r="G49" s="7">
        <f t="shared" si="2"/>
        <v>6000000</v>
      </c>
      <c r="H49" s="7"/>
      <c r="I49" s="3"/>
      <c r="J49" s="12"/>
    </row>
    <row r="50" spans="1:10" ht="45" x14ac:dyDescent="0.25">
      <c r="A50" s="3">
        <f t="shared" si="1"/>
        <v>39</v>
      </c>
      <c r="B50" s="15" t="s">
        <v>82</v>
      </c>
      <c r="C50" s="3"/>
      <c r="D50" s="27" t="s">
        <v>84</v>
      </c>
      <c r="E50" s="28"/>
      <c r="F50" s="25">
        <v>5000000</v>
      </c>
      <c r="G50" s="25">
        <f t="shared" si="2"/>
        <v>1000000</v>
      </c>
      <c r="H50" s="7"/>
      <c r="I50" s="3"/>
      <c r="J50" s="33" t="s">
        <v>86</v>
      </c>
    </row>
    <row r="51" spans="1:10" x14ac:dyDescent="0.25">
      <c r="A51" s="3">
        <f t="shared" si="1"/>
        <v>40</v>
      </c>
      <c r="B51" s="15" t="s">
        <v>82</v>
      </c>
      <c r="C51" s="3"/>
      <c r="D51" s="3" t="s">
        <v>85</v>
      </c>
      <c r="E51" s="7"/>
      <c r="F51" s="7">
        <v>186000</v>
      </c>
      <c r="G51" s="7">
        <f t="shared" si="2"/>
        <v>814000</v>
      </c>
      <c r="H51" s="7"/>
      <c r="I51" s="3"/>
      <c r="J51" s="12"/>
    </row>
    <row r="52" spans="1:10" x14ac:dyDescent="0.25">
      <c r="A52" s="3">
        <f t="shared" si="1"/>
        <v>41</v>
      </c>
      <c r="B52" s="15" t="s">
        <v>82</v>
      </c>
      <c r="C52" s="3"/>
      <c r="D52" s="11" t="s">
        <v>87</v>
      </c>
      <c r="E52" s="7">
        <v>1710000</v>
      </c>
      <c r="F52" s="7"/>
      <c r="G52" s="7">
        <f t="shared" si="2"/>
        <v>2524000</v>
      </c>
      <c r="H52" s="7"/>
      <c r="I52" s="3"/>
      <c r="J52" s="12" t="s">
        <v>88</v>
      </c>
    </row>
    <row r="53" spans="1:10" x14ac:dyDescent="0.25">
      <c r="A53" s="3">
        <f t="shared" si="1"/>
        <v>42</v>
      </c>
      <c r="B53" s="15" t="s">
        <v>91</v>
      </c>
      <c r="C53" s="3"/>
      <c r="D53" s="11" t="s">
        <v>92</v>
      </c>
      <c r="E53" s="7">
        <v>2180000</v>
      </c>
      <c r="F53" s="7"/>
      <c r="G53" s="7">
        <f t="shared" si="2"/>
        <v>4704000</v>
      </c>
      <c r="H53" s="7"/>
      <c r="I53" s="3"/>
      <c r="J53" s="12"/>
    </row>
    <row r="54" spans="1:10" x14ac:dyDescent="0.25">
      <c r="A54" s="3">
        <f t="shared" si="1"/>
        <v>43</v>
      </c>
      <c r="B54" s="15" t="s">
        <v>91</v>
      </c>
      <c r="C54" s="3"/>
      <c r="D54" s="11" t="s">
        <v>93</v>
      </c>
      <c r="E54" s="7">
        <v>500000</v>
      </c>
      <c r="F54" s="7"/>
      <c r="G54" s="7">
        <f t="shared" si="2"/>
        <v>5204000</v>
      </c>
      <c r="H54" s="7"/>
      <c r="I54" s="3"/>
      <c r="J54" s="12"/>
    </row>
    <row r="55" spans="1:10" ht="30" x14ac:dyDescent="0.25">
      <c r="A55" s="3">
        <f t="shared" si="1"/>
        <v>44</v>
      </c>
      <c r="B55" s="15" t="s">
        <v>91</v>
      </c>
      <c r="C55" s="3"/>
      <c r="D55" s="37" t="s">
        <v>94</v>
      </c>
      <c r="E55" s="7"/>
      <c r="F55" s="7">
        <v>358000</v>
      </c>
      <c r="G55" s="7">
        <f t="shared" si="2"/>
        <v>4846000</v>
      </c>
      <c r="H55" s="7"/>
      <c r="I55" s="3"/>
      <c r="J55" s="12"/>
    </row>
    <row r="56" spans="1:10" x14ac:dyDescent="0.25">
      <c r="A56" s="3">
        <f t="shared" si="1"/>
        <v>45</v>
      </c>
      <c r="B56" s="15" t="s">
        <v>91</v>
      </c>
      <c r="C56" s="3"/>
      <c r="D56" s="37" t="s">
        <v>95</v>
      </c>
      <c r="E56" s="7"/>
      <c r="F56" s="7">
        <v>40000</v>
      </c>
      <c r="G56" s="7">
        <f t="shared" si="2"/>
        <v>4806000</v>
      </c>
      <c r="H56" s="7"/>
      <c r="I56" s="3"/>
      <c r="J56" s="12"/>
    </row>
    <row r="57" spans="1:10" x14ac:dyDescent="0.25">
      <c r="A57" s="3">
        <f t="shared" si="1"/>
        <v>46</v>
      </c>
      <c r="B57" s="15" t="s">
        <v>96</v>
      </c>
      <c r="C57" s="3"/>
      <c r="D57" s="11" t="s">
        <v>97</v>
      </c>
      <c r="E57" s="7">
        <v>2900000</v>
      </c>
      <c r="F57" s="7"/>
      <c r="G57" s="7">
        <f t="shared" si="2"/>
        <v>7706000</v>
      </c>
      <c r="H57" s="7"/>
      <c r="I57" s="3"/>
      <c r="J57" s="12"/>
    </row>
    <row r="58" spans="1:10" x14ac:dyDescent="0.25">
      <c r="A58" s="3">
        <f t="shared" si="1"/>
        <v>47</v>
      </c>
      <c r="B58" s="15" t="s">
        <v>96</v>
      </c>
      <c r="C58" s="3"/>
      <c r="D58" s="3" t="s">
        <v>98</v>
      </c>
      <c r="E58" s="7"/>
      <c r="F58" s="7">
        <v>160000</v>
      </c>
      <c r="G58" s="7">
        <f t="shared" si="2"/>
        <v>7546000</v>
      </c>
      <c r="H58" s="7"/>
      <c r="I58" s="3"/>
      <c r="J58" s="12"/>
    </row>
    <row r="59" spans="1:10" x14ac:dyDescent="0.25">
      <c r="A59" s="3">
        <f t="shared" si="1"/>
        <v>48</v>
      </c>
      <c r="B59" s="15" t="s">
        <v>19</v>
      </c>
      <c r="C59" s="3"/>
      <c r="D59" s="11" t="s">
        <v>99</v>
      </c>
      <c r="E59" s="7">
        <v>2070000</v>
      </c>
      <c r="F59" s="7"/>
      <c r="G59" s="7">
        <f t="shared" si="2"/>
        <v>9616000</v>
      </c>
      <c r="H59" s="7"/>
      <c r="I59" s="3"/>
      <c r="J59" s="12"/>
    </row>
    <row r="60" spans="1:10" x14ac:dyDescent="0.25">
      <c r="A60" s="3">
        <f t="shared" si="1"/>
        <v>49</v>
      </c>
      <c r="B60" s="15">
        <v>46024</v>
      </c>
      <c r="C60" s="3"/>
      <c r="D60" s="11" t="s">
        <v>100</v>
      </c>
      <c r="E60" s="7"/>
      <c r="F60" s="7"/>
      <c r="G60" s="7"/>
      <c r="H60" s="7"/>
      <c r="I60" s="3"/>
      <c r="J60" s="12"/>
    </row>
    <row r="61" spans="1:10" x14ac:dyDescent="0.25">
      <c r="A61" s="3">
        <f t="shared" si="1"/>
        <v>50</v>
      </c>
      <c r="B61" s="15">
        <v>46024</v>
      </c>
      <c r="C61" s="3"/>
      <c r="D61" s="3" t="s">
        <v>101</v>
      </c>
      <c r="E61" s="7">
        <v>500000</v>
      </c>
      <c r="F61" s="7"/>
      <c r="G61" s="7"/>
      <c r="H61" s="7"/>
      <c r="I61" s="3"/>
      <c r="J61" s="12"/>
    </row>
    <row r="62" spans="1:10" x14ac:dyDescent="0.25">
      <c r="A62" s="3">
        <f t="shared" si="1"/>
        <v>51</v>
      </c>
      <c r="B62" s="15">
        <v>46024</v>
      </c>
      <c r="C62" s="3"/>
      <c r="D62" s="3" t="s">
        <v>102</v>
      </c>
      <c r="E62" s="7">
        <v>3000000</v>
      </c>
      <c r="F62" s="7"/>
      <c r="G62" s="7"/>
      <c r="H62" s="7"/>
      <c r="I62" s="3"/>
      <c r="J62" s="12"/>
    </row>
    <row r="63" spans="1:10" x14ac:dyDescent="0.25">
      <c r="A63" s="3">
        <f t="shared" si="1"/>
        <v>52</v>
      </c>
      <c r="B63" s="15">
        <v>46055</v>
      </c>
      <c r="C63" s="3"/>
      <c r="D63" s="11" t="s">
        <v>103</v>
      </c>
      <c r="E63" s="7">
        <v>2315000</v>
      </c>
      <c r="F63" s="7"/>
      <c r="G63" s="7"/>
      <c r="H63" s="7"/>
      <c r="I63" s="3"/>
      <c r="J63" s="12"/>
    </row>
    <row r="64" spans="1:10" x14ac:dyDescent="0.25">
      <c r="A64" s="3">
        <f t="shared" si="1"/>
        <v>53</v>
      </c>
      <c r="B64" s="15"/>
      <c r="C64" s="3"/>
      <c r="D64" s="3"/>
      <c r="E64" s="7"/>
      <c r="F64" s="7"/>
      <c r="G64" s="7"/>
      <c r="H64" s="7"/>
      <c r="I64" s="3"/>
      <c r="J64" s="12"/>
    </row>
    <row r="65" spans="1:10" x14ac:dyDescent="0.25">
      <c r="A65" s="3">
        <f t="shared" si="1"/>
        <v>54</v>
      </c>
      <c r="B65" s="15"/>
      <c r="C65" s="3"/>
      <c r="D65" s="3"/>
      <c r="E65" s="7"/>
      <c r="F65" s="7"/>
      <c r="G65" s="7"/>
      <c r="H65" s="7"/>
      <c r="I65" s="3"/>
      <c r="J65" s="12"/>
    </row>
    <row r="66" spans="1:10" x14ac:dyDescent="0.25">
      <c r="A66" s="3">
        <f t="shared" si="1"/>
        <v>55</v>
      </c>
      <c r="B66" s="15"/>
      <c r="C66" s="3"/>
      <c r="D66" s="3"/>
      <c r="E66" s="7"/>
      <c r="F66" s="7"/>
      <c r="G66" s="7"/>
      <c r="H66" s="7"/>
      <c r="I66" s="3"/>
      <c r="J66" s="12"/>
    </row>
    <row r="67" spans="1:10" x14ac:dyDescent="0.25">
      <c r="A67" s="3">
        <f t="shared" si="1"/>
        <v>56</v>
      </c>
      <c r="B67" s="6"/>
      <c r="C67" s="3"/>
      <c r="D67" s="3"/>
      <c r="E67" s="7"/>
      <c r="F67" s="7"/>
      <c r="G67" s="7"/>
      <c r="H67" s="7"/>
      <c r="I67" s="3"/>
      <c r="J67" s="12"/>
    </row>
    <row r="68" spans="1:10" x14ac:dyDescent="0.25">
      <c r="A68" s="3"/>
      <c r="B68" s="6"/>
      <c r="C68" s="3"/>
      <c r="D68" s="3"/>
      <c r="E68" s="7"/>
      <c r="F68" s="7"/>
      <c r="G68" s="7"/>
      <c r="H68" s="7"/>
      <c r="I68" s="3"/>
      <c r="J68" s="12"/>
    </row>
    <row r="69" spans="1:10" x14ac:dyDescent="0.25">
      <c r="A69" s="3"/>
      <c r="B69" s="6"/>
      <c r="C69" s="3"/>
      <c r="D69" s="3"/>
      <c r="E69" s="7"/>
      <c r="F69" s="7"/>
      <c r="G69" s="7"/>
      <c r="H69" s="7"/>
      <c r="I69" s="3"/>
      <c r="J69" s="12"/>
    </row>
    <row r="70" spans="1:10" x14ac:dyDescent="0.25">
      <c r="A70" s="3"/>
      <c r="B70" s="3"/>
      <c r="C70" s="3"/>
      <c r="D70" s="4" t="s">
        <v>10</v>
      </c>
      <c r="E70" s="5">
        <f>SUM(E12:E69)</f>
        <v>77711000</v>
      </c>
      <c r="F70" s="5">
        <f>SUM(F12:F69)</f>
        <v>66805000</v>
      </c>
      <c r="G70" s="5"/>
      <c r="H70" s="5"/>
      <c r="I70" s="3"/>
      <c r="J70" s="12"/>
    </row>
    <row r="71" spans="1:10" x14ac:dyDescent="0.25">
      <c r="A71" s="3"/>
      <c r="B71" s="3"/>
      <c r="C71" s="3"/>
      <c r="D71" s="4" t="s">
        <v>39</v>
      </c>
      <c r="E71" s="5"/>
      <c r="F71" s="5"/>
      <c r="G71" s="5"/>
      <c r="H71" s="19">
        <f>SUM(H11:H68)</f>
        <v>1368000</v>
      </c>
      <c r="I71" s="3"/>
      <c r="J71" s="12"/>
    </row>
    <row r="72" spans="1:10" x14ac:dyDescent="0.25">
      <c r="A72" s="3"/>
      <c r="B72" s="3"/>
      <c r="C72" s="3"/>
      <c r="D72" s="4" t="s">
        <v>38</v>
      </c>
      <c r="E72" s="5"/>
      <c r="F72" s="5"/>
      <c r="G72" s="5">
        <f>G11+E70-F70</f>
        <v>15431000</v>
      </c>
      <c r="H72" s="5"/>
      <c r="I72" s="3"/>
      <c r="J72" s="12"/>
    </row>
    <row r="74" spans="1:10" x14ac:dyDescent="0.25">
      <c r="D74" s="34" t="s">
        <v>89</v>
      </c>
      <c r="F74" s="36">
        <v>39683000</v>
      </c>
      <c r="I74" s="35" t="s">
        <v>90</v>
      </c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2026-02-02T18:18:39Z</dcterms:modified>
</cp:coreProperties>
</file>