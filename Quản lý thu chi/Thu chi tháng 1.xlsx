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AD946740-FD31-4AED-9756-4D662AC153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9" i="1" l="1"/>
  <c r="G38" i="1" l="1"/>
  <c r="G37" i="1"/>
  <c r="G36" i="1"/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<sst xmlns="http://schemas.openxmlformats.org/spreadsheetml/2006/main" count="81" uniqueCount="68">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</sst>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6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164" fontId="6" fillId="4" borderId="1" xfId="1" applyNumberFormat="1" applyFont="1" applyFill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5" borderId="1" xfId="0" applyFill="1" applyBorder="1"/>
    <xf numFmtId="164" fontId="6" fillId="5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0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17" zoomScale="98" zoomScaleNormal="100" workbookViewId="0">
      <selection activeCell="D38" sqref="D38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8" t="s">
        <v>22</v>
      </c>
      <c r="B4" s="28"/>
      <c r="C4" s="28"/>
      <c r="D4" s="28"/>
      <c r="E4" s="28"/>
      <c r="F4" s="28"/>
      <c r="G4" s="28"/>
      <c r="H4" s="28"/>
      <c r="I4" s="28"/>
    </row>
    <row r="5" spans="1:14" ht="18.75" x14ac:dyDescent="0.3">
      <c r="A5" s="29" t="str">
        <f>"Từ ngày " &amp; TEXT(L5,"dd/mm/yyyy") &amp; " đến ngày " &amp; TEXT(N5,"dd/mm/yyyy")</f>
        <v>Từ ngày 01/01/2026 đến ngày 31/01/2026</v>
      </c>
      <c r="B5" s="29"/>
      <c r="C5" s="29"/>
      <c r="D5" s="29"/>
      <c r="E5" s="29"/>
      <c r="F5" s="29"/>
      <c r="G5" s="29"/>
      <c r="H5" s="29"/>
      <c r="I5" s="29"/>
      <c r="L5" s="10">
        <v>46023</v>
      </c>
      <c r="N5" t="s">
        <v>19</v>
      </c>
    </row>
    <row r="6" spans="1:14" x14ac:dyDescent="0.25">
      <c r="A6" s="30"/>
      <c r="B6" s="30"/>
      <c r="C6" s="30"/>
      <c r="D6" s="30"/>
      <c r="E6" s="30"/>
      <c r="F6" s="30"/>
      <c r="G6" s="30"/>
      <c r="H6" s="30"/>
      <c r="I6" s="30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31"/>
      <c r="B8" s="32"/>
      <c r="C8" s="32"/>
      <c r="D8" s="32"/>
      <c r="E8" s="32"/>
      <c r="F8" s="32"/>
      <c r="G8" s="32"/>
      <c r="H8" s="32"/>
      <c r="I8" s="32"/>
    </row>
    <row r="9" spans="1:14" x14ac:dyDescent="0.25">
      <c r="A9" s="27" t="s">
        <v>0</v>
      </c>
      <c r="B9" s="27" t="s">
        <v>1</v>
      </c>
      <c r="C9" s="27"/>
      <c r="D9" s="27" t="s">
        <v>2</v>
      </c>
      <c r="E9" s="27" t="s">
        <v>3</v>
      </c>
      <c r="F9" s="27"/>
      <c r="G9" s="27" t="s">
        <v>4</v>
      </c>
      <c r="H9" s="33" t="s">
        <v>36</v>
      </c>
      <c r="I9" s="27" t="s">
        <v>5</v>
      </c>
      <c r="J9" s="27" t="s">
        <v>28</v>
      </c>
    </row>
    <row r="10" spans="1:14" x14ac:dyDescent="0.25">
      <c r="A10" s="27"/>
      <c r="B10" s="2" t="s">
        <v>6</v>
      </c>
      <c r="C10" s="2" t="s">
        <v>7</v>
      </c>
      <c r="D10" s="27"/>
      <c r="E10" s="2" t="s">
        <v>8</v>
      </c>
      <c r="F10" s="2" t="s">
        <v>9</v>
      </c>
      <c r="G10" s="27"/>
      <c r="H10" s="34"/>
      <c r="I10" s="27"/>
      <c r="J10" s="27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8" t="s">
        <v>44</v>
      </c>
      <c r="E28" s="7"/>
      <c r="F28" s="2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39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4" t="s">
        <v>53</v>
      </c>
      <c r="C33" s="3"/>
      <c r="D33" s="23" t="s">
        <v>54</v>
      </c>
      <c r="E33" s="7"/>
      <c r="F33" s="21">
        <v>11733000</v>
      </c>
      <c r="G33" s="7">
        <f t="shared" si="2"/>
        <v>0</v>
      </c>
      <c r="H33" s="7"/>
      <c r="J33" s="23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6">
        <f t="shared" si="2"/>
        <v>-50000</v>
      </c>
      <c r="H34" s="7"/>
      <c r="I34" s="3"/>
      <c r="J34" s="25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35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50666000</v>
      </c>
      <c r="F53" s="5">
        <f>SUM(F12:F52)</f>
        <v>45871000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9320000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2026-01-23T15:58:36Z</dcterms:modified>
</cp:coreProperties>
</file>