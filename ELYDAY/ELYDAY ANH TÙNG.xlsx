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uc Anh\ELYDAY\"/>
    </mc:Choice>
  </mc:AlternateContent>
  <xr:revisionPtr revIDLastSave="0" documentId="13_ncr:1_{32ED465C-8A2A-432B-BB11-EF732012CF5C}" xr6:coauthVersionLast="47" xr6:coauthVersionMax="47" xr10:uidLastSave="{00000000-0000-0000-0000-000000000000}"/>
  <bookViews>
    <workbookView xWindow="-120" yWindow="-120" windowWidth="29040" windowHeight="15840" xr2:uid="{B7294501-1CF8-439A-B0E0-8EFACBE9B406}"/>
  </bookViews>
  <sheets>
    <sheet name="Anh Tù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1" l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I48" i="1"/>
</calcChain>
</file>

<file path=xl/sharedStrings.xml><?xml version="1.0" encoding="utf-8"?>
<sst xmlns="http://schemas.openxmlformats.org/spreadsheetml/2006/main" count="125" uniqueCount="67">
  <si>
    <t>CHIẾT KHẤU 15%</t>
  </si>
  <si>
    <t>TỔNG TOÀN BỘ</t>
  </si>
  <si>
    <t>TỔNG ĐÃ THU</t>
  </si>
  <si>
    <t>ĐÃ THU</t>
  </si>
  <si>
    <t>TỔNG CHƯA THU</t>
  </si>
  <si>
    <t>CHƯA THU</t>
  </si>
  <si>
    <t>W106 - ELY DAY</t>
  </si>
  <si>
    <t>TÙNG (ELYDAY)</t>
  </si>
  <si>
    <t>TOUR NỘI KHU- BÃI KEM- VỀ</t>
  </si>
  <si>
    <t>ĂN SÁNG LAISLA (ĐI VỀ)</t>
  </si>
  <si>
    <t>27/12/2025</t>
  </si>
  <si>
    <t>ĂN SÁNG LAISLA</t>
  </si>
  <si>
    <t>TOUR NỘI KHU</t>
  </si>
  <si>
    <t>26/12/2025</t>
  </si>
  <si>
    <t>H1</t>
  </si>
  <si>
    <t>19/12/2025</t>
  </si>
  <si>
    <t>VEN LA ISLA</t>
  </si>
  <si>
    <t>TÙNG (VŨ VŨ)</t>
  </si>
  <si>
    <t>14/12/2025</t>
  </si>
  <si>
    <t>ĐI CẦU HÔN</t>
  </si>
  <si>
    <t>TÙNG</t>
  </si>
  <si>
    <t>13/12/2025</t>
  </si>
  <si>
    <t>VP -&gt; VILA</t>
  </si>
  <si>
    <t>VIỆT XƯA (VỀ)</t>
  </si>
  <si>
    <t>VIỆT XƯA</t>
  </si>
  <si>
    <t>KHÁCH ÚN CF</t>
  </si>
  <si>
    <t>VP -&gt; BÃI SAO 8.4KM</t>
  </si>
  <si>
    <t>30/11/2025</t>
  </si>
  <si>
    <t>BÚN QUẬY -&gt; TOUR</t>
  </si>
  <si>
    <t>CÁP TREO</t>
  </si>
  <si>
    <t>28/11/2025</t>
  </si>
  <si>
    <t>TOUR 45P ELYDAY</t>
  </si>
  <si>
    <t>27/11/2025</t>
  </si>
  <si>
    <t>26/11/2025</t>
  </si>
  <si>
    <t>MUA SIM (ĐI - VỀ)</t>
  </si>
  <si>
    <t>24/11/2025</t>
  </si>
  <si>
    <t>ĐI ĂN</t>
  </si>
  <si>
    <t>TÙNG (LIFE LEARN)</t>
  </si>
  <si>
    <t>23/11/2025</t>
  </si>
  <si>
    <t>PHỤC HƯNG HOTEL</t>
  </si>
  <si>
    <t>22/11/2025</t>
  </si>
  <si>
    <t>VỀ KS</t>
  </si>
  <si>
    <t>21/11/2025</t>
  </si>
  <si>
    <t>CHỢ ĐÊM</t>
  </si>
  <si>
    <t>20/11/2025</t>
  </si>
  <si>
    <t>SOLA</t>
  </si>
  <si>
    <t>NHÀ HÀNG</t>
  </si>
  <si>
    <t>2 LỚN 2 NHỎ</t>
  </si>
  <si>
    <t>CAFÉ LOTUS</t>
  </si>
  <si>
    <t>CHỤP ẢNH</t>
  </si>
  <si>
    <t>KS SKY</t>
  </si>
  <si>
    <t>19/11/2025</t>
  </si>
  <si>
    <t>VỀ DƯỚI DÓC</t>
  </si>
  <si>
    <t>KS THE SEA</t>
  </si>
  <si>
    <t>KS LUXURY HILLSIDE</t>
  </si>
  <si>
    <t>QUẢNG TRƯỜNG</t>
  </si>
  <si>
    <t>VUI FEST</t>
  </si>
  <si>
    <t>BÃI KEM</t>
  </si>
  <si>
    <t>TRẠNG THÁI</t>
  </si>
  <si>
    <t>TỔNG</t>
  </si>
  <si>
    <t>SỐ KHÁCH</t>
  </si>
  <si>
    <t>GHI CHÚ</t>
  </si>
  <si>
    <t>HỌ TÊN</t>
  </si>
  <si>
    <t>NGÀY</t>
  </si>
  <si>
    <t>STT</t>
  </si>
  <si>
    <t xml:space="preserve">    CÔNG TY TNHH MTV VẬN TẢI VÀ DU LỊCH MINH HẢI</t>
  </si>
  <si>
    <t xml:space="preserve">      BẢNG KÊ THANH TOÁN CƯỚC VẬN CHUYỂN KHÁCH CHO KHÁCH SẠN ELYDAY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</si>
</sst>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10" x14ac:knownFonts="1">
    <font>
      <sz val="13"/>
      <color theme="1"/>
      <name val="Times New Roman"/>
      <family val="2"/>
    </font>
    <font>
      <sz val="13"/>
      <color theme="1"/>
      <name val="Times New Roman"/>
      <family val="2"/>
    </font>
    <font>
      <sz val="13"/>
      <color rgb="FF9C5700"/>
      <name val="Times New Roman"/>
      <family val="2"/>
    </font>
    <font>
      <b/>
      <sz val="13"/>
      <color rgb="FF3F3F3F"/>
      <name val="Times New Roman"/>
      <family val="2"/>
    </font>
    <font>
      <b/>
      <sz val="13"/>
      <color rgb="FFFA7D00"/>
      <name val="Times New Roman"/>
      <family val="2"/>
    </font>
    <font>
      <b/>
      <sz val="13"/>
      <color rgb="FFFA7D00"/>
      <name val="Times New Roman"/>
      <family val="1"/>
    </font>
    <font>
      <b/>
      <sz val="13"/>
      <color theme="1"/>
      <name val="Times New Roman"/>
      <family val="1"/>
    </font>
    <font>
      <b/>
      <sz val="13"/>
      <color rgb="FF00B050"/>
      <name val="Times New Roman"/>
      <family val="1"/>
    </font>
    <font>
      <sz val="13"/>
      <name val="Times New Roman"/>
      <family val="2"/>
    </font>
    <font>
      <b/>
      <sz val="2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2" applyNumberFormat="0" applyAlignment="0" applyProtection="0"/>
    <xf numFmtId="0" fontId="4" fillId="3" borderId="1" applyNumberFormat="0" applyAlignment="0" applyProtection="0"/>
  </cellStyleXfs>
  <cellXfs count="21">
    <xf numFmtId="0" fontId="0" fillId="0" borderId="0" xfId="0"/>
    <xf numFmtId="164" fontId="3" fillId="3" borderId="2" xfId="2" applyNumberFormat="1"/>
    <xf numFmtId="0" fontId="4" fillId="3" borderId="1" xfId="3"/>
    <xf numFmtId="0" fontId="5" fillId="3" borderId="1" xfId="3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  <xf numFmtId="165" fontId="0" fillId="5" borderId="0" xfId="0" applyNumberFormat="1" applyFill="1"/>
    <xf numFmtId="165" fontId="0" fillId="0" borderId="0" xfId="0" applyNumberFormat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5" fontId="0" fillId="4" borderId="0" xfId="0" applyNumberFormat="1" applyFill="1" applyAlignment="1">
      <alignment horizontal="right"/>
    </xf>
    <xf numFmtId="0" fontId="0" fillId="0" borderId="0" xfId="0" applyAlignment="1">
      <alignment horizontal="center" vertical="center"/>
    </xf>
    <xf numFmtId="165" fontId="0" fillId="5" borderId="0" xfId="0" applyNumberFormat="1" applyFill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8" fillId="0" borderId="0" xfId="0" applyNumberFormat="1" applyFont="1" applyAlignment="1">
      <alignment horizontal="right"/>
    </xf>
    <xf numFmtId="0" fontId="0" fillId="2" borderId="0" xfId="1" applyFont="1" applyAlignment="1">
      <alignment horizontal="center" vertical="center"/>
    </xf>
    <xf numFmtId="0" fontId="1" fillId="2" borderId="0" xfId="1" applyFont="1" applyAlignment="1">
      <alignment horizontal="center" vertical="center"/>
    </xf>
    <xf numFmtId="0" fontId="9" fillId="0" borderId="0" xfId="0" applyFont="1"/>
    <xf numFmtId="0" fontId="6" fillId="0" borderId="0" xfId="0" applyFont="1" applyAlignment="1">
      <alignment horizontal="center" vertical="center"/>
    </xf>
  </cellXfs>
  <cellStyles count="4">
    <cellStyle name="Calculation" xfId="3" builtinId="22"/>
    <cellStyle name="Neutral" xfId="1" builtinId="28"/>
    <cellStyle name="Normal" xfId="0" builtinId="0"/>
    <cellStyle name="Output" xfId="2" builtinId="21"/>
  </cellStyles>
  <dxfs count="4">
    <dxf>
      <numFmt numFmtId="165" formatCode="0.00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EB4A40-0C06-41BC-A5F4-3A7605CE7CF3}" name="Table13" displayName="Table13" ref="B3:H43" totalsRowShown="0" headerRowDxfId="3" headerRowCellStyle="Neutral">
  <autoFilter ref="B3:H43" xr:uid="{921F064E-588B-4AA3-8021-086B32F0B433}"/>
  <tableColumns count="7">
    <tableColumn id="1" xr3:uid="{BEFCA241-056F-4442-93A8-303ED9F805C9}" name="STT" dataDxfId="2"/>
    <tableColumn id="2" xr3:uid="{520A83D8-8F54-4AA4-9130-6F4031A8CAFF}" name="NGÀY" dataDxfId="1"/>
    <tableColumn id="3" xr3:uid="{DE3E9B2F-0B6B-4183-A367-FC452BFB43D0}" name="HỌ TÊN"/>
    <tableColumn id="4" xr3:uid="{B48894BA-9A70-4572-91CE-5800839FBAAE}" name="GHI CHÚ"/>
    <tableColumn id="6" xr3:uid="{D3F1A7F4-CCBF-4541-A809-C5702640809C}" name="SỐ KHÁCH"/>
    <tableColumn id="5" xr3:uid="{8A19FAC7-C98C-4FF7-8BA3-C324780CCC21}" name="TỔNG"/>
    <tableColumn id="7" xr3:uid="{13443D39-FE24-460C-80FF-A56839613797}" name="TRẠNG THÁI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5DE09-585B-4A7F-81AD-0BEBC36DDC56}">
  <sheetPr codeName="Sheet3"/>
  <dimension ref="B1:I124"/>
  <sheetViews>
    <sheetView tabSelected="1" zoomScale="115" zoomScaleNormal="115" workbookViewId="0">
      <pane ySplit="3" topLeftCell="A36" activePane="bottomLeft" state="frozen"/>
      <selection pane="bottomLeft" activeCell="I2" sqref="I2"/>
    </sheetView>
  </sheetViews>
  <sheetFormatPr defaultRowHeight="16.5" x14ac:dyDescent="0.25"/>
  <cols>
    <col min="2" max="2" width="10" customWidth="1"/>
    <col min="3" max="3" width="11.44140625" customWidth="1"/>
    <col min="4" max="4" width="21.5546875" customWidth="1"/>
    <col min="5" max="5" width="25.77734375" customWidth="1"/>
    <col min="6" max="6" width="13.33203125" customWidth="1"/>
    <col min="7" max="7" width="15.77734375" customWidth="1"/>
    <col min="8" max="8" width="18.21875" customWidth="1"/>
    <col min="9" max="9" width="19.33203125" customWidth="1"/>
    <col min="10" max="10" width="18" customWidth="1"/>
  </cols>
  <sheetData>
    <row r="1" spans="2:8" ht="49.5" customHeight="1" x14ac:dyDescent="0.35">
      <c r="C1" s="19" t="s">
        <v>65</v>
      </c>
      <c r="D1" s="19"/>
      <c r="E1" s="19"/>
      <c r="F1" s="19"/>
      <c r="G1" s="19"/>
    </row>
    <row r="2" spans="2:8" x14ac:dyDescent="0.25">
      <c r="C2" s="20" t="s">
        <v>66</v>
      </c>
      <c r="D2" s="20"/>
      <c r="E2" s="20"/>
      <c r="F2" s="20"/>
      <c r="G2" s="20"/>
    </row>
    <row r="3" spans="2:8" x14ac:dyDescent="0.25">
      <c r="B3" s="18" t="s">
        <v>64</v>
      </c>
      <c r="C3" s="18" t="s">
        <v>63</v>
      </c>
      <c r="D3" s="18" t="s">
        <v>62</v>
      </c>
      <c r="E3" s="18" t="s">
        <v>61</v>
      </c>
      <c r="F3" s="18" t="s">
        <v>60</v>
      </c>
      <c r="G3" s="18" t="s">
        <v>59</v>
      </c>
      <c r="H3" s="17" t="s">
        <v>58</v>
      </c>
    </row>
    <row r="4" spans="2:8" x14ac:dyDescent="0.25">
      <c r="B4" s="10">
        <v>1</v>
      </c>
      <c r="C4" s="12" t="s">
        <v>51</v>
      </c>
      <c r="D4" t="s">
        <v>20</v>
      </c>
      <c r="E4" t="s">
        <v>53</v>
      </c>
      <c r="F4" s="15">
        <v>2</v>
      </c>
      <c r="G4" s="16">
        <v>30</v>
      </c>
      <c r="H4" s="11"/>
    </row>
    <row r="5" spans="2:8" x14ac:dyDescent="0.25">
      <c r="B5" s="10">
        <f t="shared" ref="B5:B43" si="0">B4+1</f>
        <v>2</v>
      </c>
      <c r="C5" s="12" t="s">
        <v>51</v>
      </c>
      <c r="D5" t="s">
        <v>20</v>
      </c>
      <c r="E5" t="s">
        <v>57</v>
      </c>
      <c r="F5" s="15">
        <v>2</v>
      </c>
      <c r="G5" s="16">
        <v>150</v>
      </c>
      <c r="H5" s="11"/>
    </row>
    <row r="6" spans="2:8" x14ac:dyDescent="0.25">
      <c r="B6" s="10">
        <f t="shared" si="0"/>
        <v>3</v>
      </c>
      <c r="C6" s="12" t="s">
        <v>51</v>
      </c>
      <c r="D6" t="s">
        <v>20</v>
      </c>
      <c r="E6" t="s">
        <v>56</v>
      </c>
      <c r="F6" s="15">
        <v>2</v>
      </c>
      <c r="G6" s="16">
        <v>30</v>
      </c>
      <c r="H6" s="11"/>
    </row>
    <row r="7" spans="2:8" x14ac:dyDescent="0.25">
      <c r="B7" s="10">
        <f t="shared" si="0"/>
        <v>4</v>
      </c>
      <c r="C7" s="12" t="s">
        <v>51</v>
      </c>
      <c r="D7" t="s">
        <v>20</v>
      </c>
      <c r="E7" t="s">
        <v>55</v>
      </c>
      <c r="F7" s="15">
        <v>2</v>
      </c>
      <c r="G7" s="14">
        <v>30</v>
      </c>
      <c r="H7" s="11"/>
    </row>
    <row r="8" spans="2:8" x14ac:dyDescent="0.25">
      <c r="B8" s="10">
        <f t="shared" si="0"/>
        <v>5</v>
      </c>
      <c r="C8" s="12" t="s">
        <v>51</v>
      </c>
      <c r="D8" t="s">
        <v>20</v>
      </c>
      <c r="E8" t="s">
        <v>54</v>
      </c>
      <c r="F8" s="15">
        <v>3</v>
      </c>
      <c r="G8" s="14">
        <v>45</v>
      </c>
      <c r="H8" s="11"/>
    </row>
    <row r="9" spans="2:8" x14ac:dyDescent="0.25">
      <c r="B9" s="10">
        <f t="shared" si="0"/>
        <v>6</v>
      </c>
      <c r="C9" s="12" t="s">
        <v>51</v>
      </c>
      <c r="D9" t="s">
        <v>20</v>
      </c>
      <c r="E9" t="s">
        <v>53</v>
      </c>
      <c r="F9" s="15">
        <v>4</v>
      </c>
      <c r="G9" s="14">
        <v>60</v>
      </c>
      <c r="H9" s="11"/>
    </row>
    <row r="10" spans="2:8" x14ac:dyDescent="0.25">
      <c r="B10" s="10">
        <f t="shared" si="0"/>
        <v>7</v>
      </c>
      <c r="C10" s="12" t="s">
        <v>51</v>
      </c>
      <c r="D10" t="s">
        <v>20</v>
      </c>
      <c r="E10" t="s">
        <v>50</v>
      </c>
      <c r="F10" s="15"/>
      <c r="G10" s="14">
        <v>60</v>
      </c>
      <c r="H10" s="11"/>
    </row>
    <row r="11" spans="2:8" x14ac:dyDescent="0.25">
      <c r="B11" s="10">
        <f t="shared" si="0"/>
        <v>8</v>
      </c>
      <c r="C11" s="12" t="s">
        <v>51</v>
      </c>
      <c r="D11" t="s">
        <v>20</v>
      </c>
      <c r="E11" t="s">
        <v>52</v>
      </c>
      <c r="F11" s="15">
        <v>2</v>
      </c>
      <c r="G11" s="14">
        <v>30</v>
      </c>
      <c r="H11" s="11"/>
    </row>
    <row r="12" spans="2:8" x14ac:dyDescent="0.25">
      <c r="B12" s="10">
        <f t="shared" si="0"/>
        <v>9</v>
      </c>
      <c r="C12" s="12" t="s">
        <v>51</v>
      </c>
      <c r="D12" t="s">
        <v>20</v>
      </c>
      <c r="E12" t="s">
        <v>50</v>
      </c>
      <c r="F12" s="15">
        <v>5</v>
      </c>
      <c r="G12" s="14">
        <v>75</v>
      </c>
      <c r="H12" s="11"/>
    </row>
    <row r="13" spans="2:8" x14ac:dyDescent="0.25">
      <c r="B13" s="10">
        <f t="shared" si="0"/>
        <v>10</v>
      </c>
      <c r="C13" s="12" t="s">
        <v>44</v>
      </c>
      <c r="D13" t="s">
        <v>20</v>
      </c>
      <c r="E13" t="s">
        <v>49</v>
      </c>
      <c r="F13" s="15">
        <v>3</v>
      </c>
      <c r="G13" s="14">
        <v>300</v>
      </c>
      <c r="H13" s="11"/>
    </row>
    <row r="14" spans="2:8" x14ac:dyDescent="0.25">
      <c r="B14" s="10">
        <f t="shared" si="0"/>
        <v>11</v>
      </c>
      <c r="C14" s="12" t="s">
        <v>44</v>
      </c>
      <c r="D14" t="s">
        <v>20</v>
      </c>
      <c r="E14" t="s">
        <v>48</v>
      </c>
      <c r="F14" s="15" t="s">
        <v>47</v>
      </c>
      <c r="G14" s="14">
        <v>60</v>
      </c>
      <c r="H14" s="11"/>
    </row>
    <row r="15" spans="2:8" x14ac:dyDescent="0.25">
      <c r="B15" s="10">
        <f t="shared" si="0"/>
        <v>12</v>
      </c>
      <c r="C15" s="12" t="s">
        <v>44</v>
      </c>
      <c r="D15" t="s">
        <v>20</v>
      </c>
      <c r="E15" t="s">
        <v>46</v>
      </c>
      <c r="F15" s="15">
        <v>3</v>
      </c>
      <c r="G15" s="14">
        <v>45</v>
      </c>
      <c r="H15" s="11"/>
    </row>
    <row r="16" spans="2:8" x14ac:dyDescent="0.25">
      <c r="B16" s="10">
        <f t="shared" si="0"/>
        <v>13</v>
      </c>
      <c r="C16" s="12" t="s">
        <v>44</v>
      </c>
      <c r="D16" t="s">
        <v>20</v>
      </c>
      <c r="E16" t="s">
        <v>29</v>
      </c>
      <c r="F16" s="15">
        <v>2</v>
      </c>
      <c r="G16" s="14">
        <v>30</v>
      </c>
      <c r="H16" s="11"/>
    </row>
    <row r="17" spans="2:8" x14ac:dyDescent="0.25">
      <c r="B17" s="10">
        <f t="shared" si="0"/>
        <v>14</v>
      </c>
      <c r="C17" s="12" t="s">
        <v>44</v>
      </c>
      <c r="D17" t="s">
        <v>20</v>
      </c>
      <c r="E17" t="s">
        <v>45</v>
      </c>
      <c r="F17" s="15">
        <v>1</v>
      </c>
      <c r="G17" s="14">
        <v>15</v>
      </c>
      <c r="H17" s="11"/>
    </row>
    <row r="18" spans="2:8" x14ac:dyDescent="0.25">
      <c r="B18" s="10">
        <f t="shared" si="0"/>
        <v>15</v>
      </c>
      <c r="C18" s="12" t="s">
        <v>44</v>
      </c>
      <c r="D18" t="s">
        <v>20</v>
      </c>
      <c r="E18" t="s">
        <v>43</v>
      </c>
      <c r="F18" s="15">
        <v>1</v>
      </c>
      <c r="G18" s="14">
        <v>15</v>
      </c>
      <c r="H18" s="11"/>
    </row>
    <row r="19" spans="2:8" x14ac:dyDescent="0.25">
      <c r="B19" s="10">
        <f t="shared" si="0"/>
        <v>16</v>
      </c>
      <c r="C19" s="12" t="s">
        <v>42</v>
      </c>
      <c r="D19" t="s">
        <v>20</v>
      </c>
      <c r="E19" t="s">
        <v>41</v>
      </c>
      <c r="F19" s="15">
        <v>1</v>
      </c>
      <c r="G19" s="14">
        <v>15</v>
      </c>
      <c r="H19" s="11"/>
    </row>
    <row r="20" spans="2:8" x14ac:dyDescent="0.25">
      <c r="B20" s="10">
        <f t="shared" si="0"/>
        <v>17</v>
      </c>
      <c r="C20" s="12" t="s">
        <v>40</v>
      </c>
      <c r="D20" t="s">
        <v>20</v>
      </c>
      <c r="E20" t="s">
        <v>39</v>
      </c>
      <c r="F20" s="15">
        <v>2</v>
      </c>
      <c r="G20" s="14">
        <v>160</v>
      </c>
      <c r="H20" s="11"/>
    </row>
    <row r="21" spans="2:8" x14ac:dyDescent="0.25">
      <c r="B21" s="10">
        <f t="shared" si="0"/>
        <v>18</v>
      </c>
      <c r="C21" s="12" t="s">
        <v>38</v>
      </c>
      <c r="D21" t="s">
        <v>37</v>
      </c>
      <c r="E21" t="s">
        <v>36</v>
      </c>
      <c r="F21" s="15">
        <v>3</v>
      </c>
      <c r="G21" s="14">
        <v>45</v>
      </c>
      <c r="H21" s="11"/>
    </row>
    <row r="22" spans="2:8" x14ac:dyDescent="0.25">
      <c r="B22" s="10">
        <f t="shared" si="0"/>
        <v>19</v>
      </c>
      <c r="C22" s="12" t="s">
        <v>35</v>
      </c>
      <c r="D22" t="s">
        <v>7</v>
      </c>
      <c r="E22" t="s">
        <v>34</v>
      </c>
      <c r="F22" s="15">
        <v>4</v>
      </c>
      <c r="G22" s="14">
        <v>120</v>
      </c>
      <c r="H22" s="13"/>
    </row>
    <row r="23" spans="2:8" x14ac:dyDescent="0.25">
      <c r="B23" s="10">
        <f t="shared" si="0"/>
        <v>20</v>
      </c>
      <c r="C23" s="12" t="s">
        <v>33</v>
      </c>
      <c r="D23" t="s">
        <v>20</v>
      </c>
      <c r="F23" s="15">
        <v>5</v>
      </c>
      <c r="G23" s="14">
        <v>75</v>
      </c>
      <c r="H23" s="11"/>
    </row>
    <row r="24" spans="2:8" x14ac:dyDescent="0.25">
      <c r="B24" s="10">
        <f t="shared" si="0"/>
        <v>21</v>
      </c>
      <c r="C24" s="12" t="s">
        <v>33</v>
      </c>
      <c r="D24" t="s">
        <v>20</v>
      </c>
      <c r="F24" s="15">
        <v>2</v>
      </c>
      <c r="G24" s="14">
        <v>30</v>
      </c>
      <c r="H24" s="11"/>
    </row>
    <row r="25" spans="2:8" x14ac:dyDescent="0.25">
      <c r="B25" s="10">
        <f t="shared" si="0"/>
        <v>22</v>
      </c>
      <c r="C25" s="12" t="s">
        <v>33</v>
      </c>
      <c r="D25" t="s">
        <v>20</v>
      </c>
      <c r="F25" s="15">
        <v>2</v>
      </c>
      <c r="G25" s="14">
        <v>30</v>
      </c>
      <c r="H25" s="11"/>
    </row>
    <row r="26" spans="2:8" x14ac:dyDescent="0.25">
      <c r="B26" s="10">
        <f t="shared" si="0"/>
        <v>23</v>
      </c>
      <c r="C26" s="12" t="s">
        <v>33</v>
      </c>
      <c r="D26" t="s">
        <v>20</v>
      </c>
      <c r="F26" s="15">
        <v>11</v>
      </c>
      <c r="G26" s="14">
        <v>165</v>
      </c>
      <c r="H26" s="11"/>
    </row>
    <row r="27" spans="2:8" x14ac:dyDescent="0.25">
      <c r="B27" s="10">
        <f t="shared" si="0"/>
        <v>24</v>
      </c>
      <c r="C27" s="12" t="s">
        <v>33</v>
      </c>
      <c r="D27" t="s">
        <v>7</v>
      </c>
      <c r="F27">
        <v>2</v>
      </c>
      <c r="G27" s="14">
        <v>30</v>
      </c>
      <c r="H27" s="13"/>
    </row>
    <row r="28" spans="2:8" x14ac:dyDescent="0.25">
      <c r="B28" s="10">
        <f t="shared" si="0"/>
        <v>25</v>
      </c>
      <c r="C28" s="12" t="s">
        <v>32</v>
      </c>
      <c r="D28" t="s">
        <v>7</v>
      </c>
      <c r="E28" t="s">
        <v>31</v>
      </c>
      <c r="F28">
        <v>5</v>
      </c>
      <c r="G28" s="14">
        <v>300</v>
      </c>
      <c r="H28" s="13"/>
    </row>
    <row r="29" spans="2:8" x14ac:dyDescent="0.25">
      <c r="B29" s="10">
        <f t="shared" si="0"/>
        <v>26</v>
      </c>
      <c r="C29" s="12" t="s">
        <v>30</v>
      </c>
      <c r="D29" t="s">
        <v>7</v>
      </c>
      <c r="E29" t="s">
        <v>29</v>
      </c>
      <c r="F29">
        <v>2</v>
      </c>
      <c r="G29" s="8">
        <v>30</v>
      </c>
      <c r="H29" s="11"/>
    </row>
    <row r="30" spans="2:8" x14ac:dyDescent="0.25">
      <c r="B30" s="10">
        <f t="shared" si="0"/>
        <v>27</v>
      </c>
      <c r="C30" s="12" t="s">
        <v>27</v>
      </c>
      <c r="D30" t="s">
        <v>20</v>
      </c>
      <c r="E30" t="s">
        <v>28</v>
      </c>
      <c r="G30" s="8">
        <v>300</v>
      </c>
      <c r="H30" s="11"/>
    </row>
    <row r="31" spans="2:8" x14ac:dyDescent="0.25">
      <c r="B31" s="10">
        <f t="shared" si="0"/>
        <v>28</v>
      </c>
      <c r="C31" s="12" t="s">
        <v>27</v>
      </c>
      <c r="D31" t="s">
        <v>7</v>
      </c>
      <c r="E31" t="s">
        <v>26</v>
      </c>
      <c r="F31">
        <v>3</v>
      </c>
      <c r="G31" s="8">
        <v>336</v>
      </c>
      <c r="H31" s="13"/>
    </row>
    <row r="32" spans="2:8" x14ac:dyDescent="0.25">
      <c r="B32" s="10">
        <f t="shared" si="0"/>
        <v>29</v>
      </c>
      <c r="C32" s="9">
        <v>45728</v>
      </c>
      <c r="D32" t="s">
        <v>7</v>
      </c>
      <c r="E32" t="s">
        <v>25</v>
      </c>
      <c r="F32">
        <v>7</v>
      </c>
      <c r="G32" s="8">
        <v>140</v>
      </c>
      <c r="H32" s="11"/>
    </row>
    <row r="33" spans="2:9" x14ac:dyDescent="0.25">
      <c r="B33" s="10">
        <f t="shared" si="0"/>
        <v>30</v>
      </c>
      <c r="C33" s="9">
        <v>45820</v>
      </c>
      <c r="D33" t="s">
        <v>7</v>
      </c>
      <c r="E33" t="s">
        <v>24</v>
      </c>
      <c r="F33">
        <v>5</v>
      </c>
      <c r="G33" s="8">
        <v>75</v>
      </c>
      <c r="H33" s="11"/>
    </row>
    <row r="34" spans="2:9" x14ac:dyDescent="0.25">
      <c r="B34" s="10">
        <f t="shared" si="0"/>
        <v>31</v>
      </c>
      <c r="C34" s="9">
        <v>45820</v>
      </c>
      <c r="D34" t="s">
        <v>7</v>
      </c>
      <c r="E34" t="s">
        <v>23</v>
      </c>
      <c r="F34">
        <v>5</v>
      </c>
      <c r="G34" s="8">
        <v>75</v>
      </c>
      <c r="H34" s="11"/>
    </row>
    <row r="35" spans="2:9" x14ac:dyDescent="0.25">
      <c r="B35" s="10">
        <f t="shared" si="0"/>
        <v>32</v>
      </c>
      <c r="C35" s="9">
        <v>45912</v>
      </c>
      <c r="D35" t="s">
        <v>20</v>
      </c>
      <c r="E35" t="s">
        <v>22</v>
      </c>
      <c r="G35" s="8">
        <v>300</v>
      </c>
      <c r="H35" s="11"/>
    </row>
    <row r="36" spans="2:9" x14ac:dyDescent="0.25">
      <c r="B36" s="10">
        <f t="shared" si="0"/>
        <v>33</v>
      </c>
      <c r="C36" s="12" t="s">
        <v>21</v>
      </c>
      <c r="D36" t="s">
        <v>20</v>
      </c>
      <c r="E36" t="s">
        <v>19</v>
      </c>
      <c r="F36">
        <v>2</v>
      </c>
      <c r="G36" s="8">
        <v>30</v>
      </c>
      <c r="H36" s="13"/>
    </row>
    <row r="37" spans="2:9" x14ac:dyDescent="0.25">
      <c r="B37" s="10">
        <f t="shared" si="0"/>
        <v>34</v>
      </c>
      <c r="C37" s="12" t="s">
        <v>18</v>
      </c>
      <c r="D37" t="s">
        <v>17</v>
      </c>
      <c r="E37" t="s">
        <v>16</v>
      </c>
      <c r="F37">
        <v>2</v>
      </c>
      <c r="G37" s="8">
        <v>30</v>
      </c>
      <c r="H37" s="11"/>
    </row>
    <row r="38" spans="2:9" x14ac:dyDescent="0.25">
      <c r="B38" s="10">
        <f t="shared" si="0"/>
        <v>35</v>
      </c>
      <c r="C38" s="12" t="s">
        <v>15</v>
      </c>
      <c r="D38" t="s">
        <v>7</v>
      </c>
      <c r="E38" t="s">
        <v>14</v>
      </c>
      <c r="F38">
        <v>6</v>
      </c>
      <c r="G38" s="8">
        <v>90</v>
      </c>
      <c r="H38" s="11"/>
    </row>
    <row r="39" spans="2:9" x14ac:dyDescent="0.25">
      <c r="B39" s="10">
        <f t="shared" si="0"/>
        <v>36</v>
      </c>
      <c r="C39" s="12" t="s">
        <v>13</v>
      </c>
      <c r="D39" t="s">
        <v>7</v>
      </c>
      <c r="E39" t="s">
        <v>12</v>
      </c>
      <c r="G39" s="8">
        <v>300</v>
      </c>
      <c r="H39" s="11"/>
    </row>
    <row r="40" spans="2:9" x14ac:dyDescent="0.25">
      <c r="B40" s="10">
        <f t="shared" si="0"/>
        <v>37</v>
      </c>
      <c r="C40" s="12" t="s">
        <v>10</v>
      </c>
      <c r="D40" t="s">
        <v>7</v>
      </c>
      <c r="E40" t="s">
        <v>11</v>
      </c>
      <c r="G40" s="8">
        <v>150</v>
      </c>
      <c r="H40" s="11"/>
    </row>
    <row r="41" spans="2:9" x14ac:dyDescent="0.25">
      <c r="B41" s="10">
        <f t="shared" si="0"/>
        <v>38</v>
      </c>
      <c r="C41" s="12" t="s">
        <v>10</v>
      </c>
      <c r="D41" t="s">
        <v>7</v>
      </c>
      <c r="E41" t="s">
        <v>9</v>
      </c>
      <c r="G41" s="8">
        <v>150</v>
      </c>
      <c r="H41" s="11"/>
    </row>
    <row r="42" spans="2:9" x14ac:dyDescent="0.25">
      <c r="B42" s="10">
        <f t="shared" si="0"/>
        <v>39</v>
      </c>
      <c r="C42" s="9">
        <v>46023</v>
      </c>
      <c r="D42" t="s">
        <v>7</v>
      </c>
      <c r="E42" t="s">
        <v>8</v>
      </c>
      <c r="G42" s="8">
        <v>500</v>
      </c>
      <c r="H42" s="7"/>
    </row>
    <row r="43" spans="2:9" x14ac:dyDescent="0.25">
      <c r="B43" s="10">
        <f t="shared" si="0"/>
        <v>40</v>
      </c>
      <c r="C43" s="9">
        <v>46113</v>
      </c>
      <c r="D43" t="s">
        <v>7</v>
      </c>
      <c r="E43" t="s">
        <v>6</v>
      </c>
      <c r="G43" s="8">
        <v>100</v>
      </c>
      <c r="H43" s="7"/>
    </row>
    <row r="45" spans="2:9" x14ac:dyDescent="0.25">
      <c r="E45" s="6"/>
      <c r="F45" s="4" t="s">
        <v>5</v>
      </c>
      <c r="H45" s="3" t="s">
        <v>4</v>
      </c>
      <c r="I45" s="1">
        <v>1416</v>
      </c>
    </row>
    <row r="46" spans="2:9" x14ac:dyDescent="0.25">
      <c r="E46" s="5"/>
      <c r="F46" s="4" t="s">
        <v>3</v>
      </c>
      <c r="H46" s="3" t="s">
        <v>2</v>
      </c>
      <c r="I46" s="1">
        <v>3135</v>
      </c>
    </row>
    <row r="48" spans="2:9" x14ac:dyDescent="0.25">
      <c r="H48" s="2" t="s">
        <v>1</v>
      </c>
      <c r="I48" s="1">
        <f>SUM(G:G)</f>
        <v>4551</v>
      </c>
    </row>
    <row r="50" spans="8:9" x14ac:dyDescent="0.25">
      <c r="H50" s="2" t="s">
        <v>0</v>
      </c>
      <c r="I50" s="1">
        <v>682</v>
      </c>
    </row>
    <row r="123" customFormat="1" ht="45" customHeight="1" x14ac:dyDescent="0.25"/>
    <row r="124" customFormat="1" ht="39.75" customHeight="1" x14ac:dyDescent="0.25"/>
  </sheetData>
  <mergeCells count="1">
    <mergeCell ref="C2:G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Anh Tùng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nguyenducanh12a10@gmail.com</dc:creator>
  <cp:lastModifiedBy>nguyenducanh12a10@gmail.com</cp:lastModifiedBy>
  <dcterms:created xsi:type="dcterms:W3CDTF">2026-01-08T04:21:22Z</dcterms:created>
  <dcterms:modified xsi:type="dcterms:W3CDTF">2026-01-08T05:02:29Z</dcterms:modified>
</cp:coreProperties>
</file>